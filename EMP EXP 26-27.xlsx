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72dd1a813889fd4c/Desktop/Rohit Guleria Personal/vikas engg  ^0 Vibra New/VIKAS ENGG WORKS/Vew IMPREST/"/>
    </mc:Choice>
  </mc:AlternateContent>
  <xr:revisionPtr revIDLastSave="0" documentId="11_CB6C0D9CF27DE6FA160C3E1FD1D7DF4E7A06EDBF" xr6:coauthVersionLast="47" xr6:coauthVersionMax="47" xr10:uidLastSave="{00000000-0000-0000-0000-000000000000}"/>
  <bookViews>
    <workbookView xWindow="-110" yWindow="-110" windowWidth="19420" windowHeight="10300" tabRatio="756" activeTab="4" xr2:uid="{00000000-000D-0000-FFFF-FFFF00000000}"/>
  </bookViews>
  <sheets>
    <sheet name="Bipin" sheetId="5" r:id="rId1"/>
    <sheet name="Divyansh" sheetId="4" r:id="rId2"/>
    <sheet name="Vikash" sheetId="2" r:id="rId3"/>
    <sheet name="Sonu" sheetId="10" r:id="rId4"/>
    <sheet name="Rakesh" sheetId="12" r:id="rId5"/>
    <sheet name="Lalit" sheetId="9" r:id="rId6"/>
    <sheet name="Rohit VRK" sheetId="13" r:id="rId7"/>
    <sheet name="SUMMARY SHEET" sheetId="16" r:id="rId8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6" i="12" l="1"/>
  <c r="I922" i="4" l="1"/>
  <c r="C922" i="4"/>
  <c r="C217" i="2" l="1"/>
  <c r="N190" i="12" l="1"/>
  <c r="M183" i="12"/>
  <c r="L426" i="4" l="1"/>
  <c r="G399" i="4" l="1"/>
  <c r="G401" i="4"/>
  <c r="G400" i="4"/>
  <c r="G396" i="4" l="1"/>
  <c r="G384" i="4"/>
  <c r="I217" i="2"/>
  <c r="G70" i="2"/>
  <c r="L380" i="4" l="1"/>
  <c r="G377" i="4"/>
  <c r="G316" i="4"/>
  <c r="G362" i="4"/>
  <c r="G350" i="4"/>
  <c r="L318" i="4"/>
  <c r="G132" i="12"/>
  <c r="G131" i="12"/>
  <c r="L319" i="4" l="1"/>
  <c r="G129" i="12"/>
  <c r="G128" i="12"/>
  <c r="G125" i="12" l="1"/>
  <c r="G56" i="10"/>
  <c r="G55" i="10"/>
  <c r="G54" i="10"/>
  <c r="L51" i="10"/>
  <c r="G53" i="10"/>
  <c r="G52" i="10"/>
  <c r="G373" i="4" l="1"/>
  <c r="G363" i="4" l="1"/>
  <c r="G361" i="4"/>
  <c r="G360" i="4"/>
  <c r="G356" i="4"/>
  <c r="G355" i="4"/>
  <c r="G353" i="4"/>
  <c r="G352" i="4"/>
  <c r="G345" i="4" l="1"/>
  <c r="G344" i="4"/>
  <c r="G341" i="4"/>
  <c r="G340" i="4"/>
  <c r="G336" i="4"/>
  <c r="G332" i="4"/>
  <c r="G326" i="4"/>
  <c r="G322" i="4"/>
  <c r="G308" i="4"/>
  <c r="K6" i="5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G315" i="4" l="1"/>
  <c r="G310" i="4"/>
  <c r="G313" i="4"/>
  <c r="G312" i="4"/>
  <c r="G307" i="4"/>
  <c r="G306" i="4" l="1"/>
  <c r="L307" i="4" s="1"/>
  <c r="L309" i="4" s="1"/>
  <c r="G123" i="12" l="1"/>
  <c r="G121" i="12"/>
  <c r="N115" i="12"/>
  <c r="G118" i="12"/>
  <c r="G115" i="12"/>
  <c r="G113" i="12"/>
  <c r="G111" i="12"/>
  <c r="N110" i="12"/>
  <c r="G109" i="12"/>
  <c r="G105" i="12"/>
  <c r="G103" i="12" l="1"/>
  <c r="G99" i="12"/>
  <c r="M40" i="5" l="1"/>
  <c r="J43" i="5"/>
  <c r="K43" i="5" l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G305" i="4"/>
  <c r="G304" i="4"/>
  <c r="G303" i="4"/>
  <c r="G302" i="4"/>
  <c r="G300" i="4"/>
  <c r="G298" i="4"/>
  <c r="G296" i="4"/>
  <c r="G295" i="4"/>
  <c r="L288" i="4"/>
  <c r="L287" i="4"/>
  <c r="G287" i="4"/>
  <c r="G286" i="4"/>
  <c r="G285" i="4"/>
  <c r="G281" i="4"/>
  <c r="G280" i="4"/>
  <c r="G279" i="4"/>
  <c r="K335" i="5" l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L289" i="4"/>
  <c r="L280" i="4"/>
  <c r="G276" i="4"/>
  <c r="G275" i="4"/>
  <c r="G274" i="4"/>
  <c r="L274" i="4"/>
  <c r="G270" i="4"/>
  <c r="G269" i="4"/>
  <c r="G268" i="4"/>
  <c r="G265" i="4"/>
  <c r="G266" i="4"/>
  <c r="L266" i="4"/>
  <c r="G263" i="4"/>
  <c r="G262" i="4"/>
  <c r="G261" i="4"/>
  <c r="G260" i="4"/>
  <c r="G253" i="4"/>
  <c r="G252" i="4"/>
  <c r="G251" i="4"/>
  <c r="G250" i="4"/>
  <c r="G249" i="4"/>
  <c r="K376" i="5" l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G96" i="12"/>
  <c r="G93" i="12"/>
  <c r="G90" i="12"/>
  <c r="G86" i="12" l="1"/>
  <c r="G84" i="12"/>
  <c r="G82" i="12"/>
  <c r="G80" i="12"/>
  <c r="G76" i="12" l="1"/>
  <c r="G74" i="12" l="1"/>
  <c r="G67" i="12" l="1"/>
  <c r="K5" i="12" l="1"/>
  <c r="K6" i="12" s="1"/>
  <c r="G69" i="12" l="1"/>
  <c r="G65" i="12"/>
  <c r="G66" i="12"/>
  <c r="G52" i="12"/>
  <c r="G45" i="12"/>
  <c r="M48" i="12"/>
  <c r="G243" i="4" l="1"/>
  <c r="G242" i="4"/>
  <c r="G241" i="4"/>
  <c r="G240" i="4"/>
  <c r="G230" i="4"/>
  <c r="G239" i="4"/>
  <c r="G238" i="4"/>
  <c r="G237" i="4"/>
  <c r="G236" i="4"/>
  <c r="G233" i="4"/>
  <c r="G232" i="4"/>
  <c r="G227" i="4"/>
  <c r="G224" i="4"/>
  <c r="G223" i="4"/>
  <c r="G221" i="4"/>
  <c r="G220" i="4"/>
  <c r="G219" i="4"/>
  <c r="G210" i="4"/>
  <c r="G209" i="4"/>
  <c r="G218" i="4"/>
  <c r="G217" i="4"/>
  <c r="G214" i="4"/>
  <c r="G208" i="4" l="1"/>
  <c r="G207" i="4"/>
  <c r="G206" i="4" l="1"/>
  <c r="G205" i="4"/>
  <c r="G204" i="4"/>
  <c r="G191" i="4" l="1"/>
  <c r="G189" i="4"/>
  <c r="G188" i="4"/>
  <c r="G183" i="4"/>
  <c r="G181" i="4"/>
  <c r="G180" i="4"/>
  <c r="G63" i="12" l="1"/>
  <c r="G179" i="4" l="1"/>
  <c r="G49" i="12" l="1"/>
  <c r="G6" i="13" l="1"/>
  <c r="I803" i="13"/>
  <c r="C803" i="13"/>
  <c r="J5" i="13"/>
  <c r="J6" i="13" l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289" i="13" s="1"/>
  <c r="J290" i="13" s="1"/>
  <c r="J291" i="13" s="1"/>
  <c r="J292" i="13" s="1"/>
  <c r="J293" i="13" s="1"/>
  <c r="J294" i="13" s="1"/>
  <c r="J295" i="13" s="1"/>
  <c r="J296" i="13" s="1"/>
  <c r="J297" i="13" s="1"/>
  <c r="J298" i="13" s="1"/>
  <c r="J299" i="13" s="1"/>
  <c r="J300" i="13" s="1"/>
  <c r="J301" i="13" s="1"/>
  <c r="J302" i="13" s="1"/>
  <c r="J303" i="13" s="1"/>
  <c r="J304" i="13" s="1"/>
  <c r="J305" i="13" s="1"/>
  <c r="J306" i="13" s="1"/>
  <c r="J307" i="13" s="1"/>
  <c r="J308" i="13" s="1"/>
  <c r="J309" i="13" s="1"/>
  <c r="J310" i="13" s="1"/>
  <c r="J311" i="13" s="1"/>
  <c r="J312" i="13" s="1"/>
  <c r="J313" i="13" s="1"/>
  <c r="J314" i="13" s="1"/>
  <c r="J315" i="13" s="1"/>
  <c r="J316" i="13" s="1"/>
  <c r="J317" i="13" s="1"/>
  <c r="J318" i="13" s="1"/>
  <c r="J319" i="13" s="1"/>
  <c r="J320" i="13" s="1"/>
  <c r="J321" i="13" s="1"/>
  <c r="J322" i="13" s="1"/>
  <c r="J323" i="13" s="1"/>
  <c r="J324" i="13" s="1"/>
  <c r="J325" i="13" s="1"/>
  <c r="J326" i="13" s="1"/>
  <c r="J327" i="13" s="1"/>
  <c r="J328" i="13" s="1"/>
  <c r="J329" i="13" s="1"/>
  <c r="J330" i="13" s="1"/>
  <c r="J331" i="13" s="1"/>
  <c r="J332" i="13" s="1"/>
  <c r="J333" i="13" s="1"/>
  <c r="J334" i="13" s="1"/>
  <c r="J335" i="13" s="1"/>
  <c r="J336" i="13" s="1"/>
  <c r="J337" i="13" s="1"/>
  <c r="J338" i="13" s="1"/>
  <c r="J339" i="13" s="1"/>
  <c r="J340" i="13" s="1"/>
  <c r="J341" i="13" s="1"/>
  <c r="J342" i="13" s="1"/>
  <c r="J343" i="13" s="1"/>
  <c r="J344" i="13" s="1"/>
  <c r="J345" i="13" s="1"/>
  <c r="J346" i="13" s="1"/>
  <c r="J347" i="13" s="1"/>
  <c r="J348" i="13" s="1"/>
  <c r="J349" i="13" s="1"/>
  <c r="J350" i="13" s="1"/>
  <c r="J351" i="13" s="1"/>
  <c r="J352" i="13" s="1"/>
  <c r="J353" i="13" s="1"/>
  <c r="J354" i="13" s="1"/>
  <c r="J355" i="13" s="1"/>
  <c r="J356" i="13" s="1"/>
  <c r="J357" i="13" s="1"/>
  <c r="J358" i="13" s="1"/>
  <c r="J359" i="13" s="1"/>
  <c r="J360" i="13" s="1"/>
  <c r="J361" i="13" s="1"/>
  <c r="J362" i="13" s="1"/>
  <c r="J363" i="13" s="1"/>
  <c r="J364" i="13" s="1"/>
  <c r="J365" i="13" s="1"/>
  <c r="J366" i="13" s="1"/>
  <c r="J367" i="13" s="1"/>
  <c r="J368" i="13" s="1"/>
  <c r="J369" i="13" s="1"/>
  <c r="J370" i="13" s="1"/>
  <c r="J371" i="13" s="1"/>
  <c r="J372" i="13" s="1"/>
  <c r="J373" i="13" s="1"/>
  <c r="J374" i="13" s="1"/>
  <c r="J375" i="13" s="1"/>
  <c r="J376" i="13" s="1"/>
  <c r="J377" i="13" s="1"/>
  <c r="J378" i="13" s="1"/>
  <c r="J379" i="13" s="1"/>
  <c r="J380" i="13" s="1"/>
  <c r="J381" i="13" s="1"/>
  <c r="J382" i="13" s="1"/>
  <c r="J383" i="13" s="1"/>
  <c r="J384" i="13" s="1"/>
  <c r="J385" i="13" s="1"/>
  <c r="J386" i="13" s="1"/>
  <c r="J387" i="13" s="1"/>
  <c r="J388" i="13" s="1"/>
  <c r="J389" i="13" s="1"/>
  <c r="J390" i="13" s="1"/>
  <c r="J391" i="13" s="1"/>
  <c r="J392" i="13" s="1"/>
  <c r="J393" i="13" s="1"/>
  <c r="J394" i="13" s="1"/>
  <c r="J395" i="13" s="1"/>
  <c r="J396" i="13" s="1"/>
  <c r="J397" i="13" s="1"/>
  <c r="J398" i="13" s="1"/>
  <c r="J399" i="13" s="1"/>
  <c r="J400" i="13" s="1"/>
  <c r="J401" i="13" s="1"/>
  <c r="J402" i="13" s="1"/>
  <c r="J403" i="13" s="1"/>
  <c r="J404" i="13" s="1"/>
  <c r="J405" i="13" s="1"/>
  <c r="J406" i="13" s="1"/>
  <c r="J407" i="13" s="1"/>
  <c r="J408" i="13" s="1"/>
  <c r="J409" i="13" s="1"/>
  <c r="J410" i="13" s="1"/>
  <c r="J411" i="13" s="1"/>
  <c r="J412" i="13" s="1"/>
  <c r="J413" i="13" s="1"/>
  <c r="J414" i="13" s="1"/>
  <c r="J415" i="13" s="1"/>
  <c r="J416" i="13" s="1"/>
  <c r="J417" i="13" s="1"/>
  <c r="J418" i="13" s="1"/>
  <c r="J419" i="13" s="1"/>
  <c r="J420" i="13" s="1"/>
  <c r="J421" i="13" s="1"/>
  <c r="J422" i="13" s="1"/>
  <c r="J423" i="13" s="1"/>
  <c r="J424" i="13" s="1"/>
  <c r="J425" i="13" s="1"/>
  <c r="J426" i="13" s="1"/>
  <c r="J427" i="13" s="1"/>
  <c r="J428" i="13" s="1"/>
  <c r="J429" i="13" s="1"/>
  <c r="J430" i="13" s="1"/>
  <c r="J431" i="13" s="1"/>
  <c r="J432" i="13" s="1"/>
  <c r="J433" i="13" s="1"/>
  <c r="J434" i="13" s="1"/>
  <c r="J435" i="13" s="1"/>
  <c r="J436" i="13" s="1"/>
  <c r="J437" i="13" s="1"/>
  <c r="J438" i="13" s="1"/>
  <c r="J439" i="13" s="1"/>
  <c r="J440" i="13" s="1"/>
  <c r="J441" i="13" s="1"/>
  <c r="J442" i="13" s="1"/>
  <c r="J443" i="13" s="1"/>
  <c r="J444" i="13" s="1"/>
  <c r="J445" i="13" s="1"/>
  <c r="J446" i="13" s="1"/>
  <c r="J447" i="13" s="1"/>
  <c r="J448" i="13" s="1"/>
  <c r="J449" i="13" s="1"/>
  <c r="J450" i="13" s="1"/>
  <c r="J451" i="13" s="1"/>
  <c r="J452" i="13" s="1"/>
  <c r="J453" i="13" s="1"/>
  <c r="J454" i="13" s="1"/>
  <c r="J455" i="13" s="1"/>
  <c r="J456" i="13" s="1"/>
  <c r="J457" i="13" s="1"/>
  <c r="J458" i="13" s="1"/>
  <c r="J459" i="13" s="1"/>
  <c r="J460" i="13" s="1"/>
  <c r="J461" i="13" s="1"/>
  <c r="J462" i="13" s="1"/>
  <c r="J463" i="13" s="1"/>
  <c r="J464" i="13" s="1"/>
  <c r="J465" i="13" s="1"/>
  <c r="J466" i="13" s="1"/>
  <c r="J467" i="13" s="1"/>
  <c r="J468" i="13" s="1"/>
  <c r="J469" i="13" s="1"/>
  <c r="J470" i="13" s="1"/>
  <c r="J471" i="13" s="1"/>
  <c r="J472" i="13" s="1"/>
  <c r="J473" i="13" s="1"/>
  <c r="J474" i="13" s="1"/>
  <c r="J475" i="13" s="1"/>
  <c r="J476" i="13" s="1"/>
  <c r="J477" i="13" s="1"/>
  <c r="J478" i="13" s="1"/>
  <c r="J479" i="13" s="1"/>
  <c r="J480" i="13" s="1"/>
  <c r="J481" i="13" s="1"/>
  <c r="J482" i="13" s="1"/>
  <c r="J483" i="13" s="1"/>
  <c r="J484" i="13" s="1"/>
  <c r="J485" i="13" s="1"/>
  <c r="J486" i="13" s="1"/>
  <c r="J487" i="13" s="1"/>
  <c r="J488" i="13" s="1"/>
  <c r="J489" i="13" s="1"/>
  <c r="J490" i="13" s="1"/>
  <c r="J491" i="13" s="1"/>
  <c r="J492" i="13" s="1"/>
  <c r="J493" i="13" s="1"/>
  <c r="J494" i="13" s="1"/>
  <c r="J495" i="13" s="1"/>
  <c r="J496" i="13" s="1"/>
  <c r="J497" i="13" s="1"/>
  <c r="J498" i="13" s="1"/>
  <c r="J499" i="13" s="1"/>
  <c r="J500" i="13" s="1"/>
  <c r="J501" i="13" s="1"/>
  <c r="J502" i="13" s="1"/>
  <c r="J503" i="13" s="1"/>
  <c r="J504" i="13" s="1"/>
  <c r="J505" i="13" s="1"/>
  <c r="J506" i="13" s="1"/>
  <c r="J507" i="13" s="1"/>
  <c r="J508" i="13" s="1"/>
  <c r="J509" i="13" s="1"/>
  <c r="J510" i="13" s="1"/>
  <c r="J511" i="13" s="1"/>
  <c r="J512" i="13" s="1"/>
  <c r="J513" i="13" s="1"/>
  <c r="J514" i="13" s="1"/>
  <c r="J515" i="13" s="1"/>
  <c r="J516" i="13" s="1"/>
  <c r="J517" i="13" s="1"/>
  <c r="J518" i="13" s="1"/>
  <c r="J519" i="13" s="1"/>
  <c r="J520" i="13" s="1"/>
  <c r="J521" i="13" s="1"/>
  <c r="J522" i="13" s="1"/>
  <c r="J523" i="13" s="1"/>
  <c r="J524" i="13" s="1"/>
  <c r="J525" i="13" s="1"/>
  <c r="J526" i="13" s="1"/>
  <c r="J527" i="13" s="1"/>
  <c r="J528" i="13" s="1"/>
  <c r="J529" i="13" s="1"/>
  <c r="J530" i="13" s="1"/>
  <c r="J531" i="13" s="1"/>
  <c r="J532" i="13" s="1"/>
  <c r="J533" i="13" s="1"/>
  <c r="J534" i="13" s="1"/>
  <c r="J535" i="13" s="1"/>
  <c r="J536" i="13" s="1"/>
  <c r="J537" i="13" s="1"/>
  <c r="J538" i="13" s="1"/>
  <c r="J539" i="13" s="1"/>
  <c r="J540" i="13" s="1"/>
  <c r="J541" i="13" s="1"/>
  <c r="J542" i="13" s="1"/>
  <c r="J543" i="13" s="1"/>
  <c r="J544" i="13" s="1"/>
  <c r="J545" i="13" s="1"/>
  <c r="J546" i="13" s="1"/>
  <c r="J547" i="13" s="1"/>
  <c r="J548" i="13" s="1"/>
  <c r="J549" i="13" s="1"/>
  <c r="J550" i="13" s="1"/>
  <c r="J551" i="13" s="1"/>
  <c r="J552" i="13" s="1"/>
  <c r="J553" i="13" s="1"/>
  <c r="J554" i="13" s="1"/>
  <c r="J555" i="13" s="1"/>
  <c r="J556" i="13" s="1"/>
  <c r="J557" i="13" s="1"/>
  <c r="J558" i="13" s="1"/>
  <c r="J559" i="13" s="1"/>
  <c r="J560" i="13" s="1"/>
  <c r="J561" i="13" s="1"/>
  <c r="J562" i="13" s="1"/>
  <c r="J563" i="13" s="1"/>
  <c r="J564" i="13" s="1"/>
  <c r="J565" i="13" s="1"/>
  <c r="J566" i="13" s="1"/>
  <c r="J567" i="13" s="1"/>
  <c r="J568" i="13" s="1"/>
  <c r="J569" i="13" s="1"/>
  <c r="J570" i="13" s="1"/>
  <c r="J571" i="13" s="1"/>
  <c r="J572" i="13" s="1"/>
  <c r="J573" i="13" s="1"/>
  <c r="J574" i="13" s="1"/>
  <c r="J575" i="13" s="1"/>
  <c r="J576" i="13" s="1"/>
  <c r="J577" i="13" s="1"/>
  <c r="J578" i="13" s="1"/>
  <c r="J579" i="13" s="1"/>
  <c r="J580" i="13" s="1"/>
  <c r="J581" i="13" s="1"/>
  <c r="J582" i="13" s="1"/>
  <c r="J583" i="13" s="1"/>
  <c r="J584" i="13" s="1"/>
  <c r="J585" i="13" s="1"/>
  <c r="J586" i="13" s="1"/>
  <c r="J587" i="13" s="1"/>
  <c r="J588" i="13" s="1"/>
  <c r="J589" i="13" s="1"/>
  <c r="J590" i="13" s="1"/>
  <c r="J591" i="13" s="1"/>
  <c r="J592" i="13" s="1"/>
  <c r="J593" i="13" s="1"/>
  <c r="J594" i="13" s="1"/>
  <c r="J595" i="13" s="1"/>
  <c r="J596" i="13" s="1"/>
  <c r="J597" i="13" s="1"/>
  <c r="J598" i="13" s="1"/>
  <c r="J599" i="13" s="1"/>
  <c r="J600" i="13" s="1"/>
  <c r="J601" i="13" s="1"/>
  <c r="J602" i="13" s="1"/>
  <c r="J603" i="13" s="1"/>
  <c r="J604" i="13" s="1"/>
  <c r="J605" i="13" s="1"/>
  <c r="J606" i="13" s="1"/>
  <c r="J607" i="13" s="1"/>
  <c r="J608" i="13" s="1"/>
  <c r="J609" i="13" s="1"/>
  <c r="J610" i="13" s="1"/>
  <c r="J611" i="13" s="1"/>
  <c r="J612" i="13" s="1"/>
  <c r="J613" i="13" s="1"/>
  <c r="J614" i="13" s="1"/>
  <c r="J615" i="13" s="1"/>
  <c r="J616" i="13" s="1"/>
  <c r="J617" i="13" s="1"/>
  <c r="J618" i="13" s="1"/>
  <c r="J619" i="13" s="1"/>
  <c r="J620" i="13" s="1"/>
  <c r="J621" i="13" s="1"/>
  <c r="J622" i="13" s="1"/>
  <c r="J623" i="13" s="1"/>
  <c r="J624" i="13" s="1"/>
  <c r="J625" i="13" s="1"/>
  <c r="J626" i="13" s="1"/>
  <c r="J627" i="13" s="1"/>
  <c r="J628" i="13" s="1"/>
  <c r="J629" i="13" s="1"/>
  <c r="J630" i="13" s="1"/>
  <c r="J631" i="13" s="1"/>
  <c r="J632" i="13" s="1"/>
  <c r="J633" i="13" s="1"/>
  <c r="J634" i="13" s="1"/>
  <c r="J635" i="13" s="1"/>
  <c r="J636" i="13" s="1"/>
  <c r="J637" i="13" s="1"/>
  <c r="J638" i="13" s="1"/>
  <c r="J639" i="13" s="1"/>
  <c r="J640" i="13" s="1"/>
  <c r="J641" i="13" s="1"/>
  <c r="J642" i="13" s="1"/>
  <c r="J643" i="13" s="1"/>
  <c r="J644" i="13" s="1"/>
  <c r="J645" i="13" s="1"/>
  <c r="J646" i="13" s="1"/>
  <c r="J647" i="13" s="1"/>
  <c r="J648" i="13" s="1"/>
  <c r="J649" i="13" s="1"/>
  <c r="J650" i="13" s="1"/>
  <c r="J651" i="13" s="1"/>
  <c r="J652" i="13" s="1"/>
  <c r="J653" i="13" s="1"/>
  <c r="J654" i="13" s="1"/>
  <c r="J655" i="13" s="1"/>
  <c r="J656" i="13" s="1"/>
  <c r="J657" i="13" s="1"/>
  <c r="J658" i="13" s="1"/>
  <c r="J659" i="13" s="1"/>
  <c r="J660" i="13" s="1"/>
  <c r="J661" i="13" s="1"/>
  <c r="J662" i="13" s="1"/>
  <c r="J663" i="13" s="1"/>
  <c r="J664" i="13" s="1"/>
  <c r="J665" i="13" s="1"/>
  <c r="J666" i="13" s="1"/>
  <c r="J667" i="13" s="1"/>
  <c r="J668" i="13" s="1"/>
  <c r="J669" i="13" s="1"/>
  <c r="J670" i="13" s="1"/>
  <c r="J671" i="13" s="1"/>
  <c r="J672" i="13" s="1"/>
  <c r="J673" i="13" s="1"/>
  <c r="J674" i="13" s="1"/>
  <c r="J675" i="13" s="1"/>
  <c r="J676" i="13" s="1"/>
  <c r="J677" i="13" s="1"/>
  <c r="J678" i="13" s="1"/>
  <c r="J679" i="13" s="1"/>
  <c r="J680" i="13" s="1"/>
  <c r="J681" i="13" s="1"/>
  <c r="J682" i="13" s="1"/>
  <c r="J683" i="13" s="1"/>
  <c r="J684" i="13" s="1"/>
  <c r="J685" i="13" s="1"/>
  <c r="J686" i="13" s="1"/>
  <c r="J687" i="13" s="1"/>
  <c r="J688" i="13" s="1"/>
  <c r="J689" i="13" s="1"/>
  <c r="J690" i="13" s="1"/>
  <c r="J691" i="13" s="1"/>
  <c r="J692" i="13" s="1"/>
  <c r="J693" i="13" s="1"/>
  <c r="J694" i="13" s="1"/>
  <c r="J695" i="13" s="1"/>
  <c r="J696" i="13" s="1"/>
  <c r="J697" i="13" s="1"/>
  <c r="J698" i="13" s="1"/>
  <c r="J699" i="13" s="1"/>
  <c r="J700" i="13" s="1"/>
  <c r="J701" i="13" s="1"/>
  <c r="J702" i="13" s="1"/>
  <c r="J703" i="13" s="1"/>
  <c r="J704" i="13" s="1"/>
  <c r="J705" i="13" s="1"/>
  <c r="J706" i="13" s="1"/>
  <c r="J707" i="13" s="1"/>
  <c r="J708" i="13" s="1"/>
  <c r="J709" i="13" s="1"/>
  <c r="J710" i="13" s="1"/>
  <c r="J711" i="13" s="1"/>
  <c r="J712" i="13" s="1"/>
  <c r="J713" i="13" s="1"/>
  <c r="J714" i="13" s="1"/>
  <c r="J715" i="13" s="1"/>
  <c r="J716" i="13" s="1"/>
  <c r="J717" i="13" s="1"/>
  <c r="J718" i="13" s="1"/>
  <c r="J719" i="13" s="1"/>
  <c r="J720" i="13" s="1"/>
  <c r="J721" i="13" s="1"/>
  <c r="J722" i="13" s="1"/>
  <c r="J723" i="13" s="1"/>
  <c r="J724" i="13" s="1"/>
  <c r="J725" i="13" s="1"/>
  <c r="J726" i="13" s="1"/>
  <c r="J727" i="13" s="1"/>
  <c r="J728" i="13" s="1"/>
  <c r="J729" i="13" s="1"/>
  <c r="J730" i="13" s="1"/>
  <c r="J731" i="13" s="1"/>
  <c r="J732" i="13" s="1"/>
  <c r="J733" i="13" s="1"/>
  <c r="J734" i="13" s="1"/>
  <c r="J735" i="13" s="1"/>
  <c r="J736" i="13" s="1"/>
  <c r="J737" i="13" s="1"/>
  <c r="J738" i="13" s="1"/>
  <c r="J739" i="13" s="1"/>
  <c r="J740" i="13" s="1"/>
  <c r="J741" i="13" s="1"/>
  <c r="J742" i="13" s="1"/>
  <c r="J743" i="13" s="1"/>
  <c r="J744" i="13" s="1"/>
  <c r="J745" i="13" s="1"/>
  <c r="J746" i="13" s="1"/>
  <c r="J747" i="13" s="1"/>
  <c r="J748" i="13" s="1"/>
  <c r="J749" i="13" s="1"/>
  <c r="J750" i="13" s="1"/>
  <c r="J751" i="13" s="1"/>
  <c r="J752" i="13" s="1"/>
  <c r="J753" i="13" s="1"/>
  <c r="J754" i="13" s="1"/>
  <c r="J755" i="13" s="1"/>
  <c r="J756" i="13" s="1"/>
  <c r="J757" i="13" s="1"/>
  <c r="J758" i="13" s="1"/>
  <c r="J759" i="13" s="1"/>
  <c r="J760" i="13" s="1"/>
  <c r="J761" i="13" s="1"/>
  <c r="J762" i="13" s="1"/>
  <c r="J763" i="13" s="1"/>
  <c r="J764" i="13" s="1"/>
  <c r="J765" i="13" s="1"/>
  <c r="J766" i="13" s="1"/>
  <c r="J767" i="13" s="1"/>
  <c r="J768" i="13" s="1"/>
  <c r="J769" i="13" s="1"/>
  <c r="J770" i="13" s="1"/>
  <c r="J771" i="13" s="1"/>
  <c r="J772" i="13" s="1"/>
  <c r="J773" i="13" s="1"/>
  <c r="J774" i="13" s="1"/>
  <c r="J775" i="13" s="1"/>
  <c r="J776" i="13" s="1"/>
  <c r="J777" i="13" s="1"/>
  <c r="J778" i="13" s="1"/>
  <c r="J779" i="13" s="1"/>
  <c r="J780" i="13" s="1"/>
  <c r="J781" i="13" s="1"/>
  <c r="J782" i="13" s="1"/>
  <c r="J783" i="13" s="1"/>
  <c r="J784" i="13" s="1"/>
  <c r="J785" i="13" s="1"/>
  <c r="J786" i="13" s="1"/>
  <c r="J787" i="13" s="1"/>
  <c r="J788" i="13" s="1"/>
  <c r="J789" i="13" s="1"/>
  <c r="J790" i="13" s="1"/>
  <c r="J791" i="13" s="1"/>
  <c r="J792" i="13" s="1"/>
  <c r="J793" i="13" s="1"/>
  <c r="J794" i="13" s="1"/>
  <c r="J795" i="13" s="1"/>
  <c r="J796" i="13" s="1"/>
  <c r="J797" i="13" s="1"/>
  <c r="J798" i="13" s="1"/>
  <c r="J799" i="13" s="1"/>
  <c r="J800" i="13" s="1"/>
  <c r="J801" i="13" s="1"/>
  <c r="J802" i="13" s="1"/>
  <c r="G803" i="13"/>
  <c r="G175" i="4" l="1"/>
  <c r="G173" i="4"/>
  <c r="G167" i="4"/>
  <c r="G166" i="4"/>
  <c r="G162" i="4"/>
  <c r="G161" i="4"/>
  <c r="G157" i="4"/>
  <c r="G154" i="4"/>
  <c r="G20" i="10"/>
  <c r="G16" i="10"/>
  <c r="G14" i="10"/>
  <c r="G12" i="10"/>
  <c r="L11" i="10"/>
  <c r="G11" i="9"/>
  <c r="G10" i="9"/>
  <c r="G149" i="4"/>
  <c r="G144" i="4"/>
  <c r="G151" i="4"/>
  <c r="G150" i="4"/>
  <c r="G143" i="4"/>
  <c r="G142" i="4"/>
  <c r="G135" i="4"/>
  <c r="G134" i="4"/>
  <c r="G126" i="4"/>
  <c r="G124" i="4"/>
  <c r="G123" i="4"/>
  <c r="G121" i="4"/>
  <c r="G119" i="4"/>
  <c r="G111" i="4"/>
  <c r="G107" i="4"/>
  <c r="G102" i="4"/>
  <c r="G101" i="4"/>
  <c r="G98" i="4"/>
  <c r="G96" i="4"/>
  <c r="G91" i="4"/>
  <c r="G86" i="4" l="1"/>
  <c r="G84" i="4"/>
  <c r="G47" i="4" l="1"/>
  <c r="G46" i="4"/>
  <c r="G59" i="4"/>
  <c r="G58" i="4"/>
  <c r="G82" i="4"/>
  <c r="G63" i="4"/>
  <c r="G79" i="4"/>
  <c r="G76" i="4"/>
  <c r="G74" i="4"/>
  <c r="G66" i="4"/>
  <c r="G64" i="4"/>
  <c r="G57" i="4"/>
  <c r="G45" i="4"/>
  <c r="G44" i="4"/>
  <c r="G42" i="4"/>
  <c r="G41" i="4"/>
  <c r="G40" i="4"/>
  <c r="G36" i="4"/>
  <c r="G35" i="4"/>
  <c r="G28" i="4"/>
  <c r="G26" i="4"/>
  <c r="G25" i="4"/>
  <c r="G24" i="4"/>
  <c r="G23" i="4"/>
  <c r="G21" i="4"/>
  <c r="G20" i="4"/>
  <c r="G16" i="4"/>
  <c r="G15" i="4"/>
  <c r="G10" i="4"/>
  <c r="G8" i="4"/>
  <c r="G922" i="4" l="1"/>
  <c r="G7" i="2"/>
  <c r="G217" i="2" s="1"/>
  <c r="J698" i="12" l="1"/>
  <c r="C698" i="12"/>
  <c r="K7" i="12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K110" i="12" s="1"/>
  <c r="K111" i="12" s="1"/>
  <c r="K112" i="12" s="1"/>
  <c r="K113" i="12" s="1"/>
  <c r="K114" i="12" s="1"/>
  <c r="K115" i="12" s="1"/>
  <c r="K116" i="12" s="1"/>
  <c r="K117" i="12" s="1"/>
  <c r="K118" i="12" s="1"/>
  <c r="K119" i="12" s="1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K131" i="12" s="1"/>
  <c r="K132" i="12" s="1"/>
  <c r="K133" i="12" s="1"/>
  <c r="K134" i="12" s="1"/>
  <c r="K135" i="12" s="1"/>
  <c r="K136" i="12" s="1"/>
  <c r="K137" i="12" s="1"/>
  <c r="K138" i="12" s="1"/>
  <c r="K139" i="12" s="1"/>
  <c r="K140" i="12" s="1"/>
  <c r="K141" i="12" s="1"/>
  <c r="K142" i="12" s="1"/>
  <c r="K143" i="12" s="1"/>
  <c r="K144" i="12" s="1"/>
  <c r="K145" i="12" s="1"/>
  <c r="K146" i="12" s="1"/>
  <c r="K147" i="12" s="1"/>
  <c r="K148" i="12" s="1"/>
  <c r="K149" i="12" s="1"/>
  <c r="K150" i="12" s="1"/>
  <c r="K151" i="12" s="1"/>
  <c r="K152" i="12" s="1"/>
  <c r="K153" i="12" s="1"/>
  <c r="K154" i="12" s="1"/>
  <c r="K155" i="12" s="1"/>
  <c r="K156" i="12" s="1"/>
  <c r="K157" i="12" s="1"/>
  <c r="K158" i="12" s="1"/>
  <c r="K159" i="12" s="1"/>
  <c r="K160" i="12" s="1"/>
  <c r="K161" i="12" s="1"/>
  <c r="K162" i="12" s="1"/>
  <c r="K163" i="12" s="1"/>
  <c r="K164" i="12" s="1"/>
  <c r="K165" i="12" s="1"/>
  <c r="K166" i="12" s="1"/>
  <c r="K167" i="12" s="1"/>
  <c r="K168" i="12" s="1"/>
  <c r="K169" i="12" s="1"/>
  <c r="K170" i="12" s="1"/>
  <c r="K171" i="12" s="1"/>
  <c r="K172" i="12" s="1"/>
  <c r="K173" i="12" s="1"/>
  <c r="K174" i="12" s="1"/>
  <c r="K175" i="12" s="1"/>
  <c r="K176" i="12" s="1"/>
  <c r="K177" i="12" s="1"/>
  <c r="K178" i="12" s="1"/>
  <c r="K179" i="12" s="1"/>
  <c r="K180" i="12" s="1"/>
  <c r="K181" i="12" s="1"/>
  <c r="K182" i="12" s="1"/>
  <c r="K183" i="12" s="1"/>
  <c r="K184" i="12" s="1"/>
  <c r="K185" i="12" s="1"/>
  <c r="K186" i="12" s="1"/>
  <c r="K187" i="12" s="1"/>
  <c r="K188" i="12" s="1"/>
  <c r="K189" i="12" s="1"/>
  <c r="K190" i="12" s="1"/>
  <c r="K191" i="12" s="1"/>
  <c r="K192" i="12" s="1"/>
  <c r="K193" i="12" s="1"/>
  <c r="K194" i="12" s="1"/>
  <c r="K195" i="12" s="1"/>
  <c r="K196" i="12" s="1"/>
  <c r="K197" i="12" s="1"/>
  <c r="K198" i="12" s="1"/>
  <c r="K199" i="12" s="1"/>
  <c r="K200" i="12" s="1"/>
  <c r="K201" i="12" s="1"/>
  <c r="K202" i="12" s="1"/>
  <c r="K203" i="12" s="1"/>
  <c r="K204" i="12" s="1"/>
  <c r="K205" i="12" s="1"/>
  <c r="K206" i="12" s="1"/>
  <c r="K207" i="12" s="1"/>
  <c r="K208" i="12" s="1"/>
  <c r="K209" i="12" s="1"/>
  <c r="K210" i="12" s="1"/>
  <c r="K211" i="12" s="1"/>
  <c r="K212" i="12" s="1"/>
  <c r="K213" i="12" s="1"/>
  <c r="K214" i="12" s="1"/>
  <c r="K215" i="12" s="1"/>
  <c r="K216" i="12" s="1"/>
  <c r="K217" i="12" s="1"/>
  <c r="K218" i="12" s="1"/>
  <c r="K219" i="12" s="1"/>
  <c r="K220" i="12" l="1"/>
  <c r="K221" i="12" s="1"/>
  <c r="K222" i="12" s="1"/>
  <c r="K223" i="12" s="1"/>
  <c r="K224" i="12" s="1"/>
  <c r="K225" i="12" s="1"/>
  <c r="K226" i="12" s="1"/>
  <c r="K227" i="12" s="1"/>
  <c r="K228" i="12" s="1"/>
  <c r="K229" i="12" s="1"/>
  <c r="K230" i="12" s="1"/>
  <c r="K231" i="12" s="1"/>
  <c r="K232" i="12" s="1"/>
  <c r="K233" i="12" s="1"/>
  <c r="K234" i="12" s="1"/>
  <c r="K235" i="12" s="1"/>
  <c r="K236" i="12" s="1"/>
  <c r="K237" i="12" s="1"/>
  <c r="K238" i="12" s="1"/>
  <c r="K239" i="12" s="1"/>
  <c r="K240" i="12" s="1"/>
  <c r="K241" i="12" s="1"/>
  <c r="K242" i="12" s="1"/>
  <c r="K243" i="12" s="1"/>
  <c r="K244" i="12" s="1"/>
  <c r="K245" i="12" s="1"/>
  <c r="K246" i="12" s="1"/>
  <c r="K247" i="12" s="1"/>
  <c r="K248" i="12" s="1"/>
  <c r="K249" i="12" s="1"/>
  <c r="K250" i="12" s="1"/>
  <c r="K251" i="12" s="1"/>
  <c r="K252" i="12" s="1"/>
  <c r="K253" i="12" s="1"/>
  <c r="K254" i="12" s="1"/>
  <c r="K255" i="12" s="1"/>
  <c r="K256" i="12" s="1"/>
  <c r="K257" i="12" s="1"/>
  <c r="K258" i="12" s="1"/>
  <c r="K259" i="12" s="1"/>
  <c r="K260" i="12" s="1"/>
  <c r="K261" i="12" s="1"/>
  <c r="K262" i="12" s="1"/>
  <c r="K263" i="12" s="1"/>
  <c r="K264" i="12" s="1"/>
  <c r="K265" i="12" s="1"/>
  <c r="K266" i="12" s="1"/>
  <c r="K267" i="12" s="1"/>
  <c r="K268" i="12" s="1"/>
  <c r="K269" i="12" s="1"/>
  <c r="K270" i="12" s="1"/>
  <c r="K271" i="12" s="1"/>
  <c r="K272" i="12" s="1"/>
  <c r="K273" i="12" s="1"/>
  <c r="K274" i="12" s="1"/>
  <c r="K275" i="12" s="1"/>
  <c r="K276" i="12" s="1"/>
  <c r="K277" i="12" s="1"/>
  <c r="K278" i="12" s="1"/>
  <c r="K279" i="12" s="1"/>
  <c r="K280" i="12" s="1"/>
  <c r="K281" i="12" s="1"/>
  <c r="K282" i="12" s="1"/>
  <c r="K283" i="12" s="1"/>
  <c r="K284" i="12" s="1"/>
  <c r="K285" i="12" s="1"/>
  <c r="K286" i="12" s="1"/>
  <c r="K287" i="12" s="1"/>
  <c r="K288" i="12" s="1"/>
  <c r="K289" i="12" s="1"/>
  <c r="K290" i="12" s="1"/>
  <c r="K291" i="12" s="1"/>
  <c r="G698" i="12"/>
  <c r="K292" i="12" l="1"/>
  <c r="K293" i="12" s="1"/>
  <c r="K294" i="12" s="1"/>
  <c r="K295" i="12" s="1"/>
  <c r="K296" i="12" s="1"/>
  <c r="K297" i="12" s="1"/>
  <c r="K298" i="12" s="1"/>
  <c r="K299" i="12" s="1"/>
  <c r="K300" i="12" s="1"/>
  <c r="K301" i="12" s="1"/>
  <c r="K302" i="12" s="1"/>
  <c r="K303" i="12" s="1"/>
  <c r="K304" i="12" s="1"/>
  <c r="K305" i="12" s="1"/>
  <c r="K306" i="12" s="1"/>
  <c r="K307" i="12" s="1"/>
  <c r="K308" i="12" s="1"/>
  <c r="K309" i="12" s="1"/>
  <c r="K310" i="12" s="1"/>
  <c r="K311" i="12" s="1"/>
  <c r="K312" i="12" s="1"/>
  <c r="K313" i="12" s="1"/>
  <c r="K314" i="12" s="1"/>
  <c r="K315" i="12" s="1"/>
  <c r="K316" i="12" s="1"/>
  <c r="K317" i="12" s="1"/>
  <c r="K318" i="12" s="1"/>
  <c r="K319" i="12" s="1"/>
  <c r="K320" i="12" s="1"/>
  <c r="K321" i="12" s="1"/>
  <c r="K322" i="12" s="1"/>
  <c r="K323" i="12" s="1"/>
  <c r="K324" i="12" s="1"/>
  <c r="K325" i="12" s="1"/>
  <c r="K326" i="12" s="1"/>
  <c r="K327" i="12" s="1"/>
  <c r="K328" i="12" s="1"/>
  <c r="K329" i="12" s="1"/>
  <c r="K330" i="12" s="1"/>
  <c r="K331" i="12" s="1"/>
  <c r="K332" i="12" s="1"/>
  <c r="K333" i="12" s="1"/>
  <c r="K334" i="12" s="1"/>
  <c r="K335" i="12" s="1"/>
  <c r="K336" i="12" s="1"/>
  <c r="K337" i="12" s="1"/>
  <c r="K338" i="12" s="1"/>
  <c r="K339" i="12" s="1"/>
  <c r="K340" i="12" s="1"/>
  <c r="K341" i="12" s="1"/>
  <c r="K342" i="12" s="1"/>
  <c r="K343" i="12" s="1"/>
  <c r="K344" i="12" s="1"/>
  <c r="K345" i="12" s="1"/>
  <c r="K346" i="12" s="1"/>
  <c r="K347" i="12" s="1"/>
  <c r="K348" i="12" s="1"/>
  <c r="K349" i="12" s="1"/>
  <c r="K350" i="12" s="1"/>
  <c r="K351" i="12" s="1"/>
  <c r="K352" i="12" s="1"/>
  <c r="K353" i="12" s="1"/>
  <c r="K354" i="12" s="1"/>
  <c r="K355" i="12" s="1"/>
  <c r="K356" i="12" s="1"/>
  <c r="K357" i="12" s="1"/>
  <c r="K358" i="12" s="1"/>
  <c r="K359" i="12" s="1"/>
  <c r="K360" i="12" s="1"/>
  <c r="K361" i="12" s="1"/>
  <c r="K362" i="12" s="1"/>
  <c r="K363" i="12" s="1"/>
  <c r="K364" i="12" s="1"/>
  <c r="K365" i="12" s="1"/>
  <c r="K366" i="12" s="1"/>
  <c r="K367" i="12" s="1"/>
  <c r="K368" i="12" s="1"/>
  <c r="K369" i="12" s="1"/>
  <c r="K370" i="12" s="1"/>
  <c r="K371" i="12" s="1"/>
  <c r="K372" i="12" s="1"/>
  <c r="K373" i="12" s="1"/>
  <c r="K374" i="12" s="1"/>
  <c r="K375" i="12" s="1"/>
  <c r="K376" i="12" s="1"/>
  <c r="K377" i="12" s="1"/>
  <c r="K378" i="12" s="1"/>
  <c r="K379" i="12" s="1"/>
  <c r="K380" i="12" s="1"/>
  <c r="K381" i="12" s="1"/>
  <c r="K382" i="12" s="1"/>
  <c r="K383" i="12" s="1"/>
  <c r="K384" i="12" s="1"/>
  <c r="K385" i="12" s="1"/>
  <c r="K386" i="12" s="1"/>
  <c r="K387" i="12" s="1"/>
  <c r="K388" i="12" s="1"/>
  <c r="K389" i="12" s="1"/>
  <c r="K390" i="12" s="1"/>
  <c r="K391" i="12" s="1"/>
  <c r="K392" i="12" s="1"/>
  <c r="K393" i="12" s="1"/>
  <c r="K394" i="12" s="1"/>
  <c r="K395" i="12" s="1"/>
  <c r="K396" i="12" s="1"/>
  <c r="K397" i="12" s="1"/>
  <c r="K398" i="12" s="1"/>
  <c r="K399" i="12" s="1"/>
  <c r="K400" i="12" s="1"/>
  <c r="K401" i="12" s="1"/>
  <c r="K402" i="12" s="1"/>
  <c r="K403" i="12" s="1"/>
  <c r="K404" i="12" s="1"/>
  <c r="K405" i="12" s="1"/>
  <c r="K406" i="12" s="1"/>
  <c r="K407" i="12" s="1"/>
  <c r="K408" i="12" s="1"/>
  <c r="K409" i="12" s="1"/>
  <c r="K410" i="12" s="1"/>
  <c r="K411" i="12" s="1"/>
  <c r="K412" i="12" s="1"/>
  <c r="K413" i="12" s="1"/>
  <c r="K414" i="12" s="1"/>
  <c r="K415" i="12" s="1"/>
  <c r="K416" i="12" s="1"/>
  <c r="K417" i="12" s="1"/>
  <c r="K418" i="12" s="1"/>
  <c r="K419" i="12" s="1"/>
  <c r="K420" i="12" s="1"/>
  <c r="K421" i="12" s="1"/>
  <c r="K422" i="12" s="1"/>
  <c r="K423" i="12" s="1"/>
  <c r="K424" i="12" s="1"/>
  <c r="K425" i="12" s="1"/>
  <c r="K426" i="12" s="1"/>
  <c r="K427" i="12" s="1"/>
  <c r="K428" i="12" s="1"/>
  <c r="K429" i="12" s="1"/>
  <c r="K430" i="12" s="1"/>
  <c r="K431" i="12" s="1"/>
  <c r="K432" i="12" s="1"/>
  <c r="K433" i="12" s="1"/>
  <c r="K434" i="12" s="1"/>
  <c r="K435" i="12" s="1"/>
  <c r="K436" i="12" s="1"/>
  <c r="K437" i="12" s="1"/>
  <c r="K438" i="12" s="1"/>
  <c r="K439" i="12" s="1"/>
  <c r="K440" i="12" s="1"/>
  <c r="K441" i="12" s="1"/>
  <c r="K442" i="12" s="1"/>
  <c r="K443" i="12" s="1"/>
  <c r="K444" i="12" s="1"/>
  <c r="K445" i="12" s="1"/>
  <c r="K446" i="12" s="1"/>
  <c r="K447" i="12" s="1"/>
  <c r="K448" i="12" s="1"/>
  <c r="K449" i="12" s="1"/>
  <c r="K450" i="12" s="1"/>
  <c r="K451" i="12" s="1"/>
  <c r="K452" i="12" s="1"/>
  <c r="K453" i="12" s="1"/>
  <c r="K454" i="12" s="1"/>
  <c r="K455" i="12" s="1"/>
  <c r="K456" i="12" s="1"/>
  <c r="K457" i="12" s="1"/>
  <c r="K458" i="12" s="1"/>
  <c r="K459" i="12" s="1"/>
  <c r="K460" i="12" s="1"/>
  <c r="K461" i="12" s="1"/>
  <c r="K462" i="12" s="1"/>
  <c r="K463" i="12" s="1"/>
  <c r="K464" i="12" s="1"/>
  <c r="K465" i="12" s="1"/>
  <c r="K466" i="12" s="1"/>
  <c r="K467" i="12" s="1"/>
  <c r="K468" i="12" s="1"/>
  <c r="K469" i="12" s="1"/>
  <c r="K470" i="12" s="1"/>
  <c r="K471" i="12" s="1"/>
  <c r="K472" i="12" s="1"/>
  <c r="K473" i="12" s="1"/>
  <c r="K474" i="12" s="1"/>
  <c r="K475" i="12" s="1"/>
  <c r="K476" i="12" s="1"/>
  <c r="K477" i="12" s="1"/>
  <c r="K478" i="12" s="1"/>
  <c r="K479" i="12" s="1"/>
  <c r="K480" i="12" s="1"/>
  <c r="K481" i="12" s="1"/>
  <c r="K482" i="12" s="1"/>
  <c r="K483" i="12" s="1"/>
  <c r="K484" i="12" s="1"/>
  <c r="K485" i="12" s="1"/>
  <c r="K486" i="12" s="1"/>
  <c r="K487" i="12" s="1"/>
  <c r="K488" i="12" s="1"/>
  <c r="K489" i="12" s="1"/>
  <c r="K490" i="12" s="1"/>
  <c r="K491" i="12" s="1"/>
  <c r="K492" i="12" s="1"/>
  <c r="K493" i="12" s="1"/>
  <c r="K494" i="12" s="1"/>
  <c r="K495" i="12" s="1"/>
  <c r="K496" i="12" s="1"/>
  <c r="K497" i="12" s="1"/>
  <c r="K498" i="12" s="1"/>
  <c r="K499" i="12" s="1"/>
  <c r="K500" i="12" s="1"/>
  <c r="K501" i="12" s="1"/>
  <c r="K502" i="12" s="1"/>
  <c r="K503" i="12" s="1"/>
  <c r="K504" i="12" s="1"/>
  <c r="K505" i="12" s="1"/>
  <c r="K506" i="12" s="1"/>
  <c r="K507" i="12" s="1"/>
  <c r="K508" i="12" s="1"/>
  <c r="K509" i="12" s="1"/>
  <c r="K510" i="12" s="1"/>
  <c r="K511" i="12" s="1"/>
  <c r="K512" i="12" s="1"/>
  <c r="K513" i="12" s="1"/>
  <c r="K514" i="12" s="1"/>
  <c r="K515" i="12" s="1"/>
  <c r="K516" i="12" s="1"/>
  <c r="K517" i="12" s="1"/>
  <c r="K518" i="12" s="1"/>
  <c r="K519" i="12" s="1"/>
  <c r="K520" i="12" s="1"/>
  <c r="K521" i="12" s="1"/>
  <c r="K522" i="12" s="1"/>
  <c r="K523" i="12" s="1"/>
  <c r="K524" i="12" s="1"/>
  <c r="K525" i="12" s="1"/>
  <c r="K526" i="12" s="1"/>
  <c r="K527" i="12" s="1"/>
  <c r="K528" i="12" s="1"/>
  <c r="K529" i="12" s="1"/>
  <c r="K530" i="12" s="1"/>
  <c r="K531" i="12" s="1"/>
  <c r="K532" i="12" s="1"/>
  <c r="K533" i="12" s="1"/>
  <c r="K534" i="12" s="1"/>
  <c r="K535" i="12" s="1"/>
  <c r="K536" i="12" s="1"/>
  <c r="K537" i="12" s="1"/>
  <c r="K538" i="12" s="1"/>
  <c r="K539" i="12" s="1"/>
  <c r="K540" i="12" s="1"/>
  <c r="K541" i="12" s="1"/>
  <c r="K542" i="12" s="1"/>
  <c r="K543" i="12" s="1"/>
  <c r="K544" i="12" s="1"/>
  <c r="K545" i="12" s="1"/>
  <c r="K546" i="12" s="1"/>
  <c r="K547" i="12" s="1"/>
  <c r="K548" i="12" s="1"/>
  <c r="K549" i="12" s="1"/>
  <c r="K550" i="12" s="1"/>
  <c r="K551" i="12" s="1"/>
  <c r="K552" i="12" s="1"/>
  <c r="K553" i="12" s="1"/>
  <c r="K554" i="12" s="1"/>
  <c r="K555" i="12" s="1"/>
  <c r="K556" i="12" s="1"/>
  <c r="K557" i="12" s="1"/>
  <c r="K558" i="12" s="1"/>
  <c r="K559" i="12" s="1"/>
  <c r="K560" i="12" s="1"/>
  <c r="K561" i="12" s="1"/>
  <c r="K562" i="12" s="1"/>
  <c r="K563" i="12" s="1"/>
  <c r="K564" i="12" s="1"/>
  <c r="K565" i="12" s="1"/>
  <c r="K566" i="12" s="1"/>
  <c r="K567" i="12" s="1"/>
  <c r="K568" i="12" s="1"/>
  <c r="K569" i="12" s="1"/>
  <c r="K570" i="12" s="1"/>
  <c r="K571" i="12" s="1"/>
  <c r="K572" i="12" s="1"/>
  <c r="K573" i="12" s="1"/>
  <c r="K574" i="12" s="1"/>
  <c r="K575" i="12" s="1"/>
  <c r="K576" i="12" s="1"/>
  <c r="K577" i="12" s="1"/>
  <c r="K578" i="12" s="1"/>
  <c r="K579" i="12" s="1"/>
  <c r="K580" i="12" s="1"/>
  <c r="K581" i="12" s="1"/>
  <c r="K582" i="12" s="1"/>
  <c r="K583" i="12" s="1"/>
  <c r="K584" i="12" s="1"/>
  <c r="K585" i="12" s="1"/>
  <c r="K586" i="12" s="1"/>
  <c r="K587" i="12" s="1"/>
  <c r="K588" i="12" s="1"/>
  <c r="K589" i="12" s="1"/>
  <c r="K590" i="12" s="1"/>
  <c r="K591" i="12" s="1"/>
  <c r="K592" i="12" s="1"/>
  <c r="K593" i="12" s="1"/>
  <c r="K594" i="12" s="1"/>
  <c r="K595" i="12" s="1"/>
  <c r="K596" i="12" s="1"/>
  <c r="K597" i="12" s="1"/>
  <c r="K598" i="12" s="1"/>
  <c r="K599" i="12" s="1"/>
  <c r="K600" i="12" s="1"/>
  <c r="K601" i="12" s="1"/>
  <c r="K602" i="12" s="1"/>
  <c r="K603" i="12" s="1"/>
  <c r="K604" i="12" s="1"/>
  <c r="K605" i="12" s="1"/>
  <c r="K606" i="12" s="1"/>
  <c r="K607" i="12" s="1"/>
  <c r="K608" i="12" s="1"/>
  <c r="K609" i="12" s="1"/>
  <c r="K610" i="12" s="1"/>
  <c r="K611" i="12" s="1"/>
  <c r="K612" i="12" s="1"/>
  <c r="K613" i="12" s="1"/>
  <c r="K614" i="12" s="1"/>
  <c r="K615" i="12" s="1"/>
  <c r="K616" i="12" s="1"/>
  <c r="K617" i="12" s="1"/>
  <c r="K618" i="12" s="1"/>
  <c r="K619" i="12" s="1"/>
  <c r="K620" i="12" s="1"/>
  <c r="K621" i="12" s="1"/>
  <c r="K622" i="12" s="1"/>
  <c r="K623" i="12" s="1"/>
  <c r="K624" i="12" s="1"/>
  <c r="K625" i="12" s="1"/>
  <c r="K626" i="12" s="1"/>
  <c r="K627" i="12" s="1"/>
  <c r="K628" i="12" s="1"/>
  <c r="K629" i="12" s="1"/>
  <c r="K630" i="12" s="1"/>
  <c r="K631" i="12" s="1"/>
  <c r="K632" i="12" s="1"/>
  <c r="K633" i="12" s="1"/>
  <c r="K634" i="12" s="1"/>
  <c r="K635" i="12" s="1"/>
  <c r="K636" i="12" s="1"/>
  <c r="K637" i="12" s="1"/>
  <c r="K638" i="12" s="1"/>
  <c r="K639" i="12" s="1"/>
  <c r="K640" i="12" s="1"/>
  <c r="K641" i="12" s="1"/>
  <c r="K642" i="12" s="1"/>
  <c r="K643" i="12" s="1"/>
  <c r="K644" i="12" s="1"/>
  <c r="K645" i="12" s="1"/>
  <c r="K646" i="12" s="1"/>
  <c r="K647" i="12" s="1"/>
  <c r="K648" i="12" s="1"/>
  <c r="K649" i="12" s="1"/>
  <c r="K650" i="12" s="1"/>
  <c r="K651" i="12" s="1"/>
  <c r="K652" i="12" s="1"/>
  <c r="K653" i="12" s="1"/>
  <c r="K654" i="12" s="1"/>
  <c r="K655" i="12" s="1"/>
  <c r="K656" i="12" s="1"/>
  <c r="K657" i="12" s="1"/>
  <c r="K658" i="12" s="1"/>
  <c r="K659" i="12" s="1"/>
  <c r="K660" i="12" s="1"/>
  <c r="K661" i="12" s="1"/>
  <c r="K662" i="12" s="1"/>
  <c r="K663" i="12" s="1"/>
  <c r="K664" i="12" s="1"/>
  <c r="K665" i="12" s="1"/>
  <c r="K666" i="12" s="1"/>
  <c r="K667" i="12" s="1"/>
  <c r="K668" i="12" s="1"/>
  <c r="K669" i="12" s="1"/>
  <c r="K670" i="12" s="1"/>
  <c r="K671" i="12" s="1"/>
  <c r="K672" i="12" s="1"/>
  <c r="K673" i="12" s="1"/>
  <c r="K674" i="12" s="1"/>
  <c r="K675" i="12" s="1"/>
  <c r="K676" i="12" s="1"/>
  <c r="K677" i="12" s="1"/>
  <c r="K678" i="12" s="1"/>
  <c r="K679" i="12" s="1"/>
  <c r="K680" i="12" s="1"/>
  <c r="K681" i="12" s="1"/>
  <c r="K682" i="12" s="1"/>
  <c r="K683" i="12" s="1"/>
  <c r="K684" i="12" s="1"/>
  <c r="K685" i="12" s="1"/>
  <c r="K686" i="12" s="1"/>
  <c r="K687" i="12" s="1"/>
  <c r="K688" i="12" s="1"/>
  <c r="K689" i="12" s="1"/>
  <c r="K690" i="12" s="1"/>
  <c r="K691" i="12" s="1"/>
  <c r="K692" i="12" s="1"/>
  <c r="K693" i="12" s="1"/>
  <c r="K694" i="12" s="1"/>
  <c r="K695" i="12" s="1"/>
  <c r="K696" i="12" s="1"/>
  <c r="K697" i="12" s="1"/>
  <c r="C254" i="10"/>
  <c r="M184" i="12" l="1"/>
  <c r="M185" i="12" s="1"/>
  <c r="N191" i="12"/>
  <c r="N192" i="12" s="1"/>
  <c r="I254" i="10"/>
  <c r="I488" i="9" l="1"/>
  <c r="G488" i="9"/>
  <c r="C488" i="9"/>
  <c r="J5" i="9"/>
  <c r="J6" i="9" s="1"/>
  <c r="J7" i="9" l="1"/>
  <c r="J8" i="9" s="1"/>
  <c r="J9" i="9" s="1"/>
  <c r="J10" i="9" s="1"/>
  <c r="J11" i="9" s="1"/>
  <c r="J12" i="9" l="1"/>
  <c r="J13" i="9" s="1"/>
  <c r="J14" i="9" s="1"/>
  <c r="J15" i="9" l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l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5" i="4"/>
  <c r="J82" i="9" l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5" i="2"/>
  <c r="J6" i="2" s="1"/>
  <c r="J130" i="9" l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289" i="9" s="1"/>
  <c r="J290" i="9" s="1"/>
  <c r="J291" i="9" s="1"/>
  <c r="J292" i="9" s="1"/>
  <c r="J293" i="9" s="1"/>
  <c r="J294" i="9" s="1"/>
  <c r="J295" i="9" s="1"/>
  <c r="J296" i="9" s="1"/>
  <c r="J297" i="9" s="1"/>
  <c r="J298" i="9" s="1"/>
  <c r="J299" i="9" s="1"/>
  <c r="J300" i="9" s="1"/>
  <c r="J301" i="9" s="1"/>
  <c r="J302" i="9" s="1"/>
  <c r="J303" i="9" s="1"/>
  <c r="J304" i="9" s="1"/>
  <c r="J305" i="9" s="1"/>
  <c r="J306" i="9" s="1"/>
  <c r="J307" i="9" s="1"/>
  <c r="J308" i="9" s="1"/>
  <c r="J309" i="9" s="1"/>
  <c r="J310" i="9" s="1"/>
  <c r="J311" i="9" s="1"/>
  <c r="J312" i="9" s="1"/>
  <c r="J313" i="9" s="1"/>
  <c r="J314" i="9" s="1"/>
  <c r="J315" i="9" s="1"/>
  <c r="J316" i="9" s="1"/>
  <c r="J317" i="9" s="1"/>
  <c r="J318" i="9" s="1"/>
  <c r="J319" i="9" s="1"/>
  <c r="J320" i="9" s="1"/>
  <c r="J321" i="9" s="1"/>
  <c r="J322" i="9" s="1"/>
  <c r="J323" i="9" s="1"/>
  <c r="J324" i="9" s="1"/>
  <c r="J325" i="9" s="1"/>
  <c r="J326" i="9" s="1"/>
  <c r="J327" i="9" s="1"/>
  <c r="J328" i="9" s="1"/>
  <c r="J329" i="9" s="1"/>
  <c r="J330" i="9" s="1"/>
  <c r="J331" i="9" s="1"/>
  <c r="J332" i="9" s="1"/>
  <c r="J333" i="9" s="1"/>
  <c r="J334" i="9" s="1"/>
  <c r="J335" i="9" s="1"/>
  <c r="J336" i="9" s="1"/>
  <c r="J337" i="9" s="1"/>
  <c r="J338" i="9" s="1"/>
  <c r="J339" i="9" s="1"/>
  <c r="J340" i="9" s="1"/>
  <c r="J341" i="9" s="1"/>
  <c r="J342" i="9" s="1"/>
  <c r="J343" i="9" s="1"/>
  <c r="J344" i="9" s="1"/>
  <c r="J345" i="9" s="1"/>
  <c r="J346" i="9" s="1"/>
  <c r="J347" i="9" s="1"/>
  <c r="J348" i="9" s="1"/>
  <c r="J349" i="9" s="1"/>
  <c r="J350" i="9" s="1"/>
  <c r="J351" i="9" s="1"/>
  <c r="J352" i="9" s="1"/>
  <c r="J353" i="9" s="1"/>
  <c r="J354" i="9" s="1"/>
  <c r="J355" i="9" s="1"/>
  <c r="J356" i="9" s="1"/>
  <c r="J357" i="9" s="1"/>
  <c r="J358" i="9" s="1"/>
  <c r="J359" i="9" s="1"/>
  <c r="J360" i="9" s="1"/>
  <c r="J361" i="9" s="1"/>
  <c r="J362" i="9" s="1"/>
  <c r="J363" i="9" s="1"/>
  <c r="J364" i="9" s="1"/>
  <c r="J365" i="9" s="1"/>
  <c r="J366" i="9" s="1"/>
  <c r="J367" i="9" s="1"/>
  <c r="J368" i="9" s="1"/>
  <c r="J369" i="9" s="1"/>
  <c r="J370" i="9" s="1"/>
  <c r="J371" i="9" s="1"/>
  <c r="J372" i="9" s="1"/>
  <c r="J373" i="9" s="1"/>
  <c r="J374" i="9" s="1"/>
  <c r="J375" i="9" s="1"/>
  <c r="J376" i="9" s="1"/>
  <c r="J377" i="9" s="1"/>
  <c r="J378" i="9" s="1"/>
  <c r="J379" i="9" s="1"/>
  <c r="J380" i="9" s="1"/>
  <c r="J381" i="9" s="1"/>
  <c r="J382" i="9" s="1"/>
  <c r="J383" i="9" s="1"/>
  <c r="J384" i="9" s="1"/>
  <c r="J385" i="9" s="1"/>
  <c r="J386" i="9" s="1"/>
  <c r="J387" i="9" s="1"/>
  <c r="J388" i="9" s="1"/>
  <c r="J389" i="9" s="1"/>
  <c r="J390" i="9" s="1"/>
  <c r="J391" i="9" s="1"/>
  <c r="J392" i="9" s="1"/>
  <c r="J393" i="9" s="1"/>
  <c r="J394" i="9" s="1"/>
  <c r="J395" i="9" s="1"/>
  <c r="J396" i="9" s="1"/>
  <c r="J397" i="9" s="1"/>
  <c r="J398" i="9" s="1"/>
  <c r="J399" i="9" s="1"/>
  <c r="J400" i="9" s="1"/>
  <c r="J401" i="9" s="1"/>
  <c r="J402" i="9" s="1"/>
  <c r="J403" i="9" s="1"/>
  <c r="J404" i="9" s="1"/>
  <c r="J405" i="9" s="1"/>
  <c r="J406" i="9" s="1"/>
  <c r="J407" i="9" s="1"/>
  <c r="J408" i="9" s="1"/>
  <c r="J409" i="9" s="1"/>
  <c r="J410" i="9" s="1"/>
  <c r="J411" i="9" s="1"/>
  <c r="J412" i="9" s="1"/>
  <c r="J413" i="9" s="1"/>
  <c r="J414" i="9" s="1"/>
  <c r="J415" i="9" s="1"/>
  <c r="J416" i="9" s="1"/>
  <c r="J417" i="9" s="1"/>
  <c r="J418" i="9" s="1"/>
  <c r="J419" i="9" s="1"/>
  <c r="J420" i="9" s="1"/>
  <c r="J421" i="9" s="1"/>
  <c r="J422" i="9" s="1"/>
  <c r="J423" i="9" s="1"/>
  <c r="J424" i="9" s="1"/>
  <c r="J425" i="9" s="1"/>
  <c r="J426" i="9" s="1"/>
  <c r="J427" i="9" s="1"/>
  <c r="J428" i="9" s="1"/>
  <c r="J429" i="9" s="1"/>
  <c r="J430" i="9" s="1"/>
  <c r="J431" i="9" s="1"/>
  <c r="J432" i="9" s="1"/>
  <c r="J433" i="9" s="1"/>
  <c r="J434" i="9" s="1"/>
  <c r="J435" i="9" s="1"/>
  <c r="J436" i="9" s="1"/>
  <c r="J437" i="9" s="1"/>
  <c r="J438" i="9" s="1"/>
  <c r="J439" i="9" s="1"/>
  <c r="J440" i="9" s="1"/>
  <c r="J441" i="9" s="1"/>
  <c r="J442" i="9" s="1"/>
  <c r="J443" i="9" s="1"/>
  <c r="J444" i="9" s="1"/>
  <c r="J445" i="9" s="1"/>
  <c r="J446" i="9" s="1"/>
  <c r="J447" i="9" s="1"/>
  <c r="J448" i="9" s="1"/>
  <c r="J449" i="9" s="1"/>
  <c r="J450" i="9" s="1"/>
  <c r="J451" i="9" s="1"/>
  <c r="J452" i="9" s="1"/>
  <c r="J453" i="9" s="1"/>
  <c r="J454" i="9" s="1"/>
  <c r="J455" i="9" s="1"/>
  <c r="J456" i="9" s="1"/>
  <c r="J457" i="9" s="1"/>
  <c r="J458" i="9" s="1"/>
  <c r="J459" i="9" s="1"/>
  <c r="J460" i="9" s="1"/>
  <c r="J461" i="9" s="1"/>
  <c r="J462" i="9" s="1"/>
  <c r="J463" i="9" s="1"/>
  <c r="J464" i="9" s="1"/>
  <c r="J465" i="9" s="1"/>
  <c r="J466" i="9" s="1"/>
  <c r="J467" i="9" s="1"/>
  <c r="J468" i="9" s="1"/>
  <c r="J469" i="9" s="1"/>
  <c r="J470" i="9" s="1"/>
  <c r="J471" i="9" s="1"/>
  <c r="J472" i="9" s="1"/>
  <c r="J473" i="9" s="1"/>
  <c r="J474" i="9" s="1"/>
  <c r="J475" i="9" s="1"/>
  <c r="J476" i="9" s="1"/>
  <c r="J477" i="9" s="1"/>
  <c r="J478" i="9" s="1"/>
  <c r="J479" i="9" s="1"/>
  <c r="J480" i="9" s="1"/>
  <c r="J481" i="9" s="1"/>
  <c r="J482" i="9" s="1"/>
  <c r="J483" i="9" s="1"/>
  <c r="J484" i="9" s="1"/>
  <c r="J485" i="9" s="1"/>
  <c r="J486" i="9" s="1"/>
  <c r="J487" i="9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G254" i="10"/>
  <c r="J32" i="2" l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6" i="10"/>
  <c r="J7" i="10" l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73" i="2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l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26" i="10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L23" i="10"/>
  <c r="J173" i="2" l="1"/>
  <c r="J174" i="2" s="1"/>
  <c r="J175" i="2" s="1"/>
  <c r="J176" i="2" s="1"/>
  <c r="J177" i="2" s="1"/>
  <c r="J106" i="10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78" i="2" l="1"/>
  <c r="J179" i="2" s="1"/>
  <c r="J180" i="2" s="1"/>
  <c r="J166" i="10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  <c r="J202" i="10" s="1"/>
  <c r="J203" i="10" s="1"/>
  <c r="J204" i="10" s="1"/>
  <c r="J205" i="10" s="1"/>
  <c r="J206" i="10" s="1"/>
  <c r="J207" i="10" s="1"/>
  <c r="J208" i="10" s="1"/>
  <c r="J209" i="10" s="1"/>
  <c r="J210" i="10" s="1"/>
  <c r="J211" i="10" s="1"/>
  <c r="J212" i="10" s="1"/>
  <c r="J213" i="10" s="1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J250" i="10" s="1"/>
  <c r="J251" i="10" s="1"/>
  <c r="J252" i="10" s="1"/>
  <c r="J253" i="10" s="1"/>
  <c r="J181" i="2" l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193" i="2" l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85" i="4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M285" i="4"/>
  <c r="M286" i="4" s="1"/>
  <c r="J204" i="2" l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M321" i="4"/>
  <c r="J322" i="4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l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L393" i="4"/>
  <c r="J456" i="4" l="1"/>
  <c r="J457" i="4" s="1"/>
  <c r="J458" i="4" s="1"/>
  <c r="J459" i="4" s="1"/>
  <c r="J460" i="4" s="1"/>
  <c r="J461" i="4" s="1"/>
  <c r="J462" i="4" s="1"/>
  <c r="J463" i="4" s="1"/>
  <c r="J464" i="4" s="1"/>
  <c r="J465" i="4" s="1"/>
  <c r="J466" i="4" l="1"/>
  <c r="J467" i="4" s="1"/>
  <c r="J468" i="4" s="1"/>
  <c r="J469" i="4" s="1"/>
  <c r="J470" i="4" s="1"/>
  <c r="J471" i="4" s="1"/>
  <c r="J472" i="4" l="1"/>
  <c r="J473" i="4" s="1"/>
  <c r="J474" i="4" s="1"/>
  <c r="J475" i="4" s="1"/>
  <c r="J476" i="4" s="1"/>
  <c r="J477" i="4" s="1"/>
  <c r="J478" i="4" s="1"/>
  <c r="J479" i="4" s="1"/>
  <c r="J480" i="4" s="1"/>
  <c r="J481" i="4" l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l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l="1"/>
  <c r="J518" i="4" s="1"/>
  <c r="J519" i="4" s="1"/>
  <c r="J520" i="4" s="1"/>
  <c r="J521" i="4" s="1"/>
  <c r="J522" i="4" s="1"/>
  <c r="J523" i="4" l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l="1"/>
  <c r="D388" i="5"/>
  <c r="H388" i="5"/>
  <c r="J388" i="5"/>
  <c r="J708" i="4" l="1"/>
  <c r="J709" i="4" l="1"/>
  <c r="J710" i="4" l="1"/>
  <c r="J711" i="4" l="1"/>
  <c r="J712" i="4" l="1"/>
  <c r="J713" i="4" l="1"/>
  <c r="J714" i="4" l="1"/>
  <c r="J715" i="4" l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727" i="4" s="1"/>
  <c r="J728" i="4" s="1"/>
  <c r="J729" i="4" s="1"/>
  <c r="J730" i="4" s="1"/>
  <c r="J731" i="4" s="1"/>
  <c r="J732" i="4" s="1"/>
  <c r="J733" i="4" s="1"/>
  <c r="J734" i="4" s="1"/>
  <c r="J735" i="4" s="1"/>
  <c r="J736" i="4" s="1"/>
  <c r="J737" i="4" s="1"/>
  <c r="J738" i="4" s="1"/>
  <c r="J739" i="4" s="1"/>
  <c r="J740" i="4" s="1"/>
  <c r="J741" i="4" s="1"/>
  <c r="J742" i="4" s="1"/>
  <c r="J743" i="4" s="1"/>
  <c r="J744" i="4" s="1"/>
  <c r="J745" i="4" s="1"/>
  <c r="J746" i="4" s="1"/>
  <c r="J747" i="4" s="1"/>
  <c r="J748" i="4" s="1"/>
  <c r="J749" i="4" s="1"/>
  <c r="J750" i="4" s="1"/>
  <c r="J751" i="4" s="1"/>
  <c r="J752" i="4" s="1"/>
  <c r="J753" i="4" s="1"/>
  <c r="J754" i="4" s="1"/>
  <c r="J755" i="4" s="1"/>
  <c r="J756" i="4" s="1"/>
  <c r="J757" i="4" s="1"/>
  <c r="J758" i="4" s="1"/>
  <c r="J759" i="4" s="1"/>
  <c r="J760" i="4" s="1"/>
  <c r="J761" i="4" s="1"/>
  <c r="J762" i="4" s="1"/>
  <c r="J763" i="4" s="1"/>
  <c r="J764" i="4" s="1"/>
  <c r="J765" i="4" s="1"/>
  <c r="J766" i="4" s="1"/>
  <c r="J767" i="4" s="1"/>
  <c r="J768" i="4" s="1"/>
  <c r="J769" i="4" s="1"/>
  <c r="J770" i="4" s="1"/>
  <c r="J771" i="4" s="1"/>
  <c r="J772" i="4" s="1"/>
  <c r="J773" i="4" s="1"/>
  <c r="J774" i="4" s="1"/>
  <c r="J775" i="4" s="1"/>
  <c r="J776" i="4" s="1"/>
  <c r="J777" i="4" s="1"/>
  <c r="J778" i="4" s="1"/>
  <c r="J779" i="4" s="1"/>
  <c r="J780" i="4" s="1"/>
  <c r="J781" i="4" s="1"/>
  <c r="J782" i="4" s="1"/>
  <c r="J783" i="4" s="1"/>
  <c r="J784" i="4" s="1"/>
  <c r="J785" i="4" s="1"/>
  <c r="J786" i="4" s="1"/>
  <c r="J787" i="4" s="1"/>
  <c r="J788" i="4" s="1"/>
  <c r="J789" i="4" s="1"/>
  <c r="J790" i="4" s="1"/>
  <c r="J791" i="4" s="1"/>
  <c r="J792" i="4" s="1"/>
  <c r="J793" i="4" s="1"/>
  <c r="J794" i="4" s="1"/>
  <c r="J795" i="4" s="1"/>
  <c r="J796" i="4" s="1"/>
  <c r="J797" i="4" s="1"/>
  <c r="J798" i="4" s="1"/>
  <c r="J799" i="4" s="1"/>
  <c r="J800" i="4" s="1"/>
  <c r="J801" i="4" s="1"/>
  <c r="J802" i="4" s="1"/>
  <c r="J803" i="4" s="1"/>
  <c r="J804" i="4" s="1"/>
  <c r="J805" i="4" s="1"/>
  <c r="J806" i="4" s="1"/>
  <c r="J807" i="4" s="1"/>
  <c r="J808" i="4" s="1"/>
  <c r="J809" i="4" l="1"/>
  <c r="J810" i="4" s="1"/>
  <c r="J811" i="4" s="1"/>
  <c r="J812" i="4" s="1"/>
  <c r="J813" i="4" s="1"/>
  <c r="J814" i="4" s="1"/>
  <c r="J815" i="4" s="1"/>
  <c r="J816" i="4" s="1"/>
  <c r="J817" i="4" s="1"/>
  <c r="J818" i="4" s="1"/>
  <c r="J819" i="4" s="1"/>
  <c r="J820" i="4" s="1"/>
  <c r="J821" i="4" s="1"/>
  <c r="J822" i="4" s="1"/>
  <c r="J823" i="4" s="1"/>
  <c r="J824" i="4" s="1"/>
  <c r="J825" i="4" s="1"/>
  <c r="J826" i="4" s="1"/>
  <c r="J827" i="4" s="1"/>
  <c r="J828" i="4" s="1"/>
  <c r="J829" i="4" s="1"/>
  <c r="J830" i="4" s="1"/>
  <c r="J831" i="4" s="1"/>
  <c r="J832" i="4" s="1"/>
  <c r="J833" i="4" s="1"/>
  <c r="J834" i="4" s="1"/>
  <c r="J835" i="4" s="1"/>
  <c r="J836" i="4" s="1"/>
  <c r="J837" i="4" s="1"/>
  <c r="J838" i="4" s="1"/>
  <c r="J839" i="4" s="1"/>
  <c r="J840" i="4" s="1"/>
  <c r="J841" i="4" s="1"/>
  <c r="J842" i="4" s="1"/>
  <c r="J843" i="4" s="1"/>
  <c r="J844" i="4" s="1"/>
  <c r="J845" i="4" s="1"/>
  <c r="J846" i="4" s="1"/>
  <c r="J847" i="4" s="1"/>
  <c r="J848" i="4" s="1"/>
  <c r="J849" i="4" s="1"/>
  <c r="J850" i="4" s="1"/>
  <c r="J851" i="4" s="1"/>
  <c r="J852" i="4" s="1"/>
  <c r="J853" i="4" s="1"/>
  <c r="J854" i="4" s="1"/>
  <c r="J855" i="4" s="1"/>
  <c r="J856" i="4" s="1"/>
  <c r="J857" i="4" s="1"/>
  <c r="J858" i="4" s="1"/>
  <c r="J859" i="4" s="1"/>
  <c r="J860" i="4" s="1"/>
  <c r="J861" i="4" s="1"/>
  <c r="J862" i="4" s="1"/>
  <c r="J863" i="4" s="1"/>
  <c r="J864" i="4" s="1"/>
  <c r="J865" i="4" s="1"/>
  <c r="J866" i="4" s="1"/>
  <c r="J867" i="4" l="1"/>
  <c r="J868" i="4" s="1"/>
  <c r="J869" i="4" s="1"/>
  <c r="J870" i="4" s="1"/>
  <c r="J871" i="4" s="1"/>
  <c r="J872" i="4" s="1"/>
  <c r="J873" i="4" s="1"/>
  <c r="J874" i="4" s="1"/>
  <c r="J875" i="4" s="1"/>
  <c r="J876" i="4" s="1"/>
  <c r="J877" i="4" s="1"/>
  <c r="J878" i="4" s="1"/>
  <c r="J879" i="4" s="1"/>
  <c r="J880" i="4" s="1"/>
  <c r="J881" i="4" s="1"/>
  <c r="J882" i="4" s="1"/>
  <c r="J883" i="4" s="1"/>
  <c r="J884" i="4" s="1"/>
  <c r="J885" i="4" s="1"/>
  <c r="J886" i="4" s="1"/>
  <c r="J887" i="4" s="1"/>
  <c r="J888" i="4" s="1"/>
  <c r="J889" i="4" s="1"/>
  <c r="J890" i="4" s="1"/>
  <c r="J891" i="4" s="1"/>
  <c r="J892" i="4" s="1"/>
  <c r="J893" i="4" s="1"/>
  <c r="J894" i="4" s="1"/>
  <c r="J895" i="4" s="1"/>
  <c r="J896" i="4" s="1"/>
  <c r="J897" i="4" s="1"/>
  <c r="J898" i="4" s="1"/>
  <c r="J899" i="4" s="1"/>
  <c r="J900" i="4" s="1"/>
  <c r="J901" i="4" s="1"/>
  <c r="J902" i="4" s="1"/>
  <c r="J903" i="4" s="1"/>
  <c r="J904" i="4" s="1"/>
  <c r="J905" i="4" s="1"/>
  <c r="J906" i="4" s="1"/>
  <c r="J907" i="4" s="1"/>
  <c r="J908" i="4" s="1"/>
  <c r="J909" i="4" s="1"/>
  <c r="J910" i="4" s="1"/>
  <c r="J911" i="4" s="1"/>
  <c r="J912" i="4" s="1"/>
  <c r="J913" i="4" s="1"/>
  <c r="J914" i="4" s="1"/>
  <c r="J915" i="4" s="1"/>
  <c r="J916" i="4" s="1"/>
  <c r="J917" i="4" s="1"/>
  <c r="J918" i="4" s="1"/>
  <c r="J919" i="4" s="1"/>
  <c r="J920" i="4" s="1"/>
  <c r="J921" i="4" s="1"/>
</calcChain>
</file>

<file path=xl/sharedStrings.xml><?xml version="1.0" encoding="utf-8"?>
<sst xmlns="http://schemas.openxmlformats.org/spreadsheetml/2006/main" count="7461" uniqueCount="1287">
  <si>
    <t>Travelling</t>
  </si>
  <si>
    <t>Petrol</t>
  </si>
  <si>
    <t>Labour</t>
  </si>
  <si>
    <t>OPENING BALANCE</t>
  </si>
  <si>
    <t>CLOSING BALANCE</t>
  </si>
  <si>
    <t>DATE</t>
  </si>
  <si>
    <t>CASH IN</t>
  </si>
  <si>
    <t>AMOUNT</t>
  </si>
  <si>
    <t>SITE NAME</t>
  </si>
  <si>
    <t>CATEGORY</t>
  </si>
  <si>
    <t>PARTICULARS</t>
  </si>
  <si>
    <t>AMOUNT2</t>
  </si>
  <si>
    <t>CASH OUT</t>
  </si>
  <si>
    <t>AMOUNT3</t>
  </si>
  <si>
    <t>BALANCE</t>
  </si>
  <si>
    <t>TOTAL</t>
  </si>
  <si>
    <t>Masson</t>
  </si>
  <si>
    <t>Misc Exp.</t>
  </si>
  <si>
    <t>Divyansh</t>
  </si>
  <si>
    <t>Contractor Pay</t>
  </si>
  <si>
    <t>Material Purchase</t>
  </si>
  <si>
    <t>Vikas Engg</t>
  </si>
  <si>
    <t>Diesel for bolero</t>
  </si>
  <si>
    <t>Vikash</t>
  </si>
  <si>
    <t>Machinary</t>
  </si>
  <si>
    <t>Diesel for Machinary</t>
  </si>
  <si>
    <t>Carriage</t>
  </si>
  <si>
    <t>Employee Personal</t>
  </si>
  <si>
    <t>Sonu Personal</t>
  </si>
  <si>
    <t>Toll Tax</t>
  </si>
  <si>
    <t>Employee Exp.</t>
  </si>
  <si>
    <t>ROOM RENT</t>
  </si>
  <si>
    <t>BIPIN (VEW ATM)</t>
  </si>
  <si>
    <t xml:space="preserve">Vikas Engg </t>
  </si>
  <si>
    <t>MISC. Exp</t>
  </si>
  <si>
    <t>1 Labour 700/-</t>
  </si>
  <si>
    <t>2 Labour 700/-</t>
  </si>
  <si>
    <t>Employee Exp</t>
  </si>
  <si>
    <t>Other Exp.</t>
  </si>
  <si>
    <t>VRK</t>
  </si>
  <si>
    <t>Food</t>
  </si>
  <si>
    <t>DIVYANSH EXPENSE</t>
  </si>
  <si>
    <t>Office Milk</t>
  </si>
  <si>
    <t>Office Exp.</t>
  </si>
  <si>
    <t>BIPIN EXPENSE</t>
  </si>
  <si>
    <t>Bipin Paytm</t>
  </si>
  <si>
    <t>Divyansh Paytm</t>
  </si>
  <si>
    <t>VIKAS ENGG</t>
  </si>
  <si>
    <t xml:space="preserve">VRK Banquet </t>
  </si>
  <si>
    <t>HOME</t>
  </si>
  <si>
    <t>VEW ATM</t>
  </si>
  <si>
    <t>Divyansh (ATM)</t>
  </si>
  <si>
    <t>Petrol Paytm</t>
  </si>
  <si>
    <t>Sonu</t>
  </si>
  <si>
    <t>Lalit</t>
  </si>
  <si>
    <t xml:space="preserve">Travelling </t>
  </si>
  <si>
    <t>3 Labour 700/-</t>
  </si>
  <si>
    <t xml:space="preserve">Lalit </t>
  </si>
  <si>
    <t>Birumal Jairam</t>
  </si>
  <si>
    <t xml:space="preserve">CARRIAGE </t>
  </si>
  <si>
    <t>CARRIAGE FOR AGGARWAL MATERIAL</t>
  </si>
  <si>
    <t>ALPAS</t>
  </si>
  <si>
    <t>VIKAS PAYTM</t>
  </si>
  <si>
    <t>Bipin</t>
  </si>
  <si>
    <t>Gurcharan</t>
  </si>
  <si>
    <t>Rock Rose Sector 20 Chandigarh</t>
  </si>
  <si>
    <t>Diesel for Thar</t>
  </si>
  <si>
    <t xml:space="preserve">Per.Labour </t>
  </si>
  <si>
    <t xml:space="preserve">Labour </t>
  </si>
  <si>
    <t>Mobile Recharge</t>
  </si>
  <si>
    <t>1 Masson 900/-</t>
  </si>
  <si>
    <t xml:space="preserve">Gurcharan </t>
  </si>
  <si>
    <t>Lalit Personal</t>
  </si>
  <si>
    <t>Ashu Paytm</t>
  </si>
  <si>
    <t>Bharat Per. Labour</t>
  </si>
  <si>
    <t xml:space="preserve">Carriage </t>
  </si>
  <si>
    <t>4 Labour 700/-</t>
  </si>
  <si>
    <t>6 Labour 700/-</t>
  </si>
  <si>
    <t>Bipin Personal Paytm</t>
  </si>
  <si>
    <t>Madhu Trading Company</t>
  </si>
  <si>
    <t>Per. Labour Deepak Personal</t>
  </si>
  <si>
    <t>Deepu Room Rent</t>
  </si>
  <si>
    <t xml:space="preserve">Per. Labour </t>
  </si>
  <si>
    <t>1 labour 800/-</t>
  </si>
  <si>
    <t>2  Labour 700/-</t>
  </si>
  <si>
    <t>Alpas</t>
  </si>
  <si>
    <t>Guru Teg Bahadur,Anandpur Sahib</t>
  </si>
  <si>
    <t>RAKESH EXPENSE</t>
  </si>
  <si>
    <t>Other exp.</t>
  </si>
  <si>
    <t xml:space="preserve">Carriage for tiles </t>
  </si>
  <si>
    <t>Per.Labour Deepak Personal</t>
  </si>
  <si>
    <t>Mohinder , Lalru</t>
  </si>
  <si>
    <t>Toll tax</t>
  </si>
  <si>
    <t>Electrician on contt</t>
  </si>
  <si>
    <t>Sehdev Per. Labour</t>
  </si>
  <si>
    <t>Mohindar , Lalru</t>
  </si>
  <si>
    <t>Mohindar ,Lalru</t>
  </si>
  <si>
    <t>From Kala VRK Cash</t>
  </si>
  <si>
    <t>Rakesh Cash</t>
  </si>
  <si>
    <t>Home</t>
  </si>
  <si>
    <t>Bharat Per. Labour Adv</t>
  </si>
  <si>
    <t>Water Tanker</t>
  </si>
  <si>
    <t>Rock Rose Sec 20 Chd</t>
  </si>
  <si>
    <t>Travelling (Rock Rose)</t>
  </si>
  <si>
    <t xml:space="preserve">Room Rent </t>
  </si>
  <si>
    <t xml:space="preserve">Paver Contractor </t>
  </si>
  <si>
    <t>Tile Contractor pay</t>
  </si>
  <si>
    <t>Electrcian Pay</t>
  </si>
  <si>
    <t>Birumal Jairam Amloh</t>
  </si>
  <si>
    <t>5 Labour 700/-</t>
  </si>
  <si>
    <t>Chunna</t>
  </si>
  <si>
    <t>TOOR HP Centre</t>
  </si>
  <si>
    <t xml:space="preserve">Sand 200 feet </t>
  </si>
  <si>
    <t>Nut Bolt</t>
  </si>
  <si>
    <t>Mohinder, lalru</t>
  </si>
  <si>
    <t>Toor Hp Centre</t>
  </si>
  <si>
    <t>Gatka Pay (Bharat)</t>
  </si>
  <si>
    <t>Paver Contractor</t>
  </si>
  <si>
    <t>Bharat Per. Labour Adv.</t>
  </si>
  <si>
    <t>Travelling Office</t>
  </si>
  <si>
    <t>Travelling (Mohindar, Lalru) up and Down</t>
  </si>
  <si>
    <t>3  Labour 700/-</t>
  </si>
  <si>
    <t>6  Labour 700/-</t>
  </si>
  <si>
    <t>4  Labour 700/-</t>
  </si>
  <si>
    <t>Gurwinder for Mohinder Pavers Cash</t>
  </si>
  <si>
    <t>Office Furniture Adv. Paytm</t>
  </si>
  <si>
    <t>divyansh travel Chandigarh to lalru (up and Down)</t>
  </si>
  <si>
    <t>Carriage for Shuttering Truck</t>
  </si>
  <si>
    <t>Steel Contractor</t>
  </si>
  <si>
    <t>Motor cycle Petrol</t>
  </si>
  <si>
    <t>Shuttering Contractor Ajay Yadav</t>
  </si>
  <si>
    <t>H.S.D  Palace</t>
  </si>
  <si>
    <t>Sehdev Per. Labour 16-03-2026 to 31-03-2026</t>
  </si>
  <si>
    <t>Bank Valuation Cash Payment (kala 10000)</t>
  </si>
  <si>
    <t>Aleem Adv. Salary</t>
  </si>
  <si>
    <t>Vivek Sharma Adv. Salary</t>
  </si>
  <si>
    <t xml:space="preserve">Shuttering Pay </t>
  </si>
  <si>
    <t>Amandeep Security Guard Salary</t>
  </si>
  <si>
    <t>JCB Operator (Bunty)</t>
  </si>
  <si>
    <t>Satinder Singh Security Guard Salary</t>
  </si>
  <si>
    <t>Sukhwinder Singh Security Guard Salary</t>
  </si>
  <si>
    <t>R/c Tehsildar by kala</t>
  </si>
  <si>
    <t>Grit + Sand Material pay</t>
  </si>
  <si>
    <t>Coppar Wire Role</t>
  </si>
  <si>
    <t>JCB 3 hrs 20 mint</t>
  </si>
  <si>
    <t>Plumber Labour  (ellbo + tape + stopper)</t>
  </si>
  <si>
    <t>Carriage for shuttering  truck</t>
  </si>
  <si>
    <t>Aleem bike petrol</t>
  </si>
  <si>
    <t>Diesel site vivek</t>
  </si>
  <si>
    <t>Diesel site</t>
  </si>
  <si>
    <t>Travelling (Rock Rose and Office )</t>
  </si>
  <si>
    <t>Fevi kvik , steel wire , tape</t>
  </si>
  <si>
    <t xml:space="preserve">Carriage for CVT, Stablizer </t>
  </si>
  <si>
    <t xml:space="preserve">Tepla </t>
  </si>
  <si>
    <t>Travelling (Tepla) up and Down</t>
  </si>
  <si>
    <t xml:space="preserve">Paver Labour Travel </t>
  </si>
  <si>
    <t>Machine  Chamber Frame   13.50 kgs</t>
  </si>
  <si>
    <t>Paver Contractor Pay</t>
  </si>
  <si>
    <t>Vishal Per. Labour Personal</t>
  </si>
  <si>
    <t>Danish Salary Feb Month 26 Clear</t>
  </si>
  <si>
    <t xml:space="preserve">Primer </t>
  </si>
  <si>
    <t>Water Tanker 25-03-2026 to 31-03-2026</t>
  </si>
  <si>
    <t xml:space="preserve">Sand Paper 10 pcs , Rollar For Paint 2 pcs , Rope for roof top slab groving </t>
  </si>
  <si>
    <t>Fine Sand 1240 feet  (620 @ 2 no)</t>
  </si>
  <si>
    <t>Bharat Per. Labour  16-03-2026 to 31-03-2026</t>
  </si>
  <si>
    <t>JCB Pay 05-04-2026 12:15 pm to 3:15 pm and 06-04-2026 8:15 am to 7:00 pm + up and Down 1 hrs</t>
  </si>
  <si>
    <t>Tepla</t>
  </si>
  <si>
    <t>1 Labou 700/-</t>
  </si>
  <si>
    <t>Carriage for Paint Material</t>
  </si>
  <si>
    <t>Mobil Oil for Kerb stone</t>
  </si>
  <si>
    <t xml:space="preserve">Sharma Extra Purchase bill for gst input </t>
  </si>
  <si>
    <t>new Stablizer  1 no</t>
  </si>
  <si>
    <t>Putti 2 Bag</t>
  </si>
  <si>
    <t>Carriage for Putti Bags</t>
  </si>
  <si>
    <t>Sand + Bajri 9-4-26 , dust 9-4-2026, Dust 5-4-2026 , Dust 02-04-2026</t>
  </si>
  <si>
    <t>Thread  + Rope</t>
  </si>
  <si>
    <t>4  Labour 700/- on half day</t>
  </si>
  <si>
    <t xml:space="preserve">4  Labour 700/- </t>
  </si>
  <si>
    <t>1 Labour 800/- (Painter)</t>
  </si>
  <si>
    <t>1 Labour 800/- (Painter) on Half Day</t>
  </si>
  <si>
    <t>1 Labour 1000/- (Painter)</t>
  </si>
  <si>
    <t xml:space="preserve"> 13-04-2026</t>
  </si>
  <si>
    <t xml:space="preserve">Cement 2 bag + 60 Feet Sand +60 feet Bajri </t>
  </si>
  <si>
    <t>Masking Tape</t>
  </si>
  <si>
    <t>Carriage for Shuttering Plates</t>
  </si>
  <si>
    <t>Pvc Pipe  40 mm</t>
  </si>
  <si>
    <t>JCB on Site 11:40am to 5:00 pm</t>
  </si>
  <si>
    <t>Cement 1 Bag and Sand</t>
  </si>
  <si>
    <t>L-key , Tape , Piler (tool)</t>
  </si>
  <si>
    <t>Carriage for Crash Barrier + weight (up and down)</t>
  </si>
  <si>
    <t>Carriage for Material shift (store to tpla)</t>
  </si>
  <si>
    <t xml:space="preserve">JCB On site 9:00am to 1:00 pm </t>
  </si>
  <si>
    <t>Bharat Per. Labour 01-04-2026 to 16--04-2026</t>
  </si>
  <si>
    <t>Sand 150  feet @ 35/- and Bajri 110 feet @38 /-</t>
  </si>
  <si>
    <t>Sand + bajri + Cement 1 Bag</t>
  </si>
  <si>
    <t>4 labour 800/-</t>
  </si>
  <si>
    <t>Raidy on rent for material shift 14-04-2026 to 14-04-2026</t>
  </si>
  <si>
    <t>4 labour 750/-</t>
  </si>
  <si>
    <t>Foreman GST Purchase Extra Bill pay</t>
  </si>
  <si>
    <t>Gurrey  GST Purchase Extra Bill pay</t>
  </si>
  <si>
    <t>Garg Trading  GST Purchase Extra Bill pay</t>
  </si>
  <si>
    <t>Fasner + Screw + Nails</t>
  </si>
  <si>
    <t>Carriage for Ms Plates + Shuttering for fdn casting</t>
  </si>
  <si>
    <t>1  Cement Bag</t>
  </si>
  <si>
    <t>20mm Bajri 150 feet @ 38/- , Cement 3 bag @ 390/-</t>
  </si>
  <si>
    <t>per. Labour Deepak Personal</t>
  </si>
  <si>
    <t xml:space="preserve">Carriage for Material shifting Birumal to Store </t>
  </si>
  <si>
    <t>Carriage for Material shifting Hammer Machine Mohinde to store</t>
  </si>
  <si>
    <t>4" Pvc Pipe 10feet</t>
  </si>
  <si>
    <t>Paver Contractor  for soil cutting road edges</t>
  </si>
  <si>
    <t>Carriage for material shift magna to Toor Hp Centre</t>
  </si>
  <si>
    <t>Bilti Electrical material (aggrwal)</t>
  </si>
  <si>
    <t>Carraige for electricla material shift (aggrwal)</t>
  </si>
  <si>
    <t>Carriage for fitting material (durga electrical to sec 20 chd)</t>
  </si>
  <si>
    <t>Carriage for Exhaust fan return (aggarwal)</t>
  </si>
  <si>
    <t>1 Labour 750/-</t>
  </si>
  <si>
    <t xml:space="preserve">Carriage for plate shift channa steel to store </t>
  </si>
  <si>
    <t xml:space="preserve"> Petrol (213 phase 2 mohli)</t>
  </si>
  <si>
    <t>LPG Gas Cylinder pay (on family absense)</t>
  </si>
  <si>
    <t>Bike Plug + Bike Tube</t>
  </si>
  <si>
    <t>Grinder Blade 3 pcs</t>
  </si>
  <si>
    <t>4 Labour 750/-</t>
  </si>
  <si>
    <t>3 Labour 750/-</t>
  </si>
  <si>
    <t>1 Masson 950 on Half Day</t>
  </si>
  <si>
    <t>RMC Wight</t>
  </si>
  <si>
    <t>Raidy on rent for material shift 19-04-2026 to 21-04-2026</t>
  </si>
  <si>
    <t>Earthing boring tool 1 no</t>
  </si>
  <si>
    <t>Carriage for Washbasin</t>
  </si>
  <si>
    <t>1 per. Labour Deepak personal</t>
  </si>
  <si>
    <t>Carriage for Cement 17/4, 13/4, 6/4,3/4,30/3, 26/3</t>
  </si>
  <si>
    <t>VEW Cheaque</t>
  </si>
  <si>
    <t>Tape role , Wire striper  and Hexa Blade</t>
  </si>
  <si>
    <t>Spanner 24X27 , Key 24X27 (Tool)</t>
  </si>
  <si>
    <t xml:space="preserve">Nut 2 no @40/- , Nipple 10 @450/-, Sanitary Fittng </t>
  </si>
  <si>
    <t>Guru Teg Bahadur, Anandpur Sahib</t>
  </si>
  <si>
    <t>Black Paint 4 ltr</t>
  </si>
  <si>
    <t>Stmap Duty</t>
  </si>
  <si>
    <t>Delhi Petrol Paytm</t>
  </si>
  <si>
    <t>Stamp Duty for tenders</t>
  </si>
  <si>
    <t>Ranjeet  Paytm for Tirpal</t>
  </si>
  <si>
    <t>Vivek Sharma Mar Salary Clear</t>
  </si>
  <si>
    <t>Amandeep Security Guard Adv.</t>
  </si>
  <si>
    <t>ROHIT EXPENSE</t>
  </si>
  <si>
    <t>Samosa Tea for labour +meal for mistri Dharamkanta</t>
  </si>
  <si>
    <t>Hit Spray</t>
  </si>
  <si>
    <t>Milk for Tea</t>
  </si>
  <si>
    <t xml:space="preserve">Sehdev per. Labour </t>
  </si>
  <si>
    <t xml:space="preserve">JCB Operator </t>
  </si>
  <si>
    <t>7 Labour 800/- 1 Masson  1000/-</t>
  </si>
  <si>
    <t>Aleem Khan</t>
  </si>
  <si>
    <t>JCB Pay (Kirpal) 5 hrs</t>
  </si>
  <si>
    <t>4 Labour 800/-</t>
  </si>
  <si>
    <t>Tractor Trolly on Rent 4 @ 2500/-</t>
  </si>
  <si>
    <t>JCB H.S.D</t>
  </si>
  <si>
    <t>Kala Reverse  (Popline Payment)</t>
  </si>
  <si>
    <t>Carriage for Cement Bag</t>
  </si>
  <si>
    <t>Carriage for Earthing Bokki transport store to mohinder Lalru</t>
  </si>
  <si>
    <t>Carriage for  I.S.V Construction Rent</t>
  </si>
  <si>
    <t xml:space="preserve">Carriage for  I.S.V Construction t+ Shuttering Carriage </t>
  </si>
  <si>
    <t>Sonu Sharma Tractor Cash</t>
  </si>
  <si>
    <t>Kuldeep Singh JCB Operator  1178</t>
  </si>
  <si>
    <t>Kuldeep Singh JCB Operator  1179</t>
  </si>
  <si>
    <t>3 Labour 800/-</t>
  </si>
  <si>
    <t>Payment Revered On 02-05-2026</t>
  </si>
  <si>
    <t>NOTE</t>
  </si>
  <si>
    <t>Kuldeep Singh JCB Operator  1182</t>
  </si>
  <si>
    <t>Sand + bajri Pay 125 cft</t>
  </si>
  <si>
    <t>Cable role extra (RK Bill)</t>
  </si>
  <si>
    <t>Sheet+ Pipe</t>
  </si>
  <si>
    <t>Cement 5 Bag</t>
  </si>
  <si>
    <t xml:space="preserve">Carriage for Cement </t>
  </si>
  <si>
    <t>Danish Petrol</t>
  </si>
  <si>
    <t>Cpvc Pipe 3 pcs + 5 Socket +1 no Solvent</t>
  </si>
  <si>
    <t>3 no Masking Tape + 4 Waste Jali for floor tile</t>
  </si>
  <si>
    <t>Vikas Engg (Store)</t>
  </si>
  <si>
    <t>1 Masson 800/-</t>
  </si>
  <si>
    <t>3 Labour 900/-</t>
  </si>
  <si>
    <t>Salt 250/- + Coal  625/- for earthing</t>
  </si>
  <si>
    <t>Carriage for cable role +Salt +Coal shift (store to mohinder)</t>
  </si>
  <si>
    <t>Labour travel form chd 41 chd to VRK</t>
  </si>
  <si>
    <t xml:space="preserve">Hilti Machine repair and check </t>
  </si>
  <si>
    <t>4 Cement Bag</t>
  </si>
  <si>
    <t>Viberator Nozzle+ Repair 2 nos</t>
  </si>
  <si>
    <t>Diesel for bolero (VRK material)</t>
  </si>
  <si>
    <t>Rurki Hardware Paint &amp; Sanitary Store Bill 40</t>
  </si>
  <si>
    <t>2 labour 800/-</t>
  </si>
  <si>
    <t>1 Masson 900</t>
  </si>
  <si>
    <t>5 Labour 700/- 03-05-2026</t>
  </si>
  <si>
    <t>1 Masson 900 03-05-2026</t>
  </si>
  <si>
    <t>5 Labour 700/- 1 Painter 800/-</t>
  </si>
  <si>
    <t>4 Labour 700/- 1 Painter 800/-</t>
  </si>
  <si>
    <t>1 labour 800/- 03-05-26</t>
  </si>
  <si>
    <t>Diesel for bolero (VRK material Purchase)</t>
  </si>
  <si>
    <t>Raidy On Rent 30-04-2026 to 04-05-2026</t>
  </si>
  <si>
    <t>Nut Bolt For Earthing</t>
  </si>
  <si>
    <t>Stainer For Kerb Stone</t>
  </si>
  <si>
    <t>Washer</t>
  </si>
  <si>
    <t>Screw+Nut+ Giitii</t>
  </si>
  <si>
    <t>Travelling (VRK)</t>
  </si>
  <si>
    <t>Travelling (VRK) one side</t>
  </si>
  <si>
    <t xml:space="preserve">Tester </t>
  </si>
  <si>
    <t>Pipe Threading</t>
  </si>
  <si>
    <t>Hotel + Food Exp for Rohit</t>
  </si>
  <si>
    <t>Room rent adv. For Rohit</t>
  </si>
  <si>
    <t>Weight M/c (Kanta 500 kgs Capacity) (Tool)</t>
  </si>
  <si>
    <t>Sonu Travel (PTL to Madanpur Chownk)</t>
  </si>
  <si>
    <t>Holdtite 1 box 36 grm</t>
  </si>
  <si>
    <t xml:space="preserve">Labour and Masson Travelling </t>
  </si>
  <si>
    <t>7 Labour  900/-</t>
  </si>
  <si>
    <t>7 Labour 900/- + O.T each @ 100/- and 1 Masson 1100/-  O.T 150/- Each</t>
  </si>
  <si>
    <t xml:space="preserve">7 Labour 900/- </t>
  </si>
  <si>
    <t xml:space="preserve">7 Labour 900/- and 1 Masson 1100/- </t>
  </si>
  <si>
    <t>Employee Salary</t>
  </si>
  <si>
    <t>Security Guard Amandeep Salary of March Month Clear</t>
  </si>
  <si>
    <t>Security Guard Atinder Salary of March Month Clear</t>
  </si>
  <si>
    <t>Steel Contractor Binder</t>
  </si>
  <si>
    <t>6 Labour 900/- and 1 Masson 1100/-  + O.T</t>
  </si>
  <si>
    <t>4 Labour 900/- and 1 Masson 1100/-</t>
  </si>
  <si>
    <t>Drill Bit</t>
  </si>
  <si>
    <t xml:space="preserve">Samosa for labour </t>
  </si>
  <si>
    <t xml:space="preserve">Samosa  for labour </t>
  </si>
  <si>
    <t>Thar Diesel</t>
  </si>
  <si>
    <t>Right Angle Tringle 250/- +Black Marker 3 no 70/- + Paint Brush 10/-</t>
  </si>
  <si>
    <t>Great Map Consultant Payment (column point marking )</t>
  </si>
  <si>
    <t>2 Labour 900/- and 1 Masson 1100/-</t>
  </si>
  <si>
    <t>Vivek Sharma Bike Petrol+ New handle</t>
  </si>
  <si>
    <t>7 Labour 900/- and 1 Masson 1100/-</t>
  </si>
  <si>
    <t xml:space="preserve">Carriage for  I.S.V Construction  Shuttering Carriage </t>
  </si>
  <si>
    <t xml:space="preserve">Bipin Personal </t>
  </si>
  <si>
    <t>Office Rassan  Paytm</t>
  </si>
  <si>
    <t>Misc. Exp.</t>
  </si>
  <si>
    <t>VRK Documents Photocopy Paytm</t>
  </si>
  <si>
    <t>Office Furniture  Paytm</t>
  </si>
  <si>
    <t>Carriage for Office Furniture</t>
  </si>
  <si>
    <t>Tox tax Paytm</t>
  </si>
  <si>
    <t>Diesel Paytm</t>
  </si>
  <si>
    <t>Mann Paytm</t>
  </si>
  <si>
    <t>Crystal Concrete RMC Cash</t>
  </si>
  <si>
    <t>Rohit  Paytm</t>
  </si>
  <si>
    <t>D P jagan  Paytm</t>
  </si>
  <si>
    <t>D P jagan  Cash</t>
  </si>
  <si>
    <t xml:space="preserve">Anmol Mobile Bills </t>
  </si>
  <si>
    <t>Covers Cash</t>
  </si>
  <si>
    <t>HOme</t>
  </si>
  <si>
    <t>Thar Insurance Paytm</t>
  </si>
  <si>
    <t>Food Cash</t>
  </si>
  <si>
    <t>Gurwinder for Mohinder Pavers paytm</t>
  </si>
  <si>
    <t>Office Pen Drive Paytm</t>
  </si>
  <si>
    <t>Kitchen Utensils Cash</t>
  </si>
  <si>
    <t>Jute bag Paytm</t>
  </si>
  <si>
    <t>Bolero Challan Paytm</t>
  </si>
  <si>
    <t>Bolero Tax Paytm</t>
  </si>
  <si>
    <t xml:space="preserve">Bricks 4000 nos Paytm </t>
  </si>
  <si>
    <t>Carpenter Cash</t>
  </si>
  <si>
    <t>Bipin ICICI Policy Paytm</t>
  </si>
  <si>
    <t>VIBRA</t>
  </si>
  <si>
    <t>Petrol Cash</t>
  </si>
  <si>
    <t>Bipin Cash</t>
  </si>
  <si>
    <t>Test Report Paytm</t>
  </si>
  <si>
    <t>Hussainpur Cash</t>
  </si>
  <si>
    <t>Puncture Bolero Paytm</t>
  </si>
  <si>
    <t>Toll Tax Paytm</t>
  </si>
  <si>
    <t>VEW Cash</t>
  </si>
  <si>
    <t>Petrol  Paytm</t>
  </si>
  <si>
    <t>Divyansh Cash</t>
  </si>
  <si>
    <t>Bipin Personal HDFC paytm</t>
  </si>
  <si>
    <t>Danish Salary of March Month</t>
  </si>
  <si>
    <t xml:space="preserve">Contractor </t>
  </si>
  <si>
    <t>Nadeem Paytm for Alumimium Labour</t>
  </si>
  <si>
    <t>Electricity Bill Paytm</t>
  </si>
  <si>
    <t xml:space="preserve">From Gurwinder Paver Mohinder </t>
  </si>
  <si>
    <t>AC Home cash</t>
  </si>
  <si>
    <t xml:space="preserve">Gwalior </t>
  </si>
  <si>
    <t>Anand Advocate Gwalior paytm</t>
  </si>
  <si>
    <t>Ravi Driver Adv. Paytm</t>
  </si>
  <si>
    <t>Green Net Paytm</t>
  </si>
  <si>
    <t>Water Bottle Paytm</t>
  </si>
  <si>
    <t>Medical Paytm</t>
  </si>
  <si>
    <t>Bolero Tarpal paytm</t>
  </si>
  <si>
    <t>Airtel Bill Paytm</t>
  </si>
  <si>
    <t>Rollar Repair Paytm</t>
  </si>
  <si>
    <t xml:space="preserve">Bolero  8218 Service </t>
  </si>
  <si>
    <t>HPCL</t>
  </si>
  <si>
    <t>VR</t>
  </si>
  <si>
    <t>Dad Paytm</t>
  </si>
  <si>
    <t>VIKAS Cash</t>
  </si>
  <si>
    <t>VR Cash Vibra</t>
  </si>
  <si>
    <t>VR Cash VEW</t>
  </si>
  <si>
    <t>Security Guard Sukhwinder Salary April 26 Clear</t>
  </si>
  <si>
    <t>7 Labour 900/- 1.5 hrs O.T  150/- each and 1 Masson 1100/- + 1.5 hrs O.T 200/-Each</t>
  </si>
  <si>
    <t>Tea Stainer  1 no</t>
  </si>
  <si>
    <t>Milk 1 pkt.</t>
  </si>
  <si>
    <t xml:space="preserve">Bipin </t>
  </si>
  <si>
    <t xml:space="preserve">Bharat per. </t>
  </si>
  <si>
    <t>Cement 1 Bag</t>
  </si>
  <si>
    <t>Gurcharan (mobile recharge)</t>
  </si>
  <si>
    <t xml:space="preserve">Putti bag + making Tape </t>
  </si>
  <si>
    <t>Araldite for glazing blow granite fixing</t>
  </si>
  <si>
    <t>Water Tanker 26-03-2026 to 31-03-2026</t>
  </si>
  <si>
    <t xml:space="preserve">6 Labour 700/- </t>
  </si>
  <si>
    <t xml:space="preserve">Paint+ Cpvc Fitting+ Solvent + Union 200 Cpvc Break Cable </t>
  </si>
  <si>
    <t>Self Drilling Screw for Earthing patti Connect</t>
  </si>
  <si>
    <t>Raidy Rent 05-05-2026 to 9-05-2026</t>
  </si>
  <si>
    <t xml:space="preserve">Paver Contrator </t>
  </si>
  <si>
    <t>per. Labour Deepak Personal Salary Clear 05-04-2026  to 10-05-2026 till</t>
  </si>
  <si>
    <t>Carriage for Leader</t>
  </si>
  <si>
    <t>Wooden Leader  (tool)</t>
  </si>
  <si>
    <t xml:space="preserve">JCB payment </t>
  </si>
  <si>
    <t>Bolero Pollution</t>
  </si>
  <si>
    <t>1 Masson 900 + 2 hrs O.T</t>
  </si>
  <si>
    <t xml:space="preserve">Helmet for Bike </t>
  </si>
  <si>
    <t xml:space="preserve">Bipin Cash glazing payment scrap </t>
  </si>
  <si>
    <t>Nadeem Paytm for Alumimium Labour paytm</t>
  </si>
  <si>
    <t xml:space="preserve">Black Paint </t>
  </si>
  <si>
    <t xml:space="preserve">Inchitape </t>
  </si>
  <si>
    <t>Gas Refill</t>
  </si>
  <si>
    <t>Security Guard Radhe Shyam April 26 Clear</t>
  </si>
  <si>
    <t xml:space="preserve">7 Labour 900/- Labour O.T 1 hrs 100/- each  and 1 Masson 1100/- O.T 1 Hts  150/- masson </t>
  </si>
  <si>
    <t>Tea for Worker  (Labour )+Employee)</t>
  </si>
  <si>
    <t xml:space="preserve">Compactory Machine Lock </t>
  </si>
  <si>
    <t>Rock Rose Sec 20 Chandigarh</t>
  </si>
  <si>
    <t>Room rent. For Rohit</t>
  </si>
  <si>
    <t>5 Labour 900/-  and 1 masson 1100/-</t>
  </si>
  <si>
    <t>4Labour 900/-  and 1 masson 1100/-</t>
  </si>
  <si>
    <t>4Labour 900/-  labour o.t 2 hrs and 1 masson 1100/- masson o.t 2 hrs</t>
  </si>
  <si>
    <t>6Labour 900/-  labour o.t 2 hrs and 1 masson 1100/- masson o.t 2 hrs</t>
  </si>
  <si>
    <t>Fanti 1 no</t>
  </si>
  <si>
    <t>Deepak Travel (rock rose)</t>
  </si>
  <si>
    <t>Deepak Travel (madhu trading co.</t>
  </si>
  <si>
    <t>Deepak Travel (Toor Hp Centre)</t>
  </si>
  <si>
    <t>Mansrover</t>
  </si>
  <si>
    <t>Deepak Travel (Mansrover)</t>
  </si>
  <si>
    <t>Carriage for Cement</t>
  </si>
  <si>
    <t>Screw driver, Screw box , gitti screw for toliet gate'install</t>
  </si>
  <si>
    <t>Deepak Petrol (18-04-2026 to 21-042-2026)</t>
  </si>
  <si>
    <t>Deepak Petrol (22-04-2026 to 10-05-2026)</t>
  </si>
  <si>
    <t>Deepak Mobile Recharge</t>
  </si>
  <si>
    <t>Nadeem Paytm Aluminium Labour</t>
  </si>
  <si>
    <t>Dinesh</t>
  </si>
  <si>
    <t>Electricity work paytm</t>
  </si>
  <si>
    <t>Site Profit ( Rock Rose Sec 20 chd scrap glazing sale )-38000</t>
  </si>
  <si>
    <t>Surbhi Cash</t>
  </si>
  <si>
    <t>Hotel+Food Cash</t>
  </si>
  <si>
    <t>Cab Cash</t>
  </si>
  <si>
    <t>Bipin Personal Cash</t>
  </si>
  <si>
    <t>Mom Sushila Cash</t>
  </si>
  <si>
    <t>Driver Sanjay Salary paytm</t>
  </si>
  <si>
    <t xml:space="preserve">Shiv Shakti Building Material Party paytm for March Month Xtra GST </t>
  </si>
  <si>
    <t>Home Cash</t>
  </si>
  <si>
    <t>Bipin Kumar</t>
  </si>
  <si>
    <t>Vibra</t>
  </si>
  <si>
    <t>Raidy On rent 10-05-2026 to 15-05-2026</t>
  </si>
  <si>
    <t>Tab fitttng X nipple for tab</t>
  </si>
  <si>
    <t xml:space="preserve">Flexible Pipe + Gitti 15 pcs </t>
  </si>
  <si>
    <t>Connection Pipe 4 pcs  for tap , Angle valve</t>
  </si>
  <si>
    <t>Cpvc  Solvent + 1" Elbow</t>
  </si>
  <si>
    <t>Carriage for 2 Water Tank Shifting in store from sec 20</t>
  </si>
  <si>
    <t>Carriage for aluminum glazing  shifitng rock to store</t>
  </si>
  <si>
    <t>Sand + 3Cement Bag</t>
  </si>
  <si>
    <t>Carriage for Rehri (19-05-2026to 22-05-2026)</t>
  </si>
  <si>
    <t>3 labour 800/-</t>
  </si>
  <si>
    <t xml:space="preserve">5" Brush + gloves  </t>
  </si>
  <si>
    <t xml:space="preserve">Cement 1 Bag + Carriage </t>
  </si>
  <si>
    <t>Tank Water Over Flow Valve</t>
  </si>
  <si>
    <t>NRO Hussainpur</t>
  </si>
  <si>
    <t>Swastik Balance Pay</t>
  </si>
  <si>
    <t>Bipin (Building Scrap Sale )</t>
  </si>
  <si>
    <t>1 Labour 800/-</t>
  </si>
  <si>
    <t>Sonu Room Rent</t>
  </si>
  <si>
    <t>Thread for Tapla + paint bucket + chemical + cutter shift +2 bursh + cotton cloth</t>
  </si>
  <si>
    <t>Sonu Travel (mohinder to room)</t>
  </si>
  <si>
    <t>Sonu Travel (mohinder to room) up and down</t>
  </si>
  <si>
    <t>Sonu Travel  (room to sec 20 chd to store to room</t>
  </si>
  <si>
    <t>Sonu Travel  (room to sec 20 chd to  room</t>
  </si>
  <si>
    <t>Sonu Travel  (room to hussainpur chd to  room</t>
  </si>
  <si>
    <t>Sonu Travel  (room to store to room )+2 Labour masson</t>
  </si>
  <si>
    <t>Site Profit ( Rock Rose Sec 20 chd scrap glazing sale )-10000</t>
  </si>
  <si>
    <t>Grinder Repair</t>
  </si>
  <si>
    <t>Snacks</t>
  </si>
  <si>
    <t>3 Labour 800/- Ajay</t>
  </si>
  <si>
    <t xml:space="preserve">4 Labour 800/-  </t>
  </si>
  <si>
    <t>Labour and Masson Travelling +Vivek Petrol</t>
  </si>
  <si>
    <t>Labour and Masson Travelling 400/- +Vivek  petrol 100/-</t>
  </si>
  <si>
    <t>RMC Weight (24-05-2026)</t>
  </si>
  <si>
    <t>Labour Tea</t>
  </si>
  <si>
    <t>1 Labour 700/- + O.T</t>
  </si>
  <si>
    <t xml:space="preserve">2 labour 750/- </t>
  </si>
  <si>
    <t xml:space="preserve">1 Labour 700/- </t>
  </si>
  <si>
    <t xml:space="preserve">1 Labour 800/- for sewerage cleaning </t>
  </si>
  <si>
    <t xml:space="preserve">2 Labour 700/- </t>
  </si>
  <si>
    <t>Rohit</t>
  </si>
  <si>
    <t>gloves 1 pair for paint</t>
  </si>
  <si>
    <t>Shalli Mastic Paint old Paint Box (Open)</t>
  </si>
  <si>
    <t xml:space="preserve">Sonu Travel </t>
  </si>
  <si>
    <t>Carriage For steel</t>
  </si>
  <si>
    <t>Sec 17 Chandigarh</t>
  </si>
  <si>
    <t>Travelling (Office)</t>
  </si>
  <si>
    <t>Chandigarh Petroways Sec 52 Chd</t>
  </si>
  <si>
    <t>Travelling (Sec 52 Chd)</t>
  </si>
  <si>
    <t xml:space="preserve">Brush 2"+3" + Tarpin oil + Dhoti +Stainer black +tape </t>
  </si>
  <si>
    <t>2 Labour 800/-</t>
  </si>
  <si>
    <t xml:space="preserve">Plumber Fitting Contractor </t>
  </si>
  <si>
    <t xml:space="preserve">Binding Wire 10kgs </t>
  </si>
  <si>
    <t>Steel Binding Contractor</t>
  </si>
  <si>
    <t>Vikas Engg.</t>
  </si>
  <si>
    <t>Tarpin 1 ltr , Blue paint 200 grm , Green 200 grm , Masking Tape 3 pcs, Paint bursh , Cotton Cloth</t>
  </si>
  <si>
    <t>Carriage for Island Guard Shift phase 2 Mohali to Sec 52 Chandigarh</t>
  </si>
  <si>
    <t>Sunrise Sanitary and Hardware Store bill 10725 /-(bill value 1200/- (otherwise paid 1500/-</t>
  </si>
  <si>
    <t>Yellow Paint 1 ltr for kerb stone paint</t>
  </si>
  <si>
    <t xml:space="preserve">Carriage for granite shift Sec 20 chd to sec 52 </t>
  </si>
  <si>
    <t>Hydera Crane pay for scrap shift</t>
  </si>
  <si>
    <t>JCB payment for material shift sand+bajri</t>
  </si>
  <si>
    <t>Granite Cutting Blade</t>
  </si>
  <si>
    <t>4 Labour 800/- +  4 Labour  and 1 Masson O.T 3 hrs</t>
  </si>
  <si>
    <t xml:space="preserve">1 Cement Bag </t>
  </si>
  <si>
    <t>Chandigarh Petroways Sec 52 Chandigarh</t>
  </si>
  <si>
    <t>M K Sanitary Bill no CHD/26-27/056</t>
  </si>
  <si>
    <t>Site Profit ( Rock Rose Sec 20 chd Building scrap ale )-10000</t>
  </si>
  <si>
    <t>Bansal Ganerator Cash</t>
  </si>
  <si>
    <t>Ravi Driver Paytm</t>
  </si>
  <si>
    <t>Alpas Tyre Paytm</t>
  </si>
  <si>
    <t>Food Paytm</t>
  </si>
  <si>
    <t>Site Profit ( Rock Rose Sec 20 chd Building scrap ale )-5000</t>
  </si>
  <si>
    <t>VRK Extra Expense cash</t>
  </si>
  <si>
    <t>Ravi Adv. Paytm</t>
  </si>
  <si>
    <t>Nadeem Aluminium Labour clear</t>
  </si>
  <si>
    <t>Taxi Cash</t>
  </si>
  <si>
    <t>Petrol Delhi Cash</t>
  </si>
  <si>
    <t>Bipin  Cash</t>
  </si>
  <si>
    <t>GI Elbow  1 no</t>
  </si>
  <si>
    <t>1 Labour 750/- +50/-</t>
  </si>
  <si>
    <t>Diesel  for Ganerator</t>
  </si>
  <si>
    <t>Vibra online (from Bipin A/c)</t>
  </si>
  <si>
    <t>SBDP</t>
  </si>
  <si>
    <t>SBDP online (from Bipin A/c)</t>
  </si>
  <si>
    <t>Milk,Sugar,Tea</t>
  </si>
  <si>
    <t>Milk,Dishwash</t>
  </si>
  <si>
    <t>Travelling (Tepla)</t>
  </si>
  <si>
    <t>12' Ladder</t>
  </si>
  <si>
    <t>Labour (5X750)</t>
  </si>
  <si>
    <t>Labour (1X800)</t>
  </si>
  <si>
    <t>Masson (1X1000)</t>
  </si>
  <si>
    <t>Labour O.T (24) L=2x(6x100)</t>
  </si>
  <si>
    <t>Sweet</t>
  </si>
  <si>
    <t>Architect Lunch</t>
  </si>
  <si>
    <t>Ajay yadav (bike oil 800 )</t>
  </si>
  <si>
    <t>Ajay yadav  Shuttering ( cash to r.k 1000)</t>
  </si>
  <si>
    <t>Labour binder steel binder 2 persons footing raft steel</t>
  </si>
  <si>
    <t>Room rent adv start 10.6.26 montly 4500</t>
  </si>
  <si>
    <t>Radhe shyam(security guard )  sal m/o may total w.day 30 paid by rakesh</t>
  </si>
  <si>
    <t>Sukhvinder singh (security guard) salary</t>
  </si>
  <si>
    <t>Water tanker (surinder singh)</t>
  </si>
  <si>
    <t>Vivek sharma salary adv</t>
  </si>
  <si>
    <t>Petrol exp bike (Danish)</t>
  </si>
  <si>
    <t>Column1</t>
  </si>
  <si>
    <t>Pardushan</t>
  </si>
  <si>
    <t>Corli 20</t>
  </si>
  <si>
    <t>Labour godown 1</t>
  </si>
  <si>
    <t>Medicines</t>
  </si>
  <si>
    <t>s</t>
  </si>
  <si>
    <t>Danish house rent 1 june 2026 start adv</t>
  </si>
  <si>
    <t>ok</t>
  </si>
  <si>
    <t>Sand 200 ft 200x34=6800</t>
  </si>
  <si>
    <t>10 Cement Bag</t>
  </si>
  <si>
    <t>Cement carriage</t>
  </si>
  <si>
    <t>Brick shiffting 3 day rent</t>
  </si>
  <si>
    <t>Bipin (View Atm)</t>
  </si>
  <si>
    <t>Paint caviage shop to store</t>
  </si>
  <si>
    <t>1 Paint Box extra gst (26/5/26)</t>
  </si>
  <si>
    <t>Bipin cash</t>
  </si>
  <si>
    <t>Bike policy CT-100</t>
  </si>
  <si>
    <t>Bricks sec-20, 3500x9.8</t>
  </si>
  <si>
    <t>Petrol for bike site visit</t>
  </si>
  <si>
    <t xml:space="preserve">Island guard shifting transportation phase 2 to store 2 pcs </t>
  </si>
  <si>
    <t>Sand 200 ft</t>
  </si>
  <si>
    <t>Vikash for tepla</t>
  </si>
  <si>
    <t>10 Cement + Carriage</t>
  </si>
  <si>
    <t xml:space="preserve">Bricks 4000 pcs </t>
  </si>
  <si>
    <t>Hydra for kalyanpur signpole dismental</t>
  </si>
  <si>
    <t xml:space="preserve">Diesel (thar) </t>
  </si>
  <si>
    <t>Bricks advance ( garg BKO)</t>
  </si>
  <si>
    <t>1 labour 1000/-</t>
  </si>
  <si>
    <t xml:space="preserve">Bike service </t>
  </si>
  <si>
    <t>Petrol for bike 10.6.26</t>
  </si>
  <si>
    <t>Vikas engg</t>
  </si>
  <si>
    <t>Coloum Frame shifting store to sec-20</t>
  </si>
  <si>
    <t xml:space="preserve">10 Cement beg </t>
  </si>
  <si>
    <t>Island phase 8 to store carriage</t>
  </si>
  <si>
    <t>Nut-bolt 25mm phase 8 to rockrose</t>
  </si>
  <si>
    <t>Vrk labour Railway station to barouli carriage 15.6.26</t>
  </si>
  <si>
    <t>Sand</t>
  </si>
  <si>
    <t>Petrol for bike</t>
  </si>
  <si>
    <t>Gautam kaushik (supervisor) adv sal june</t>
  </si>
  <si>
    <t xml:space="preserve">Travelling (VRK) </t>
  </si>
  <si>
    <t xml:space="preserve">Travelling (sec-20) </t>
  </si>
  <si>
    <t>JCB (4.5 HOURS) (3.5+1)</t>
  </si>
  <si>
    <t>Cutter blade (4') 2 pcs</t>
  </si>
  <si>
    <t>Nut washer (5kg)</t>
  </si>
  <si>
    <t>HPCL Amloh electricity paytm</t>
  </si>
  <si>
    <t>Food cash</t>
  </si>
  <si>
    <t>Dinesh office cash</t>
  </si>
  <si>
    <t>Ravi driver cash</t>
  </si>
  <si>
    <t>Petrol cash</t>
  </si>
  <si>
    <t>Sim cash</t>
  </si>
  <si>
    <t>Claning Staff Sweeper cash</t>
  </si>
  <si>
    <t>Divyansh cash</t>
  </si>
  <si>
    <t>DEV AND BIPIN cash exp</t>
  </si>
  <si>
    <t>Ravi alpas paytm</t>
  </si>
  <si>
    <t xml:space="preserve">Singh enterprises (jagpinder) material cash </t>
  </si>
  <si>
    <t>Shuttering advance (kaka shuttering) cash</t>
  </si>
  <si>
    <t>Store rent cash(apr,may,june26)</t>
  </si>
  <si>
    <t>Cylinder cash</t>
  </si>
  <si>
    <t>Netplus Paytm (6 months)</t>
  </si>
  <si>
    <t>Bipin &amp; Devang exp</t>
  </si>
  <si>
    <t>Cab  cash delhi</t>
  </si>
  <si>
    <t>Dad cash</t>
  </si>
  <si>
    <t>Maan cash for dervassi flat</t>
  </si>
  <si>
    <t>Taxi paytm (delhi to chd)</t>
  </si>
  <si>
    <t>O.T,M = 2x(1x100)</t>
  </si>
  <si>
    <t>6 labour vrk site to station to vek 6.6.26</t>
  </si>
  <si>
    <t>Cement carriage site rock ros</t>
  </si>
  <si>
    <t>Rock rose cement 20 bag</t>
  </si>
  <si>
    <t>Tank transportation jashan to tepla site tank</t>
  </si>
  <si>
    <t xml:space="preserve">Sonu </t>
  </si>
  <si>
    <t>Tanker payment 10/9=700,11/6 to 14/6=800,15/6=700, 16/6 to 18/6=600</t>
  </si>
  <si>
    <t>matched</t>
  </si>
  <si>
    <t>OK</t>
  </si>
  <si>
    <t xml:space="preserve">Umar ali sal advance  june-26 </t>
  </si>
  <si>
    <t xml:space="preserve"> 6 Labour 750/-</t>
  </si>
  <si>
    <t>2 Masson 1150/-</t>
  </si>
  <si>
    <t>3 labour 750/-</t>
  </si>
  <si>
    <t>1 Masson 1150/-</t>
  </si>
  <si>
    <t>2 kuli labour 600/-</t>
  </si>
  <si>
    <t>Diesel</t>
  </si>
  <si>
    <t>DIVYANSH ATM</t>
  </si>
  <si>
    <t>Mohan Singh Banjara (the kedaav mokam singh)</t>
  </si>
  <si>
    <t>Hydra for tepla tank ( tank loading + tank unloading 3500+3500</t>
  </si>
  <si>
    <t xml:space="preserve">Travelling (Tepla) </t>
  </si>
  <si>
    <t>Mohamd Rahmat (shuttering thekedar) adv payment</t>
  </si>
  <si>
    <t>Room rent adv-200+4300=4500  start 10.6.26 adv gautam kaushik</t>
  </si>
  <si>
    <t>Store Office Exp.</t>
  </si>
  <si>
    <t>Labour Travelling</t>
  </si>
  <si>
    <t>19-06-2026</t>
  </si>
  <si>
    <t>2 labour 750/-</t>
  </si>
  <si>
    <t>20-06-2026</t>
  </si>
  <si>
    <t>POP</t>
  </si>
  <si>
    <t>1 Masson 1200/-</t>
  </si>
  <si>
    <t>Recharge mobile</t>
  </si>
  <si>
    <t>Grease</t>
  </si>
  <si>
    <t>21-06-2026</t>
  </si>
  <si>
    <t>Sonu freight</t>
  </si>
  <si>
    <t>22-06-2026</t>
  </si>
  <si>
    <t>23-06-2026</t>
  </si>
  <si>
    <t>1 labour 750/-</t>
  </si>
  <si>
    <t>24-06-2026</t>
  </si>
  <si>
    <t>25-06-2026</t>
  </si>
  <si>
    <t>26-06-2026</t>
  </si>
  <si>
    <t>3 Masson 1150/-</t>
  </si>
  <si>
    <t>miss match in day book 150  diff</t>
  </si>
  <si>
    <t>29.06.2026</t>
  </si>
  <si>
    <t>28-06-2026</t>
  </si>
  <si>
    <t>Happy (k.f) 16 mm 4 core @ 100m cable</t>
  </si>
  <si>
    <t>29-06-2026</t>
  </si>
  <si>
    <t>Mohar singh to  Banja (Raju) june 15+30 adv.paymentfor till date  total 20000+9000 =29000 Khura</t>
  </si>
  <si>
    <t>One labour dressing</t>
  </si>
  <si>
    <t>27-06-2026</t>
  </si>
  <si>
    <t>Carriage  ( nut bolt purchase)</t>
  </si>
  <si>
    <t>Medicine purchase</t>
  </si>
  <si>
    <t>Weight RMC 5x150</t>
  </si>
  <si>
    <t>Farma weight Kurali to VRK</t>
  </si>
  <si>
    <t>Printing &amp; Stationery</t>
  </si>
  <si>
    <t>VRK Dry.printout a3+file</t>
  </si>
  <si>
    <t>Oil,Fuel &amp; lubricants</t>
  </si>
  <si>
    <t>Diesel for compactor</t>
  </si>
  <si>
    <t>30-06-2026</t>
  </si>
  <si>
    <t>Weight RMC  6x150</t>
  </si>
  <si>
    <t>1 labour 900/-</t>
  </si>
  <si>
    <t>Hydra for Ro-shiffting canopy material sec-20 total 2.30 hours</t>
  </si>
  <si>
    <t>Thar diesel site visit  vrk</t>
  </si>
  <si>
    <t>Vech. Running &amp; maint.</t>
  </si>
  <si>
    <t>1 masson 900/-</t>
  </si>
  <si>
    <t>Material shiffting Lalru to store</t>
  </si>
  <si>
    <t>Freight</t>
  </si>
  <si>
    <t>Diesel for generator</t>
  </si>
  <si>
    <t>Cement Tepla 7 bag</t>
  </si>
  <si>
    <t>Water pipe for site tepla</t>
  </si>
  <si>
    <t>Stote to vrk machineary shifting vrk to rockrose roller shift</t>
  </si>
  <si>
    <t>Thar diesel for tepla site</t>
  </si>
  <si>
    <t>Cement 4 bag  tepla</t>
  </si>
  <si>
    <t>Sonu bike petrol 27-06-2026 to 28-06-2026</t>
  </si>
  <si>
    <t>Cement Rock rose carriage 27.06.2026</t>
  </si>
  <si>
    <t>Phase 2</t>
  </si>
  <si>
    <t xml:space="preserve"> 1 masson 900/-</t>
  </si>
  <si>
    <t>Diesel for thar</t>
  </si>
  <si>
    <t>Deepak personal per labour advance start</t>
  </si>
  <si>
    <t>Deepu room material shiffting loading auto</t>
  </si>
  <si>
    <t>Tepla labour carriage 27.06.26 to 29.06.26</t>
  </si>
  <si>
    <t>Petrol for bike 27.06.2026</t>
  </si>
  <si>
    <t>Cement 27.06.2026</t>
  </si>
  <si>
    <t>Sonu room rent 27.06.2026</t>
  </si>
  <si>
    <t>30.06.2026</t>
  </si>
  <si>
    <t>Repair &amp; maint.</t>
  </si>
  <si>
    <t xml:space="preserve">Grinder Repairing and vibrator repairing </t>
  </si>
  <si>
    <t>01.07.2026</t>
  </si>
  <si>
    <t>Labour travelling</t>
  </si>
  <si>
    <t>Room Rent</t>
  </si>
  <si>
    <t>Mokam per labour</t>
  </si>
  <si>
    <t>Mokam singh labour adv cash (mohar singh)</t>
  </si>
  <si>
    <t>Mokam Per Labour</t>
  </si>
  <si>
    <t xml:space="preserve">Machinary </t>
  </si>
  <si>
    <t>Medical exp</t>
  </si>
  <si>
    <t xml:space="preserve">Weight RMC TMx1+on Peag </t>
  </si>
  <si>
    <t>BILL PENDING</t>
  </si>
  <si>
    <t>Fare+Refreshment (TRAVELLING STAFF)</t>
  </si>
  <si>
    <t>Petrol for bike (Company bike)</t>
  </si>
  <si>
    <t>Imran</t>
  </si>
  <si>
    <t>adv for train tiskets</t>
  </si>
  <si>
    <t>1 kuli labour 600/-</t>
  </si>
  <si>
    <t>Sonu Trevelling</t>
  </si>
  <si>
    <t>2 helmat 250/-</t>
  </si>
  <si>
    <t>ok balance</t>
  </si>
  <si>
    <t xml:space="preserve"> 4 labour travelling</t>
  </si>
  <si>
    <t xml:space="preserve">1 labour 750/- </t>
  </si>
  <si>
    <t xml:space="preserve"> 2 labour 750/-</t>
  </si>
  <si>
    <t xml:space="preserve"> 1 labour 750/-</t>
  </si>
  <si>
    <t>1 labour 800/- ( SONU PAY)</t>
  </si>
  <si>
    <t>5 labour 900/-</t>
  </si>
  <si>
    <t>6 Labour 900/-</t>
  </si>
  <si>
    <t>7 labour 800/-</t>
  </si>
  <si>
    <t>8 labour  800/-</t>
  </si>
  <si>
    <t>Mohhinder singh for wall water proffing</t>
  </si>
  <si>
    <t>balance</t>
  </si>
  <si>
    <t>bal</t>
  </si>
  <si>
    <t>Bike service 950 and petrol 200</t>
  </si>
  <si>
    <t>Veh running &amp; maint.</t>
  </si>
  <si>
    <t>Labour Travelling 20x3</t>
  </si>
  <si>
    <t>Auto  labour</t>
  </si>
  <si>
    <t>Jaali (channa)</t>
  </si>
  <si>
    <t>Oil &amp; lubricant</t>
  </si>
  <si>
    <t>Petrol (Danish)</t>
  </si>
  <si>
    <t>RMC Weight 5*150</t>
  </si>
  <si>
    <t>Fare</t>
  </si>
  <si>
    <t>JCB (30 mints)</t>
  </si>
  <si>
    <t>Mohd Rehmat for supply labour</t>
  </si>
  <si>
    <t>Bolero paytm driver</t>
  </si>
  <si>
    <t>Singh enterprises (jagpinder) Paytm</t>
  </si>
  <si>
    <t>Medicine cash</t>
  </si>
  <si>
    <t>Back horn Paytm</t>
  </si>
  <si>
    <t>Site profit ( Rock rose cash)</t>
  </si>
  <si>
    <t>Veh. Running &amp; maint.</t>
  </si>
  <si>
    <t>kala</t>
  </si>
  <si>
    <t>Binder Steel binder Paytm</t>
  </si>
  <si>
    <t>Electrician (office) cash</t>
  </si>
  <si>
    <t>Food cash 1500 + cab cash 4500</t>
  </si>
  <si>
    <t xml:space="preserve">Food cash </t>
  </si>
  <si>
    <t>Advocate delhi (online bipin acct) gwalio case</t>
  </si>
  <si>
    <t>Petrol delhi visit cash 4000 + driver cash</t>
  </si>
  <si>
    <t>KK</t>
  </si>
  <si>
    <t>KK paytm (chawla)</t>
  </si>
  <si>
    <t>Ravi bolero tyre pencture paytm</t>
  </si>
  <si>
    <t>Site profit (from rock rose ) cash</t>
  </si>
  <si>
    <t>Diesel cash</t>
  </si>
  <si>
    <t>Airtel paytm</t>
  </si>
  <si>
    <t>MoKam singh banjara (m.p labour) for kharaki adv (Mokam tekedar)</t>
  </si>
  <si>
    <t xml:space="preserve"> Personal</t>
  </si>
  <si>
    <t>Travelling (sec-20/tepla)</t>
  </si>
  <si>
    <t>Labour (4x750) x1/2 day payment</t>
  </si>
  <si>
    <t>1 labour @6 days</t>
  </si>
  <si>
    <t xml:space="preserve">3 labour </t>
  </si>
  <si>
    <t>Jali+nails</t>
  </si>
  <si>
    <t>10mm jali (sieve)</t>
  </si>
  <si>
    <t>Consumable</t>
  </si>
  <si>
    <t xml:space="preserve">Travelling (sec-20/Tepla) </t>
  </si>
  <si>
    <t>Petrol (bike)</t>
  </si>
  <si>
    <t>02.07.2026</t>
  </si>
  <si>
    <t>03.07.2026</t>
  </si>
  <si>
    <t>Testing machine transportation chandigarh to  Tepla</t>
  </si>
  <si>
    <t>04.07.2026</t>
  </si>
  <si>
    <t>Cement 10 bag 400x10+300 carriage</t>
  </si>
  <si>
    <t>05.07.2026</t>
  </si>
  <si>
    <t>06.07.2026</t>
  </si>
  <si>
    <t>07.07.2026</t>
  </si>
  <si>
    <t>950x2, 2 pcs wooden frame sioving of sand 10mm-1, 8mm-1</t>
  </si>
  <si>
    <t>08.07.2026</t>
  </si>
  <si>
    <t>Deepak personal pay 7/7/2026</t>
  </si>
  <si>
    <t>3 labour carriage</t>
  </si>
  <si>
    <t>JCB  tepla site sand shifting 2 hours</t>
  </si>
  <si>
    <t>09.07.2026</t>
  </si>
  <si>
    <t xml:space="preserve">Diesel for thar </t>
  </si>
  <si>
    <t>Service 2 pcs wodden fabrication</t>
  </si>
  <si>
    <t>Jali 10 mm for 3 pcs</t>
  </si>
  <si>
    <t>10.07.2026</t>
  </si>
  <si>
    <t>5 labour 800/-</t>
  </si>
  <si>
    <t xml:space="preserve">Petrol </t>
  </si>
  <si>
    <t>Labour carriage up &amp; down</t>
  </si>
  <si>
    <t>11.07.2026</t>
  </si>
  <si>
    <t>Sand shifting with trolly 9 nos</t>
  </si>
  <si>
    <t>JCB 2 hours</t>
  </si>
  <si>
    <t>12.07.2026</t>
  </si>
  <si>
    <t>Deepak Personal</t>
  </si>
  <si>
    <t>Water tank</t>
  </si>
  <si>
    <t>JCB tepla site</t>
  </si>
  <si>
    <t>13.07.2026</t>
  </si>
  <si>
    <t xml:space="preserve">Travelling (sec-20/office) </t>
  </si>
  <si>
    <t>Dansih house rent paid by Bunty 13-07-26</t>
  </si>
  <si>
    <t>Balance of day adjusted in salary</t>
  </si>
  <si>
    <t>Salary</t>
  </si>
  <si>
    <t>6 labour 750/-</t>
  </si>
  <si>
    <t>labour carriage 6</t>
  </si>
  <si>
    <t>6 labour 800/-</t>
  </si>
  <si>
    <t>Room to Banur carriage</t>
  </si>
  <si>
    <t>Lalit recharge</t>
  </si>
  <si>
    <t>kala cash paid for palace back wall break</t>
  </si>
  <si>
    <t>Malwa shiffting 2000 +  jcb driveway site rock rose 21 round x 1200=25200</t>
  </si>
  <si>
    <t xml:space="preserve"> Harpreet singh  for Earth filling work  3000xday/2=1500/- Tractor</t>
  </si>
  <si>
    <t>Personal</t>
  </si>
  <si>
    <t>Electricity exp</t>
  </si>
  <si>
    <t>Electricity Bill Paytm (first  floor)</t>
  </si>
  <si>
    <t>Electricity Bill Paytm (second  floor)</t>
  </si>
  <si>
    <t>Electricity Bill Paytm (ground floor) total - 34060</t>
  </si>
  <si>
    <t>kala paytm (payment for vrk firm partnership deed registration)</t>
  </si>
  <si>
    <t>Legal FEE</t>
  </si>
  <si>
    <t>SALARY ADVANCE</t>
  </si>
  <si>
    <t>SALARY</t>
  </si>
  <si>
    <t>CHECK DETAIL IN VOUCHER</t>
  </si>
  <si>
    <t>Vou.no</t>
  </si>
  <si>
    <t>paid  to sonu sharma J.c.b payment (1.40 hrx 1000=2000) discount - 500 total pay 1500/-</t>
  </si>
  <si>
    <t>Paid to Rahmat for supply labour 3x700=2100/-</t>
  </si>
  <si>
    <t>Mohd Rehmat(Shuttering Tekedar) for adv payment 8x2000=16000/-</t>
  </si>
  <si>
    <t xml:space="preserve">Gautam kaushik salary adv june adv </t>
  </si>
  <si>
    <t>Mohinder Singh (water wall proofing) ADV pay</t>
  </si>
  <si>
    <t>Mohar Singh (raju) adv june 15 to 30 adv payment (mokam singh)</t>
  </si>
  <si>
    <t>Paid to kaka for JCB veh.no HR-AA-4724 ( Back site earth filling work timing start 08.40am to  10.24 stop = 1.38 hours &amp; start 10.43 am to stop 12.20 am1.43 hours = total hours 3.21 hr x 1000=3350)</t>
  </si>
  <si>
    <t xml:space="preserve">Sukhvinder singh (security guard) June  month salary full payment </t>
  </si>
  <si>
    <t xml:space="preserve">Mohd Rehmat for kharcha adv payment 13x2000=26000/- </t>
  </si>
  <si>
    <t>Radhe shyam(security guard ) june month salary full payment  paid by rakesh</t>
  </si>
  <si>
    <t xml:space="preserve"> Paid to kaka for JCB  3.30x1000 = 3500 </t>
  </si>
  <si>
    <t xml:space="preserve">Paid to mikk  jai singh for fare vrk site to ISV store + unloading  1800+200 </t>
  </si>
  <si>
    <t xml:space="preserve"> Jatinder for Shuttering Material rent (carriage) veh no-PB11C8 2953</t>
  </si>
  <si>
    <t>Paid to  shiv kumar for carriage ISV constructions store to VRK site veh no - HR68O3683</t>
  </si>
  <si>
    <t>Paid to  Mohinder Singh for water profing wall (till date 5000 +5000(3.7.26)+5000(11.7.26)=15000</t>
  </si>
  <si>
    <t>Paid to  Mohd Rehmat 8.7.26-4800, 9.7.26-3200,10.7.26-4800 (supply labour)</t>
  </si>
  <si>
    <t>14.07.2026</t>
  </si>
  <si>
    <t>6 Labour 800/-</t>
  </si>
  <si>
    <t>15.07.2026</t>
  </si>
  <si>
    <t>2 Masson 1200/-</t>
  </si>
  <si>
    <t>16.07.2026</t>
  </si>
  <si>
    <t>5 Labour 800/-</t>
  </si>
  <si>
    <t>kasi 3</t>
  </si>
  <si>
    <t>17.07.2026</t>
  </si>
  <si>
    <t>TMx2x150=300 paid by danish</t>
  </si>
  <si>
    <t>Vrk to chandigarh fare (for moter reparing)</t>
  </si>
  <si>
    <t>Paid to jay parkash  for cartage material purchase ( pump section+nut bolt)</t>
  </si>
  <si>
    <t>Paid to mohar singh (raju) total worker 9x2000=18000 (thekedar mokam singh 1-15 july )</t>
  </si>
  <si>
    <t>Mohd.Rehmat Per labour</t>
  </si>
  <si>
    <t>Paid to mohd. Manjoor (mohd.rehmat kharcha) 11x1000=11000/- shuttering thekedar adv payment</t>
  </si>
  <si>
    <t>Paid to kulvinder (DCM truck) veh.no-PB23H9190=5500</t>
  </si>
  <si>
    <t>Chandigarh to mohali labour (loading and unloading)=4000</t>
  </si>
  <si>
    <t xml:space="preserve">Labour fare 400/- mohali toh chandigarh chock labour </t>
  </si>
  <si>
    <t>Paid to Gurpreet singh  red trolly (PB87-4150)x2 day =6000</t>
  </si>
  <si>
    <t>Paid to Gurpreet singh  Blue trolly (PB23-1243)x2 day =6000</t>
  </si>
  <si>
    <t xml:space="preserve">Paid to gurvinder singh for levelling earth lenth with the help of tractor </t>
  </si>
  <si>
    <t>Consumrable</t>
  </si>
  <si>
    <t>Paid to mohd.umer for Cooler moter -900/- and Wire cutter- 130/-</t>
  </si>
  <si>
    <t>Mohd.umer ( Vrk to Kurali to vrk site )</t>
  </si>
  <si>
    <t>Mohinder Singh (water proofing)</t>
  </si>
  <si>
    <t>Paid to Mohinder singh for Water proofing (level) work (that  deta adv payment - 25000)</t>
  </si>
  <si>
    <t>Paid to Gurpreet Singh for Tractor and Trolly Red (PB87-4150)-3000 and Blue (PB23-1243)-3000</t>
  </si>
  <si>
    <t>Paid to gurvinder singh for levelling earth lenth with the help of tractor and JCB 3000/- day labour and 29 lit diesel 29 x 95.65 = 2774/-</t>
  </si>
  <si>
    <t>Paid to kaka JCB charges 9:00x1000</t>
  </si>
  <si>
    <t>Paid to kaka JCB charges 8:00x1000</t>
  </si>
  <si>
    <t>Mohar singh banjara (raju) for adv payment 1-15 july</t>
  </si>
  <si>
    <t>Paid to Mohd Rehmat for supply labour 13/07-1 masson, 14/07-1 labour, 15/07-2 labour,16/07-2 labour,17/07-3 masson and 1 labour total 4x900+6x700=3600+4200=7800</t>
  </si>
  <si>
    <t>Paid to Kaka for JCB work 17/07/2026 start 9.15 to 10.30=1.15x1000=1250</t>
  </si>
  <si>
    <t xml:space="preserve">Paid to Pavinder singh (50 kb Generator Rent) </t>
  </si>
  <si>
    <t>Paid to Dilip taxi charges from railway station to vrk site fare</t>
  </si>
  <si>
    <t>Paid to mohar singh  raju for full payment 1-15 july full payment</t>
  </si>
  <si>
    <t>Paid to mohar singh Raju adv payment 15-31 july 6 x 1000</t>
  </si>
  <si>
    <t>Paid to Manjeet electronic store for the changeover 63a4 pool 440v</t>
  </si>
  <si>
    <t>Diesel 5 liter dt. 26.06.2026</t>
  </si>
  <si>
    <t>updated by divyansh</t>
  </si>
  <si>
    <t>18.07.2026</t>
  </si>
  <si>
    <t>19.07.2026</t>
  </si>
  <si>
    <t>2 Labour 600/-</t>
  </si>
  <si>
    <t>20.07.2026</t>
  </si>
  <si>
    <t>21.07.2026</t>
  </si>
  <si>
    <t>Thar Pollution (jio pump) 6 month</t>
  </si>
  <si>
    <t>Aquaguard service  cash</t>
  </si>
  <si>
    <t>Jio recharge paytm (office phone)</t>
  </si>
  <si>
    <t>Mukesh driver paytm</t>
  </si>
  <si>
    <t>HPCL Security cash</t>
  </si>
  <si>
    <t>Kala Personal Paytm</t>
  </si>
  <si>
    <t>Dinner cash</t>
  </si>
  <si>
    <t>From Rockrose cash</t>
  </si>
  <si>
    <t>Advocate Delhi Paytm (Visit &amp; Travel)</t>
  </si>
  <si>
    <t>Medical Cash</t>
  </si>
  <si>
    <t>Vrk Investment</t>
  </si>
  <si>
    <t>Vibra online (from VEW A/c)</t>
  </si>
  <si>
    <t>Dad Medical cash</t>
  </si>
  <si>
    <t>Dad Food cash</t>
  </si>
  <si>
    <t>Ravi Driver Paytm (Advance)</t>
  </si>
  <si>
    <t>Matched</t>
  </si>
  <si>
    <t xml:space="preserve">Paid to  Mokam singh (Raju) (1 to 15 june paid mohar singh payment) for kharcha </t>
  </si>
  <si>
    <t>Paid to Gautam kaushik Civil foremen total paid june advance 5000/-</t>
  </si>
  <si>
    <t>Tractor (back site for earthing filling work) sonalik PB27-1916-1250/- and sonalik PB65-6255-1250/-</t>
  </si>
  <si>
    <t>Paid to Mohar singh Banjara (raju) + 15 Advance payment , june 16-30 full payment</t>
  </si>
  <si>
    <t>Paid to Mohd Rahmat (Manjor the supply  labour )</t>
  </si>
  <si>
    <t xml:space="preserve"> kaku for Jcb payment earth filling site 10-7-26-3.15hrx100=3250,shuttering material clear = 1500 11.7.26, 12.7.26- 9.00 x1000=9000/- </t>
  </si>
  <si>
    <t xml:space="preserve"> Gurprit singh, trolly   payment for the earth filling with the help of JCB and tractor and trolly PB87-4350 1x3000, PB27-Z-6247 1x3000</t>
  </si>
  <si>
    <t>Paid to Biksjeet singh for shuttering ,material transport isv construction to vrk site</t>
  </si>
  <si>
    <t>Paid to Mohd.rehmat (manjor) for kharcha 7x2000</t>
  </si>
  <si>
    <t>Room rent (pandit engg)</t>
  </si>
  <si>
    <t>Paid to Avtar singh for transport charges shuttering material</t>
  </si>
  <si>
    <t>3 labour 800/- (Male pay only 6 hours wage)</t>
  </si>
  <si>
    <t>3 labour 600/- (female pay only 6 hours wage)</t>
  </si>
  <si>
    <t>1 Masson 1150/- (pay only 6 hours wage)</t>
  </si>
  <si>
    <t>3 labour 600/-(female)</t>
  </si>
  <si>
    <t>22.07.2026</t>
  </si>
  <si>
    <t xml:space="preserve">Consumrable </t>
  </si>
  <si>
    <t>Plier</t>
  </si>
  <si>
    <t>23.07.2026</t>
  </si>
  <si>
    <t>24.07.2026</t>
  </si>
  <si>
    <t>nut bolt and cutting wheel</t>
  </si>
  <si>
    <t>Vikas</t>
  </si>
  <si>
    <t>Deepak bike petrol 1.7.26-150,nut bolt-60,2.7.26-200,3.7.26-100,4.6.26-200,5.7.26-150,6.7.26-150,7.7.26-150,8.7.26-150,9.7.26-150,10.7.26-150 for tepla site</t>
  </si>
  <si>
    <t>Bike reparing 18.06.26 invoice no-PCSC13211240</t>
  </si>
  <si>
    <t>Labour carriage phase 6 to ISU shuttering (loading Unloading truck)</t>
  </si>
  <si>
    <t>3 Female labour 600/-</t>
  </si>
  <si>
    <t>Rock eose sand + bajri</t>
  </si>
  <si>
    <t>Earthing box tool store to sec-20 shifting</t>
  </si>
  <si>
    <t xml:space="preserve">Welding machine brk shop to store </t>
  </si>
  <si>
    <t>Vrk mokam singh labour added in hisab (1-15)</t>
  </si>
  <si>
    <t>D G generator VRK total 22500 balance pay rakesh (15 days Rent)</t>
  </si>
  <si>
    <t>1 Masoon 900/-</t>
  </si>
  <si>
    <t>Mokam singh new labour VRK transportation</t>
  </si>
  <si>
    <t>Paid to Bikar singh for transport charges shuttering material</t>
  </si>
  <si>
    <t>1 Female labour 600/-</t>
  </si>
  <si>
    <t>Tractor shiffting sand 2 tractor 11 round</t>
  </si>
  <si>
    <t>JCB for tepla 3 hours (2 hours running 1 hour up and down)</t>
  </si>
  <si>
    <t xml:space="preserve">Diesel thar </t>
  </si>
  <si>
    <t>2 bag cement sec-20, rock rose</t>
  </si>
  <si>
    <t>25.07.2026</t>
  </si>
  <si>
    <t>26.07.2026</t>
  </si>
  <si>
    <t>27.07.2026</t>
  </si>
  <si>
    <t>28.07.2026</t>
  </si>
  <si>
    <t>Plass</t>
  </si>
  <si>
    <t>Brush paint</t>
  </si>
  <si>
    <t>Plag</t>
  </si>
  <si>
    <t>29.07.2026</t>
  </si>
  <si>
    <t>30.07.2026</t>
  </si>
  <si>
    <t>Gouri Shankar per labour</t>
  </si>
  <si>
    <t xml:space="preserve">Paid to Gouri shankar kharcha for adv payment </t>
  </si>
  <si>
    <t>Paid to mohar singh adv (16-30 july ) payment</t>
  </si>
  <si>
    <t>TEPLA</t>
  </si>
  <si>
    <t>SONU , LALILT ROOM RENT</t>
  </si>
  <si>
    <t>PETROL</t>
  </si>
  <si>
    <t>1 Masoon 1200/-</t>
  </si>
  <si>
    <t>VIKAS ENGINEERING</t>
  </si>
  <si>
    <t>BIKE POLLUTION</t>
  </si>
  <si>
    <t>MOTOR WINDING 3000&amp; COMPANY CHARGES 500</t>
  </si>
  <si>
    <t>COMPACTOR DIESEL(25/07/26)</t>
  </si>
  <si>
    <t>EARTHING PARTITION AND COAL FREIGHT SHOP TO SITE</t>
  </si>
  <si>
    <t>SAND( 750 FT  X 34 )</t>
  </si>
  <si>
    <t>1 Masoon 1000/-</t>
  </si>
  <si>
    <t>Sand shifting with trolly 4 AND LOADED</t>
  </si>
  <si>
    <t>PRINTING &amp; STATIONERY</t>
  </si>
  <si>
    <t>VOUCHER BOOK PRINTING , TOTAL 1500 GIVEN 1000, BALANCE 500</t>
  </si>
  <si>
    <t>SAND FOR TEPLA SITE /( TANK )</t>
  </si>
  <si>
    <t>31.07.2026</t>
  </si>
  <si>
    <t>LALRU TO ROON MATERIAL TRANSPORTATION</t>
  </si>
  <si>
    <t>SONU</t>
  </si>
  <si>
    <t>1 LABOUR@800</t>
  </si>
  <si>
    <t>WELDING LEAD 20 MTR X 180</t>
  </si>
  <si>
    <t>WELDING EARTHING 200 X 2</t>
  </si>
  <si>
    <t>WELDING HOLDER 2 X 300</t>
  </si>
  <si>
    <t>COMPACTOR SERVICE</t>
  </si>
  <si>
    <t>BIKE BACK SIDE INDICATOR CHANGE</t>
  </si>
  <si>
    <t>SHOES SAFETY 10 NO</t>
  </si>
  <si>
    <t>JCB SITE TEPLA  D/W AREA LEVELING FOR SAND TROLLY + SAND SHIFTTING SITE TEPLA</t>
  </si>
  <si>
    <t>DEDUCTION ON ACCT OF SALARY PAID MONTH OF JUNE ORDER BY DIVYANSH</t>
  </si>
  <si>
    <t>LALRU TO CHD</t>
  </si>
  <si>
    <t>CHD TO CHUNNI</t>
  </si>
  <si>
    <t>LAKHNOUR TO ROOM</t>
  </si>
  <si>
    <t>CHUNNI TO LAKHNOUR</t>
  </si>
  <si>
    <t>DASHMESH</t>
  </si>
  <si>
    <t>Puncher</t>
  </si>
  <si>
    <t>LPG gas</t>
  </si>
  <si>
    <t>Polythine sheet</t>
  </si>
  <si>
    <t>Material purchase</t>
  </si>
  <si>
    <t>Blade 4", dril bite, polythine</t>
  </si>
  <si>
    <t>CASH PAID FOR OFFICE REPAIR</t>
  </si>
  <si>
    <t>Divyansh atm</t>
  </si>
  <si>
    <t>ARCHITECT EXP</t>
  </si>
  <si>
    <t>RAVI ARCHITECT ( MEP ) DRAWINGS</t>
  </si>
  <si>
    <t>SONU KUMAR SALARY JUNE MONTH</t>
  </si>
  <si>
    <t>TOLL EXP PAID TO MUKESH DRIVER</t>
  </si>
  <si>
    <t>CASH GIVEN FOR FOOD</t>
  </si>
  <si>
    <t>Mukesh driver paytm( FAST TAG )</t>
  </si>
  <si>
    <t>DINESH</t>
  </si>
  <si>
    <t>FOOD EXPENSE</t>
  </si>
  <si>
    <t>FOOD CASH</t>
  </si>
  <si>
    <t>FOOD CASH( OFFICER SWEETS AND FOOD)</t>
  </si>
  <si>
    <t>GURCHARAN CASH</t>
  </si>
  <si>
    <t>GURCHARAN PAYTM</t>
  </si>
  <si>
    <t>ADVOCATE ANAND PAYTM</t>
  </si>
  <si>
    <t>ONLINE PAYMENT HPCL, TILAK RAM PUMP</t>
  </si>
  <si>
    <t>TOLL PATYM</t>
  </si>
  <si>
    <t>DIVYANSH CASH</t>
  </si>
  <si>
    <t>PERSONAL</t>
  </si>
  <si>
    <t>BIPIN SIR PAYTM</t>
  </si>
  <si>
    <t>ONLINE PAYMENT</t>
  </si>
  <si>
    <t>RAVI FOR ALINGMENT AND CAR REPAIR</t>
  </si>
  <si>
    <t>REPAIR AND MAIN</t>
  </si>
  <si>
    <t>CHAIR REPAIR, AND 4 NEW CHAIR PUR</t>
  </si>
  <si>
    <t>TOLL TAX CASH</t>
  </si>
  <si>
    <t>FLIGHT BOOKING PAYTM</t>
  </si>
  <si>
    <t>TRAIN TICKET PAYTM</t>
  </si>
  <si>
    <t>02.08.2026</t>
  </si>
  <si>
    <t>PAID TO KK STEEL FOR CEMENT PURCHASE20 BAGS@390 EACH</t>
  </si>
  <si>
    <t>PAID SACHIN FOR TRANSPORT FROM STORE TO VRK SITE</t>
  </si>
  <si>
    <t>03.08.2026</t>
  </si>
  <si>
    <t>PAID TO PIND SINGH FROM TRANPORTATION FROM I.S.V O VRK</t>
  </si>
  <si>
    <t>PAID FOR SAND PURCHASE 232FT @28</t>
  </si>
  <si>
    <t>RMCTM</t>
  </si>
  <si>
    <t>FARE CHARGES</t>
  </si>
  <si>
    <t>05.08.2026</t>
  </si>
  <si>
    <t>MOKAm Per Labour</t>
  </si>
  <si>
    <t>PAID TO MOHAR SINGH AUGUST LABOUR(01-5)</t>
  </si>
  <si>
    <t>PAID TO MOHAR SINGH JULY LABOUR(16-31 )</t>
  </si>
  <si>
    <t>MOH UMAR JUNE SALARY</t>
  </si>
  <si>
    <t>06.08.2026</t>
  </si>
  <si>
    <t>GOUri Shankar per labour</t>
  </si>
  <si>
    <t>CHAVI PATEL(GAURI SHANKAR CONTRACTOR) PAYMENT FROM16-31 JULY</t>
  </si>
  <si>
    <t>CHAVI PATEL(GAURI SHANKAR CONTRACTOR) ADV AGT AUG SAL</t>
  </si>
  <si>
    <t>Radhe shyam(security guard ) salary july26</t>
  </si>
  <si>
    <t>01.08.2026</t>
  </si>
  <si>
    <t>Travelling (sec-20 to office</t>
  </si>
  <si>
    <t>Travelling ( tepla ) up &amp; down</t>
  </si>
  <si>
    <t>POLYTHENE SHEET</t>
  </si>
  <si>
    <t>BINDING WIRE( 5 KG )</t>
  </si>
  <si>
    <t>04.08.2026</t>
  </si>
  <si>
    <t>GRINDING WHEEL(2PCS)</t>
  </si>
  <si>
    <t>07.08.2026</t>
  </si>
  <si>
    <t>COVER BLOCK</t>
  </si>
  <si>
    <t xml:space="preserve">Travelling ( tepla ) </t>
  </si>
  <si>
    <t xml:space="preserve">Travelling (sec-20 </t>
  </si>
  <si>
    <t>FANTI 6 INCH</t>
  </si>
  <si>
    <t>KULDEEP ENGINEERING</t>
  </si>
  <si>
    <t>THREE PERSONS FROM ROOM TO SITE &amp; BACK</t>
  </si>
  <si>
    <t>LABOUR</t>
  </si>
  <si>
    <t>DEEPAK TRAVELING</t>
  </si>
  <si>
    <t>VIKASH Kumar</t>
  </si>
  <si>
    <t>08.08.2026</t>
  </si>
  <si>
    <t>MASSON</t>
  </si>
  <si>
    <t>SAND 60 FT @ 45 PER FT</t>
  </si>
  <si>
    <t>BIPIN CASH</t>
  </si>
  <si>
    <t>BAJRI10 FEET @45 PER FT</t>
  </si>
  <si>
    <t>CEMENT 1 BAG @400</t>
  </si>
  <si>
    <t>SAND 35 FT @45 PER FT</t>
  </si>
  <si>
    <t>ROLLER &amp; SHUTTERING  PLATES SHIFTED FROM ROCK ROSE TO STORE</t>
  </si>
  <si>
    <t>GATKA 200FT * 37(PUR ON 25.07.2026</t>
  </si>
  <si>
    <t>SAND 100FT * 34(PUR ON 27.07.2026</t>
  </si>
  <si>
    <t>GATKA 100FT * 37(PUR ON 27.07.2026</t>
  </si>
  <si>
    <t>DEEPAK</t>
  </si>
  <si>
    <t>VARINDER SIR ELECTRCIAL CAB PAYMENT</t>
  </si>
  <si>
    <t>Bipin ATM</t>
  </si>
  <si>
    <t>ELECTRICAL M/S ISSUE CHECK AND REPAIRE VIRENDER  HPCL PUMP</t>
  </si>
  <si>
    <t>VIBRATOR AND SHUTTERING PLATES SHIFTED FROM ROCK ROSE TO SECTOR 20</t>
  </si>
  <si>
    <t>SHUTTERING PLATES 27 UP AND DOWN RENT</t>
  </si>
  <si>
    <t>VISHAL PERMANENT LABOUR</t>
  </si>
  <si>
    <t>PLATE TRANSPORTATION SINGH ENTP TO SECTOR 20</t>
  </si>
  <si>
    <t>10 BAG CEMENT @400 PER BAG</t>
  </si>
  <si>
    <t>CEMENT BAG CARRAIGE</t>
  </si>
  <si>
    <t>POLYTHENE SHEET 36.88KG @160 PER KG</t>
  </si>
  <si>
    <t>3 LABOUR @ 800/-</t>
  </si>
  <si>
    <t>1 Masoon @ 1150/-</t>
  </si>
  <si>
    <t>1 Masoon @ 900/-</t>
  </si>
  <si>
    <t>MASON OVER TIME 5 HRS DUE TO SLAB CASTING)</t>
  </si>
  <si>
    <t>LABOUR OVER TIME 5 HRS DUE TO SLAB CASTINGH</t>
  </si>
  <si>
    <t>08..08.2026</t>
  </si>
  <si>
    <t>09.08.2026</t>
  </si>
  <si>
    <t>1 LABOUR @ 800/-</t>
  </si>
  <si>
    <t>10.08.2026</t>
  </si>
  <si>
    <t>RMC DHARAM KANTA</t>
  </si>
  <si>
    <t>1 LABOUR</t>
  </si>
  <si>
    <t>TEPLA TO LANDRA AND BACK</t>
  </si>
  <si>
    <t>GRINDER KA PATTA</t>
  </si>
  <si>
    <t>KARANDI</t>
  </si>
  <si>
    <t>TRAVELLING ONE PERSO</t>
  </si>
  <si>
    <t>11.08.2026</t>
  </si>
  <si>
    <t>12.08.2026</t>
  </si>
  <si>
    <t>1 LABOUR BANUR</t>
  </si>
  <si>
    <t>13.08.2026</t>
  </si>
  <si>
    <t>14.08.2026</t>
  </si>
  <si>
    <t>ROOM RENT BANUR 2 DAY</t>
  </si>
  <si>
    <t>BIKE REPAIR</t>
  </si>
  <si>
    <t>WEIGHMENT EXP</t>
  </si>
  <si>
    <t>GREASE</t>
  </si>
  <si>
    <t>MOBILE RECHARGE</t>
  </si>
  <si>
    <t>15.08.2026</t>
  </si>
  <si>
    <t>TWO PERSONS FROM ROOM TO SITE &amp; BACK</t>
  </si>
  <si>
    <t>TWO PERSONS FROM CHD TO LALRU</t>
  </si>
  <si>
    <t>TWO PERSONS FROM LALRU TO BANUR</t>
  </si>
  <si>
    <t>CUTTING WHEEL 2 PCS</t>
  </si>
  <si>
    <t>16.08.2026</t>
  </si>
  <si>
    <t>Material shiffting store to lalru</t>
  </si>
  <si>
    <t>BAJRI25 FEET @45 PER FT</t>
  </si>
  <si>
    <t>SAND 25 FEET</t>
  </si>
  <si>
    <t>CEMENT 2 BAG</t>
  </si>
  <si>
    <t>2 LABOUR @ 800/-</t>
  </si>
  <si>
    <t>1 Masoon @ 1100/-</t>
  </si>
  <si>
    <t>VIKas</t>
  </si>
  <si>
    <t>OVER TIME</t>
  </si>
  <si>
    <t>HARDENER FREIGHT SHOP TO SECTOR -20</t>
  </si>
  <si>
    <t>VOUCHER BOOK PRINTING , TOTAL 1500 GIVEN 500, BALANCE 1000</t>
  </si>
  <si>
    <t>FOOD</t>
  </si>
  <si>
    <t>SWEETS FOR RCC LAYING</t>
  </si>
  <si>
    <t>DEEPAK PERMANENT LABOUR UP AND DOWN ROOM TO SECTOR-20 FROM 06/08 TO 14/08 ,100 X 9 DAYS</t>
  </si>
  <si>
    <t>Cement 10 bag 400x10</t>
  </si>
  <si>
    <t>CEMENT CARRAIGE  SECTOR 20</t>
  </si>
  <si>
    <t>DEEPAK ROCK ROSE TO TEPLA 13.08</t>
  </si>
  <si>
    <t>DEEPAK TRAVELLING15.08.2026</t>
  </si>
  <si>
    <t>17.08.2026</t>
  </si>
  <si>
    <t>Water tank from14.08 to 15.08</t>
  </si>
  <si>
    <t>TAPE</t>
  </si>
  <si>
    <t>M SEAL</t>
  </si>
  <si>
    <t>AARI BLADE</t>
  </si>
  <si>
    <t>PAID TO MAYANK SINGH  FOR TRANPORTATION FROM PARDEEP TO VRK SITE</t>
  </si>
  <si>
    <t>PAID TO STNAM SINGH  FOR TRANPORTATION FROM PARDEEP TO VRK SITE</t>
  </si>
  <si>
    <t>PETROL DT04, 06 &amp; 11.08.2026</t>
  </si>
  <si>
    <t>BROOM</t>
  </si>
  <si>
    <t>SUKHWINDER SINGH'(security guard ) salary july26</t>
  </si>
  <si>
    <t>PAID TO MAYANK PANDEY  FOR TRANSPORTATION FROM PARDEEP TO VRK SITE</t>
  </si>
  <si>
    <t>SINGH ENTP ( JOGINDER CASH PAYMENT)</t>
  </si>
  <si>
    <t>CAB PAYMENT</t>
  </si>
  <si>
    <t>CASH</t>
  </si>
  <si>
    <t>TRAIN CASH</t>
  </si>
  <si>
    <t>FLIGHT PAYMENT</t>
  </si>
  <si>
    <t>GURCHARAN PAYMENT</t>
  </si>
  <si>
    <t>ELECTRICITY BILL  GROUND FLOOR</t>
  </si>
  <si>
    <t>ELECTRICITY BILL  IST FLOOR</t>
  </si>
  <si>
    <t>ELECTRICITY BILL  2ST FLOOR</t>
  </si>
  <si>
    <t xml:space="preserve">Ravi Driver </t>
  </si>
  <si>
    <t>SIP PAYMENT</t>
  </si>
  <si>
    <t>RAVI DRIVER FOR ELECTRICAL PAYMNENT</t>
  </si>
  <si>
    <t>BIPIN PERSONAL CASH</t>
  </si>
  <si>
    <t>MAHEEP PAYTM</t>
  </si>
  <si>
    <t>BIPIN Kumar</t>
  </si>
  <si>
    <t>Divyansh Atm</t>
  </si>
  <si>
    <t>BIPIN ATM</t>
  </si>
  <si>
    <t>19.08.2026</t>
  </si>
  <si>
    <t>PAID TO MOHD REHMAT SHUTTERING CONTRTACTOR ADVANCE</t>
  </si>
  <si>
    <t>DIESEL DT17 &amp; 19.08.2026</t>
  </si>
  <si>
    <t>20.08.2026</t>
  </si>
  <si>
    <t>PAID TO GURINDER SINGH GENERATOR ADVANCE PAYMENT</t>
  </si>
  <si>
    <t>MACHINARY</t>
  </si>
  <si>
    <t>PAID TO KAKA JCB PAYMENT13.08(5000) 14.08(8000) 15.08(500 )</t>
  </si>
  <si>
    <t>HOUSE RENT ( PANDIT ENGINEER )</t>
  </si>
  <si>
    <t>21.08.2026</t>
  </si>
  <si>
    <t>PAID TO CHAVI PATEL(01-15 AUGUST)</t>
  </si>
  <si>
    <t>22.08.2026</t>
  </si>
  <si>
    <t>PAID TO KAKA JCB PAYMENT21.08(7700)</t>
  </si>
  <si>
    <t>MATERIAL SALE( BAJRI )</t>
  </si>
  <si>
    <t>Copy for measurement</t>
  </si>
  <si>
    <t>WASTE JALI, PAINT SCRAPPER COTTON CLOTH, WHITE CEMENT</t>
  </si>
  <si>
    <t>18.08.2026</t>
  </si>
  <si>
    <t>23.08.2026</t>
  </si>
  <si>
    <t>24.08.2026</t>
  </si>
  <si>
    <t>25.08.2026</t>
  </si>
  <si>
    <t>PUTTI</t>
  </si>
  <si>
    <t>REGMARK</t>
  </si>
  <si>
    <t>Travelling (sec-20 )</t>
  </si>
  <si>
    <t>26.08.2026</t>
  </si>
  <si>
    <t>TESTING M/C WASHER 4 PC @25 PER PIECE</t>
  </si>
  <si>
    <t>1 LR PRIMER ( RED OXIDE)</t>
  </si>
  <si>
    <t>MATERIAL SALE( C.V.T)</t>
  </si>
  <si>
    <t>PAID TO MOH REHMAT FOR SUPPLY OF LABOUR AND MASSON ON 23.07.2026</t>
  </si>
  <si>
    <t>PAID TO RAJINDER SINGH FOR TRANSPORTATION CHARGES FROM ISV TO VRK</t>
  </si>
  <si>
    <t>Tile Contractor pay for buildingouter area</t>
  </si>
  <si>
    <t>PVC PANEL CONT ADVANCE, TOTAL CONT COST 13500</t>
  </si>
  <si>
    <t>FREIGHT CHARGES FOR MATERIAL SHIFT TO STORE</t>
  </si>
  <si>
    <t>Bipin SIR</t>
  </si>
  <si>
    <t>CEMENT10 BAG</t>
  </si>
  <si>
    <t>DEEPAK SUPERVISOR ADVANCE</t>
  </si>
  <si>
    <t>FREIGHT</t>
  </si>
  <si>
    <t>HPCL GUEST HOUSE SECTOR 40</t>
  </si>
  <si>
    <t>PAINT 4 LTR PAINT BRUSH AND ROLLER</t>
  </si>
  <si>
    <t>PVC PANEL CONT BALANCE PAYM</t>
  </si>
  <si>
    <t>GAUTAM SAFETY SHOES</t>
  </si>
  <si>
    <t>FAST TAG RECHARGE</t>
  </si>
  <si>
    <t>UMAR SALARY  JULY MONTH</t>
  </si>
  <si>
    <t>DIVYANS SAFETY SHOES</t>
  </si>
  <si>
    <t>VIKASH</t>
  </si>
  <si>
    <t xml:space="preserve">TARPIN OIL 1 LTR </t>
  </si>
  <si>
    <t>27.08.2026</t>
  </si>
  <si>
    <t>SONU ROOM RENT</t>
  </si>
  <si>
    <t>29.08.2026</t>
  </si>
  <si>
    <t>EMERGENCY SWITC 2 NOS @400 EACH</t>
  </si>
  <si>
    <t>EMEGENCY SWITCH INSTALLATION CHARGES</t>
  </si>
  <si>
    <t>FLANGE AND WELDINGCONT PAY FOR PIPE LINE</t>
  </si>
  <si>
    <t>Travelling morinda</t>
  </si>
  <si>
    <t>30.08.2026</t>
  </si>
  <si>
    <t>31.08.2026</t>
  </si>
  <si>
    <t>PAINT BRUSH TARPIL OIL TAPE POLYTHENE SHEET, GOTI, KEY BULB LED</t>
  </si>
  <si>
    <t>AUTO FARE FROM LALRU TO BANUR</t>
  </si>
  <si>
    <t>TOUR HP CENTRE</t>
  </si>
  <si>
    <t>CHANDIGARH TO BHARATAGARH AND BACK 2 PERSON</t>
  </si>
  <si>
    <t xml:space="preserve">FLANK INCH </t>
  </si>
  <si>
    <t>STORE PHASE-VII</t>
  </si>
  <si>
    <t>ROOM TO GODOWN AND BACK TWO PERSON</t>
  </si>
  <si>
    <t>AUTO FREIGHT</t>
  </si>
  <si>
    <t>ROOM TO MORINDA AND BACK</t>
  </si>
  <si>
    <t>ROOM TO SECTOR 20 AND BACK</t>
  </si>
  <si>
    <t>ROCK ROSE</t>
  </si>
  <si>
    <t>FROM PUMP TO  ROOM</t>
  </si>
  <si>
    <t>MATERIAL PURCHASE</t>
  </si>
  <si>
    <t>CUTTER PLATE</t>
  </si>
  <si>
    <t>28.08.2026</t>
  </si>
  <si>
    <t>PAID TO BIKER FOR TRANSPORTATION OF SHUTTER MATERIALS FROM ISV TO VRK</t>
  </si>
  <si>
    <t>RAVI DRIVER ADVANCE PAYMNET</t>
  </si>
  <si>
    <t>Petrol CASH</t>
  </si>
  <si>
    <t>NEHA OFFICE BALANCE SALARY CASH</t>
  </si>
  <si>
    <t>SONU KUMAR SALARY JULY MONTH CASH</t>
  </si>
  <si>
    <t>MUKESH DRIVER JUNE REPAIR PAY</t>
  </si>
  <si>
    <t>MUKESH DRIVER JULY BALANCE SALRY PAYTM</t>
  </si>
  <si>
    <t>VR FOOD PAYMENT VEW</t>
  </si>
  <si>
    <t>MOUSE/CHARGER PATMENT</t>
  </si>
  <si>
    <t>DHANOA ENTP FOR STAMP PAPERS ( VRK  LOAN BOI )</t>
  </si>
  <si>
    <t>POLLUTION BORARD PAYM ( FOR VRK POLLUTION NOC ) IN POLLUTION BORARD A/C</t>
  </si>
  <si>
    <t xml:space="preserve">POLLUTION NOC PAYMENT </t>
  </si>
  <si>
    <t>ROHIT OFFICE CASH</t>
  </si>
  <si>
    <t>OFFICE TRANSACTION (3100+3100 )</t>
  </si>
  <si>
    <t>STATIONERY PAYMENT</t>
  </si>
  <si>
    <t>LED BULB</t>
  </si>
  <si>
    <t>Fine Sand 200 FT @38 RS PER FT</t>
  </si>
  <si>
    <t>TILES CONT BALANCE PAYMENT</t>
  </si>
  <si>
    <t>WALK WAY SKIRTING  CUTTING PAY 100+TILE CUTTING PAY800</t>
  </si>
  <si>
    <t>1 NOS @1100</t>
  </si>
  <si>
    <t>1 NOS @800</t>
  </si>
  <si>
    <t>VISHAL SUPERVISOR ADVANCE</t>
  </si>
  <si>
    <t>PRE OPERATING EXPENSES</t>
  </si>
  <si>
    <t>JATI RAM SADHU RAM</t>
  </si>
  <si>
    <t>01.09.2026</t>
  </si>
  <si>
    <t>PAID TO RAJINDER SINGH FOR TRANSPORTATION CHARGES FROM ISV TO VRK 2 ROUND</t>
  </si>
  <si>
    <t>PAID J.E. FIEL</t>
  </si>
  <si>
    <t>02.09.2026</t>
  </si>
  <si>
    <t>PAID TO SUNIL PASWAN FOR MATERIAL TRANPORTING</t>
  </si>
  <si>
    <t>PAID TO DANISH FOR KATA AND KIRAYA 215 ON 30/8/26 &amp;650 ON 02/09/26</t>
  </si>
  <si>
    <t>WEIGHMENT</t>
  </si>
  <si>
    <t>PAID TO DANISH FOR MEDICINE AND FIRST AID KIT</t>
  </si>
  <si>
    <t>PAID TO DANISH FOR PHENYEL, ACID AND SNACKS</t>
  </si>
  <si>
    <t>SITE EXPENSE</t>
  </si>
  <si>
    <t>PAID TO DANISH FOR MATERIAL PUCHASE OF 01/09/26</t>
  </si>
  <si>
    <t>PAID TO DANISH FOR FREIGHT CHARGES FROM VRK TO ISV SITE 31/08/26</t>
  </si>
  <si>
    <t>PAID TO DANSIH FOR FUEL AND PETROL</t>
  </si>
  <si>
    <t>PAID TO DANISH FOR FOOD EXP OF UMAR</t>
  </si>
  <si>
    <t>03.09.2026</t>
  </si>
  <si>
    <t>PAID TO RAJINDER SINGH FOR TRANSPORTATION CHARGE ISV TO VRK SITE SJUTTERING MATERIALA</t>
  </si>
  <si>
    <t>PAID TO  JARVINDER SINGH FOR TRANPORTATIONS FROM PARDEEP TO VRK SITE</t>
  </si>
  <si>
    <t>PAID TO GURJINDER SINGH FOR TRANSPORTATION CHARGE ISV TO VRK SITE SJUTTERING MATERIALA</t>
  </si>
  <si>
    <t>PAID TO MAHAVEER CRANE SERVICE</t>
  </si>
  <si>
    <t>04.09.2026</t>
  </si>
  <si>
    <t>PAID TO KAKA JCB PAYMENT FRO 22/08&amp; 04/09/26</t>
  </si>
  <si>
    <t>PAID TO MOHD REHMAT CONT FOR SUPPLY LABOUR  3 X 900+1X 700 FROM 01.09.26 TO 02.09.26</t>
  </si>
  <si>
    <t>05.09.2026</t>
  </si>
  <si>
    <t>PAID TO SANDEEP FOR TRANSPORTATIONCHARGES FOR MATERIAL COVER BLOCK, POP VIBRATOR)</t>
  </si>
  <si>
    <t>06.09.2026</t>
  </si>
  <si>
    <t>07.09.2026</t>
  </si>
  <si>
    <t>PAID TO GAURI SHANKAR THEKEDAR FOR PERIOD 16 AUGST-31 AUGUST)</t>
  </si>
  <si>
    <t>BHARMUKAT FARAT PATWARI CASH PAYMENT BY KALA</t>
  </si>
  <si>
    <t>Security Guard Radhe Shyam August 26 Clear</t>
  </si>
  <si>
    <t>Security Guard sukhwinderSingh August 26 Clear</t>
  </si>
  <si>
    <t>PAID TO DANISH FOR SITE EXPENSES</t>
  </si>
  <si>
    <t>TRAVELLING CHARGES</t>
  </si>
  <si>
    <t>BIKE SERVICE</t>
  </si>
  <si>
    <t>BIKE WASHING</t>
  </si>
  <si>
    <t>TRAVELLING  FROM ROCKROSE TO ROOM</t>
  </si>
  <si>
    <t>VRK BANQUET</t>
  </si>
  <si>
    <t>PAINT 200GM</t>
  </si>
  <si>
    <t>ROOM TO ROCK ROSE AND BACK 2 PERSON</t>
  </si>
  <si>
    <t>ROOM TO ROCKROSE 2 PERSON</t>
  </si>
  <si>
    <t>ROCKROSE TO ROOM 1 PERSON</t>
  </si>
  <si>
    <t>08.09.2026</t>
  </si>
  <si>
    <t>Pardeep  Personal</t>
  </si>
  <si>
    <t>Travelling (sec-20 )/Office</t>
  </si>
  <si>
    <t>09.09.2026</t>
  </si>
  <si>
    <t>10.09.2026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</si>
</sst>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Bell MT"/>
      <family val="1"/>
    </font>
    <font>
      <b/>
      <sz val="16"/>
      <color theme="0"/>
      <name val="Bodoni MT"/>
      <family val="1"/>
    </font>
    <font>
      <b/>
      <sz val="12"/>
      <color theme="0"/>
      <name val="Bodoni MT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7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/>
    <xf numFmtId="0" fontId="7" fillId="0" borderId="11" xfId="0" applyFont="1" applyBorder="1"/>
    <xf numFmtId="0" fontId="8" fillId="0" borderId="1" xfId="0" applyFont="1" applyBorder="1"/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6" fillId="0" borderId="1" xfId="0" applyNumberFormat="1" applyFont="1" applyBorder="1"/>
    <xf numFmtId="164" fontId="6" fillId="0" borderId="0" xfId="0" applyNumberFormat="1" applyFont="1"/>
    <xf numFmtId="0" fontId="6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/>
    <xf numFmtId="0" fontId="7" fillId="4" borderId="1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1" xfId="0" applyFont="1" applyBorder="1"/>
    <xf numFmtId="1" fontId="0" fillId="0" borderId="0" xfId="0" applyNumberFormat="1"/>
    <xf numFmtId="0" fontId="7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/>
    <xf numFmtId="0" fontId="8" fillId="10" borderId="1" xfId="0" applyFont="1" applyFill="1" applyBorder="1"/>
    <xf numFmtId="0" fontId="8" fillId="10" borderId="11" xfId="0" applyFont="1" applyFill="1" applyBorder="1"/>
    <xf numFmtId="0" fontId="7" fillId="10" borderId="1" xfId="0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1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/>
    </xf>
    <xf numFmtId="0" fontId="7" fillId="4" borderId="1" xfId="0" applyFont="1" applyFill="1" applyBorder="1"/>
    <xf numFmtId="164" fontId="7" fillId="12" borderId="1" xfId="0" applyNumberFormat="1" applyFont="1" applyFill="1" applyBorder="1" applyAlignment="1">
      <alignment horizontal="center"/>
    </xf>
    <xf numFmtId="0" fontId="7" fillId="12" borderId="1" xfId="0" applyFont="1" applyFill="1" applyBorder="1"/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1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4" fontId="7" fillId="14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4" borderId="0" xfId="0" applyFont="1" applyFill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164" fontId="7" fillId="4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/>
    <xf numFmtId="2" fontId="7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0" fontId="7" fillId="4" borderId="11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7" fillId="0" borderId="1" xfId="0" applyFont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7" fillId="14" borderId="1" xfId="0" applyFont="1" applyFill="1" applyBorder="1" applyAlignment="1">
      <alignment horizontal="left"/>
    </xf>
    <xf numFmtId="0" fontId="0" fillId="14" borderId="1" xfId="0" applyFill="1" applyBorder="1"/>
    <xf numFmtId="0" fontId="7" fillId="15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9" borderId="0" xfId="0" applyFont="1" applyFill="1" applyAlignment="1">
      <alignment horizontal="center"/>
    </xf>
    <xf numFmtId="164" fontId="7" fillId="12" borderId="10" xfId="0" applyNumberFormat="1" applyFont="1" applyFill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left"/>
    </xf>
    <xf numFmtId="164" fontId="20" fillId="0" borderId="10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14" borderId="1" xfId="0" applyFont="1" applyFill="1" applyBorder="1" applyAlignment="1">
      <alignment horizontal="center"/>
    </xf>
  </cellXfs>
  <cellStyles count="1">
    <cellStyle name="Normal" xfId="0" builtinId="0"/>
  </cellStyles>
  <dxfs count="111"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numFmt numFmtId="164" formatCode="[$-14009]dd\-mm\-yyyy;@"/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3" tint="-0.499984740745262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2345356" displayName="Table2345356" ref="A4:K387" totalsRowShown="0" headerRowDxfId="110" dataDxfId="108" headerRowBorderDxfId="109" tableBorderDxfId="107" totalsRowBorderDxfId="106">
  <autoFilter ref="A4:K387" xr:uid="{00000000-0009-0000-0100-000005000000}">
    <filterColumn colId="4">
      <filters>
        <filter val="ALPAS"/>
      </filters>
    </filterColumn>
  </autoFilter>
  <tableColumns count="11">
    <tableColumn id="1" xr3:uid="{00000000-0010-0000-0000-000001000000}" name="DATE" dataDxfId="105"/>
    <tableColumn id="11" xr3:uid="{00000000-0010-0000-0000-00000B000000}" name="Column1" dataDxfId="104"/>
    <tableColumn id="2" xr3:uid="{00000000-0010-0000-0000-000002000000}" name="CASH IN" dataDxfId="103"/>
    <tableColumn id="3" xr3:uid="{00000000-0010-0000-0000-000003000000}" name="AMOUNT" dataDxfId="102"/>
    <tableColumn id="4" xr3:uid="{00000000-0010-0000-0000-000004000000}" name="SITE NAME" dataDxfId="101"/>
    <tableColumn id="5" xr3:uid="{00000000-0010-0000-0000-000005000000}" name="CATEGORY" dataDxfId="100"/>
    <tableColumn id="6" xr3:uid="{00000000-0010-0000-0000-000006000000}" name="PARTICULARS" dataDxfId="99"/>
    <tableColumn id="7" xr3:uid="{00000000-0010-0000-0000-000007000000}" name="AMOUNT2" dataDxfId="98">
      <calculatedColumnFormula>2*600</calculatedColumnFormula>
    </tableColumn>
    <tableColumn id="8" xr3:uid="{00000000-0010-0000-0000-000008000000}" name="CASH OUT" dataDxfId="97"/>
    <tableColumn id="9" xr3:uid="{00000000-0010-0000-0000-000009000000}" name="AMOUNT3" dataDxfId="96"/>
    <tableColumn id="10" xr3:uid="{00000000-0010-0000-0000-00000A000000}" name="BALANCE" dataDxfId="95">
      <calculatedColumnFormula>+E3+Table2345356[[#This Row],[AMOUNT]]-Table2345356[[#This Row],[AMOUNT2]]-Table2345356[[#This Row],[AMOUNT3]]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34535" displayName="Table234535" ref="A4:K921" totalsRowShown="0" headerRowDxfId="94" dataDxfId="92" headerRowBorderDxfId="93" tableBorderDxfId="91" totalsRowBorderDxfId="90">
  <autoFilter ref="A4:K921" xr:uid="{00000000-0009-0000-0100-000004000000}">
    <filterColumn colId="4">
      <filters>
        <filter val="Employee Personal"/>
        <filter val="Per. Labour"/>
        <filter val="Per.Labour"/>
      </filters>
    </filterColumn>
    <filterColumn colId="5">
      <filters>
        <filter val="Pardeep  Personal"/>
      </filters>
    </filterColumn>
  </autoFilter>
  <tableColumns count="11">
    <tableColumn id="1" xr3:uid="{00000000-0010-0000-0100-000001000000}" name="DATE" dataDxfId="89"/>
    <tableColumn id="2" xr3:uid="{00000000-0010-0000-0100-000002000000}" name="CASH IN" dataDxfId="88"/>
    <tableColumn id="3" xr3:uid="{00000000-0010-0000-0100-000003000000}" name="AMOUNT" dataDxfId="87"/>
    <tableColumn id="4" xr3:uid="{00000000-0010-0000-0100-000004000000}" name="SITE NAME" dataDxfId="86"/>
    <tableColumn id="5" xr3:uid="{00000000-0010-0000-0100-000005000000}" name="CATEGORY" dataDxfId="85"/>
    <tableColumn id="6" xr3:uid="{00000000-0010-0000-0100-000006000000}" name="PARTICULARS" dataDxfId="84"/>
    <tableColumn id="7" xr3:uid="{00000000-0010-0000-0100-000007000000}" name="AMOUNT2" dataDxfId="83">
      <calculatedColumnFormula>2*600</calculatedColumnFormula>
    </tableColumn>
    <tableColumn id="8" xr3:uid="{00000000-0010-0000-0100-000008000000}" name="CASH OUT" dataDxfId="82"/>
    <tableColumn id="9" xr3:uid="{00000000-0010-0000-0100-000009000000}" name="AMOUNT3" dataDxfId="81"/>
    <tableColumn id="10" xr3:uid="{00000000-0010-0000-0100-00000A000000}" name="BALANCE" dataDxfId="80">
      <calculatedColumnFormula>J4+Table234535[[#This Row],[AMOUNT]]-Table234535[[#This Row],[AMOUNT2]]-Table234535[[#This Row],[AMOUNT3]]</calculatedColumnFormula>
    </tableColumn>
    <tableColumn id="11" xr3:uid="{00000000-0010-0000-0100-00000B000000}" name="Column1" dataDxfId="79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3453" displayName="Table23453" ref="A4:J216" totalsRowShown="0" headerRowDxfId="78" dataDxfId="76" headerRowBorderDxfId="77" tableBorderDxfId="75" totalsRowBorderDxfId="74">
  <autoFilter ref="A4:J216" xr:uid="{00000000-0009-0000-0100-000002000000}"/>
  <tableColumns count="10">
    <tableColumn id="1" xr3:uid="{00000000-0010-0000-0200-000001000000}" name="DATE" dataDxfId="73"/>
    <tableColumn id="2" xr3:uid="{00000000-0010-0000-0200-000002000000}" name="CASH IN" dataDxfId="72"/>
    <tableColumn id="3" xr3:uid="{00000000-0010-0000-0200-000003000000}" name="AMOUNT" dataDxfId="71"/>
    <tableColumn id="4" xr3:uid="{00000000-0010-0000-0200-000004000000}" name="SITE NAME" dataDxfId="70"/>
    <tableColumn id="5" xr3:uid="{00000000-0010-0000-0200-000005000000}" name="CATEGORY" dataDxfId="69"/>
    <tableColumn id="6" xr3:uid="{00000000-0010-0000-0200-000006000000}" name="PARTICULARS" dataDxfId="68"/>
    <tableColumn id="7" xr3:uid="{00000000-0010-0000-0200-000007000000}" name="AMOUNT2" dataDxfId="67">
      <calculatedColumnFormula>2*600</calculatedColumnFormula>
    </tableColumn>
    <tableColumn id="8" xr3:uid="{00000000-0010-0000-0200-000008000000}" name="CASH OUT" dataDxfId="66"/>
    <tableColumn id="9" xr3:uid="{00000000-0010-0000-0200-000009000000}" name="AMOUNT3" dataDxfId="65"/>
    <tableColumn id="10" xr3:uid="{00000000-0010-0000-0200-00000A000000}" name="BALANCE" dataDxfId="64">
      <calculatedColumnFormula>J4+Table23453[[#This Row],[AMOUNT]]-Table23453[[#This Row],[AMOUNT2]]-Table23453[[#This Row],[AMOUNT3]]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23453591011" displayName="Table23453591011" ref="A4:K253" totalsRowShown="0" headerRowDxfId="63" dataDxfId="61" headerRowBorderDxfId="62" tableBorderDxfId="60" totalsRowBorderDxfId="59">
  <autoFilter ref="A4:K253" xr:uid="{00000000-0009-0000-0100-00000A000000}"/>
  <tableColumns count="11">
    <tableColumn id="1" xr3:uid="{00000000-0010-0000-0300-000001000000}" name="DATE" dataDxfId="58"/>
    <tableColumn id="2" xr3:uid="{00000000-0010-0000-0300-000002000000}" name="CASH IN" dataDxfId="57"/>
    <tableColumn id="3" xr3:uid="{00000000-0010-0000-0300-000003000000}" name="AMOUNT" dataDxfId="56"/>
    <tableColumn id="4" xr3:uid="{00000000-0010-0000-0300-000004000000}" name="SITE NAME" dataDxfId="55"/>
    <tableColumn id="5" xr3:uid="{00000000-0010-0000-0300-000005000000}" name="CATEGORY" dataDxfId="54"/>
    <tableColumn id="6" xr3:uid="{00000000-0010-0000-0300-000006000000}" name="PARTICULARS" dataDxfId="53"/>
    <tableColumn id="7" xr3:uid="{00000000-0010-0000-0300-000007000000}" name="AMOUNT2" dataDxfId="52">
      <calculatedColumnFormula>2*600</calculatedColumnFormula>
    </tableColumn>
    <tableColumn id="8" xr3:uid="{00000000-0010-0000-0300-000008000000}" name="CASH OUT" dataDxfId="51"/>
    <tableColumn id="9" xr3:uid="{00000000-0010-0000-0300-000009000000}" name="AMOUNT3" dataDxfId="50"/>
    <tableColumn id="10" xr3:uid="{00000000-0010-0000-0300-00000A000000}" name="BALANCE" dataDxfId="49">
      <calculatedColumnFormula>J4+Table23453591011[[#This Row],[AMOUNT]]-Table23453591011[[#This Row],[AMOUNT2]]-Table23453591011[[#This Row],[AMOUNT3]]</calculatedColumnFormula>
    </tableColumn>
    <tableColumn id="11" xr3:uid="{00000000-0010-0000-0300-00000B000000}" name="Column1" dataDxfId="4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e234535612" displayName="Table234535612" ref="A4:L697" totalsRowShown="0" headerRowDxfId="47" dataDxfId="45" headerRowBorderDxfId="46" tableBorderDxfId="44" totalsRowBorderDxfId="43">
  <autoFilter ref="A4:L697" xr:uid="{00000000-0009-0000-0100-00000B000000}"/>
  <tableColumns count="12">
    <tableColumn id="1" xr3:uid="{00000000-0010-0000-0400-000001000000}" name="DATE" dataDxfId="42"/>
    <tableColumn id="2" xr3:uid="{00000000-0010-0000-0400-000002000000}" name="CASH IN" dataDxfId="41"/>
    <tableColumn id="3" xr3:uid="{00000000-0010-0000-0400-000003000000}" name="AMOUNT" dataDxfId="40"/>
    <tableColumn id="4" xr3:uid="{00000000-0010-0000-0400-000004000000}" name="SITE NAME" dataDxfId="39"/>
    <tableColumn id="5" xr3:uid="{00000000-0010-0000-0400-000005000000}" name="CATEGORY" dataDxfId="38"/>
    <tableColumn id="6" xr3:uid="{00000000-0010-0000-0400-000006000000}" name="PARTICULARS" dataDxfId="37"/>
    <tableColumn id="7" xr3:uid="{00000000-0010-0000-0400-000007000000}" name="AMOUNT2" dataDxfId="36">
      <calculatedColumnFormula>2*600</calculatedColumnFormula>
    </tableColumn>
    <tableColumn id="12" xr3:uid="{00000000-0010-0000-0400-00000C000000}" name="Vou.no" dataDxfId="35"/>
    <tableColumn id="8" xr3:uid="{00000000-0010-0000-0400-000008000000}" name="CASH OUT" dataDxfId="34"/>
    <tableColumn id="9" xr3:uid="{00000000-0010-0000-0400-000009000000}" name="AMOUNT3" dataDxfId="33"/>
    <tableColumn id="10" xr3:uid="{00000000-0010-0000-0400-00000A000000}" name="BALANCE" dataDxfId="32">
      <calculatedColumnFormula>K4+Table234535612[[#This Row],[AMOUNT]]-Table234535612[[#This Row],[AMOUNT2]]-Table234535612[[#This Row],[AMOUNT3]]</calculatedColumnFormula>
    </tableColumn>
    <tableColumn id="11" xr3:uid="{00000000-0010-0000-0400-00000B000000}" name="Column1" dataDxfId="31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234535910" displayName="Table234535910" ref="A4:K487" totalsRowShown="0" headerRowDxfId="30" dataDxfId="28" headerRowBorderDxfId="29" tableBorderDxfId="27" totalsRowBorderDxfId="26">
  <autoFilter ref="A4:K487" xr:uid="{00000000-0009-0000-0100-000009000000}"/>
  <tableColumns count="11">
    <tableColumn id="1" xr3:uid="{00000000-0010-0000-0500-000001000000}" name="DATE" dataDxfId="25"/>
    <tableColumn id="2" xr3:uid="{00000000-0010-0000-0500-000002000000}" name="CASH IN" dataDxfId="24"/>
    <tableColumn id="3" xr3:uid="{00000000-0010-0000-0500-000003000000}" name="AMOUNT" dataDxfId="23"/>
    <tableColumn id="4" xr3:uid="{00000000-0010-0000-0500-000004000000}" name="SITE NAME" dataDxfId="22"/>
    <tableColumn id="5" xr3:uid="{00000000-0010-0000-0500-000005000000}" name="CATEGORY" dataDxfId="21"/>
    <tableColumn id="6" xr3:uid="{00000000-0010-0000-0500-000006000000}" name="PARTICULARS" dataDxfId="20"/>
    <tableColumn id="7" xr3:uid="{00000000-0010-0000-0500-000007000000}" name="AMOUNT2" dataDxfId="19">
      <calculatedColumnFormula>2*600</calculatedColumnFormula>
    </tableColumn>
    <tableColumn id="8" xr3:uid="{00000000-0010-0000-0500-000008000000}" name="CASH OUT" dataDxfId="18"/>
    <tableColumn id="9" xr3:uid="{00000000-0010-0000-0500-000009000000}" name="AMOUNT3" dataDxfId="17"/>
    <tableColumn id="10" xr3:uid="{00000000-0010-0000-0500-00000A000000}" name="BALANCE" dataDxfId="16">
      <calculatedColumnFormula>J4+Table234535910[[#This Row],[AMOUNT]]-Table234535910[[#This Row],[AMOUNT2]]-Table234535910[[#This Row],[AMOUNT3]]</calculatedColumnFormula>
    </tableColumn>
    <tableColumn id="11" xr3:uid="{00000000-0010-0000-0500-00000B000000}" name="Column1" dataDxfId="15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23453561213" displayName="Table23453561213" ref="A4:J802" totalsRowShown="0" headerRowDxfId="14" dataDxfId="12" headerRowBorderDxfId="13" tableBorderDxfId="11" totalsRowBorderDxfId="10">
  <autoFilter ref="A4:J802" xr:uid="{00000000-0009-0000-0100-00000C000000}"/>
  <tableColumns count="10">
    <tableColumn id="1" xr3:uid="{00000000-0010-0000-0600-000001000000}" name="DATE" dataDxfId="9"/>
    <tableColumn id="2" xr3:uid="{00000000-0010-0000-0600-000002000000}" name="CASH IN" dataDxfId="8"/>
    <tableColumn id="3" xr3:uid="{00000000-0010-0000-0600-000003000000}" name="AMOUNT" dataDxfId="7"/>
    <tableColumn id="4" xr3:uid="{00000000-0010-0000-0600-000004000000}" name="SITE NAME" dataDxfId="6"/>
    <tableColumn id="5" xr3:uid="{00000000-0010-0000-0600-000005000000}" name="CATEGORY" dataDxfId="5"/>
    <tableColumn id="6" xr3:uid="{00000000-0010-0000-0600-000006000000}" name="PARTICULARS" dataDxfId="4"/>
    <tableColumn id="7" xr3:uid="{00000000-0010-0000-0600-000007000000}" name="AMOUNT2" dataDxfId="3">
      <calculatedColumnFormula>2*600</calculatedColumnFormula>
    </tableColumn>
    <tableColumn id="8" xr3:uid="{00000000-0010-0000-0600-000008000000}" name="CASH OUT" dataDxfId="2"/>
    <tableColumn id="9" xr3:uid="{00000000-0010-0000-0600-000009000000}" name="AMOUNT3" dataDxfId="1"/>
    <tableColumn id="10" xr3:uid="{00000000-0010-0000-0600-00000A000000}" name="BALANCE" dataDxfId="0">
      <calculatedColumnFormula>J4+Table23453561213[[#This Row],[AMOUNT]]-Table23453561213[[#This Row],[AMOUNT2]]-Table23453561213[[#This Row],[AMOUNT3]]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8"/>
  <sheetViews>
    <sheetView topLeftCell="A29" zoomScale="70" zoomScaleNormal="70" workbookViewId="0">
      <selection activeCell="L255" sqref="L255"/>
    </sheetView>
  </sheetViews>
  <sheetFormatPr defaultRowHeight="15.5" x14ac:dyDescent="0.35"/>
  <cols>
    <col min="1" max="1" width="11.90625" style="14" bestFit="1" customWidth="1"/>
    <col min="2" max="2" width="11.90625" style="14" customWidth="1"/>
    <col min="3" max="3" width="21.6328125" style="15" customWidth="1"/>
    <col min="4" max="4" width="8.90625" style="15" customWidth="1"/>
    <col min="5" max="5" width="12.453125" style="14" customWidth="1"/>
    <col min="6" max="6" width="15" style="14" customWidth="1"/>
    <col min="7" max="7" width="38.54296875" style="14" customWidth="1"/>
    <col min="8" max="8" width="14.453125" style="14" customWidth="1"/>
    <col min="9" max="9" width="22.08984375" style="14" customWidth="1"/>
    <col min="10" max="10" width="11.36328125" style="14" customWidth="1"/>
    <col min="11" max="11" width="12.36328125" style="14" customWidth="1"/>
  </cols>
  <sheetData>
    <row r="1" spans="1:11" ht="14.5" x14ac:dyDescent="0.35">
      <c r="A1" s="139" t="s">
        <v>44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1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4"/>
    </row>
    <row r="3" spans="1:11" x14ac:dyDescent="0.35">
      <c r="A3" s="145" t="s">
        <v>3</v>
      </c>
      <c r="B3" s="146"/>
      <c r="C3" s="146"/>
      <c r="D3" s="147"/>
      <c r="E3" s="4">
        <v>-174186</v>
      </c>
      <c r="F3" s="4"/>
      <c r="G3" s="4"/>
      <c r="H3" s="145" t="s">
        <v>4</v>
      </c>
      <c r="I3" s="146"/>
      <c r="J3" s="147"/>
      <c r="K3" s="4"/>
    </row>
    <row r="4" spans="1:11" x14ac:dyDescent="0.35">
      <c r="A4" s="5" t="s">
        <v>5</v>
      </c>
      <c r="B4" s="5" t="s">
        <v>554</v>
      </c>
      <c r="C4" s="6" t="s">
        <v>6</v>
      </c>
      <c r="D4" s="6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spans="1:11" hidden="1" x14ac:dyDescent="0.35">
      <c r="A5" s="52"/>
      <c r="B5" s="52"/>
      <c r="C5" s="6"/>
      <c r="D5" s="53"/>
      <c r="E5" s="54"/>
      <c r="F5" s="54"/>
      <c r="G5" s="54"/>
      <c r="H5" s="54"/>
      <c r="I5" s="5"/>
      <c r="J5" s="54"/>
      <c r="K5" s="9">
        <v>-174186</v>
      </c>
    </row>
    <row r="6" spans="1:11" hidden="1" x14ac:dyDescent="0.35">
      <c r="A6" s="30">
        <v>46113</v>
      </c>
      <c r="B6" s="30"/>
      <c r="C6" s="7"/>
      <c r="D6" s="20"/>
      <c r="E6" s="25" t="s">
        <v>47</v>
      </c>
      <c r="F6" s="25" t="s">
        <v>1</v>
      </c>
      <c r="G6" s="19" t="s">
        <v>52</v>
      </c>
      <c r="H6" s="21">
        <v>2000</v>
      </c>
      <c r="I6" s="9" t="s">
        <v>46</v>
      </c>
      <c r="J6" s="42">
        <v>19260</v>
      </c>
      <c r="K6" s="9">
        <f>+K5+Table2345356[[#This Row],[AMOUNT]]-Table2345356[[#This Row],[AMOUNT2]]-Table2345356[[#This Row],[AMOUNT3]]</f>
        <v>-195446</v>
      </c>
    </row>
    <row r="7" spans="1:11" hidden="1" x14ac:dyDescent="0.35">
      <c r="A7" s="30">
        <v>46113</v>
      </c>
      <c r="B7" s="30"/>
      <c r="C7" s="25"/>
      <c r="D7" s="20"/>
      <c r="E7" s="25" t="s">
        <v>114</v>
      </c>
      <c r="F7" s="25" t="s">
        <v>20</v>
      </c>
      <c r="G7" s="19" t="s">
        <v>124</v>
      </c>
      <c r="H7" s="21">
        <v>200000</v>
      </c>
      <c r="I7" s="19"/>
      <c r="J7" s="20"/>
      <c r="K7" s="9">
        <f>+K6+Table2345356[[#This Row],[AMOUNT]]-Table2345356[[#This Row],[AMOUNT2]]-Table2345356[[#This Row],[AMOUNT3]]</f>
        <v>-395446</v>
      </c>
    </row>
    <row r="8" spans="1:11" hidden="1" x14ac:dyDescent="0.35">
      <c r="A8" s="30">
        <v>46113</v>
      </c>
      <c r="B8" s="30"/>
      <c r="C8" s="25"/>
      <c r="D8" s="20"/>
      <c r="E8" s="25" t="s">
        <v>47</v>
      </c>
      <c r="F8" s="25" t="s">
        <v>43</v>
      </c>
      <c r="G8" s="19" t="s">
        <v>236</v>
      </c>
      <c r="H8" s="21">
        <v>600</v>
      </c>
      <c r="I8" s="19"/>
      <c r="J8" s="20"/>
      <c r="K8" s="9">
        <f>+K7+Table2345356[[#This Row],[AMOUNT]]-Table2345356[[#This Row],[AMOUNT2]]-Table2345356[[#This Row],[AMOUNT3]]</f>
        <v>-396046</v>
      </c>
    </row>
    <row r="9" spans="1:11" hidden="1" x14ac:dyDescent="0.35">
      <c r="A9" s="30">
        <v>46114</v>
      </c>
      <c r="B9" s="30"/>
      <c r="C9" s="7" t="s">
        <v>97</v>
      </c>
      <c r="D9" s="20">
        <v>190000</v>
      </c>
      <c r="E9" s="25" t="s">
        <v>47</v>
      </c>
      <c r="F9" s="25" t="s">
        <v>312</v>
      </c>
      <c r="G9" s="19" t="s">
        <v>78</v>
      </c>
      <c r="H9" s="21">
        <v>10000</v>
      </c>
      <c r="I9" s="19" t="s">
        <v>98</v>
      </c>
      <c r="J9" s="42">
        <v>190000</v>
      </c>
      <c r="K9" s="9">
        <f>+K8+Table2345356[[#This Row],[AMOUNT]]-Table2345356[[#This Row],[AMOUNT2]]-Table2345356[[#This Row],[AMOUNT3]]</f>
        <v>-406046</v>
      </c>
    </row>
    <row r="10" spans="1:11" hidden="1" x14ac:dyDescent="0.35">
      <c r="A10" s="30">
        <v>46114</v>
      </c>
      <c r="B10" s="30"/>
      <c r="C10" s="7" t="s">
        <v>449</v>
      </c>
      <c r="D10" s="20">
        <v>50000</v>
      </c>
      <c r="E10" s="25" t="s">
        <v>49</v>
      </c>
      <c r="F10" s="25" t="s">
        <v>49</v>
      </c>
      <c r="G10" s="19" t="s">
        <v>73</v>
      </c>
      <c r="H10" s="21">
        <v>5000</v>
      </c>
      <c r="I10" s="9" t="s">
        <v>46</v>
      </c>
      <c r="J10" s="42">
        <v>31263</v>
      </c>
      <c r="K10" s="9">
        <f>+K9+Table2345356[[#This Row],[AMOUNT]]-Table2345356[[#This Row],[AMOUNT2]]-Table2345356[[#This Row],[AMOUNT3]]</f>
        <v>-392309</v>
      </c>
    </row>
    <row r="11" spans="1:11" hidden="1" x14ac:dyDescent="0.35">
      <c r="A11" s="30">
        <v>46114</v>
      </c>
      <c r="B11" s="30"/>
      <c r="C11" s="25" t="s">
        <v>50</v>
      </c>
      <c r="D11" s="45">
        <v>30000</v>
      </c>
      <c r="E11" s="25" t="s">
        <v>49</v>
      </c>
      <c r="F11" s="25" t="s">
        <v>49</v>
      </c>
      <c r="G11" s="19" t="s">
        <v>62</v>
      </c>
      <c r="H11" s="21">
        <v>5000</v>
      </c>
      <c r="I11" s="9" t="s">
        <v>51</v>
      </c>
      <c r="J11" s="42">
        <v>30000</v>
      </c>
      <c r="K11" s="9">
        <f>+K10+Table2345356[[#This Row],[AMOUNT]]-Table2345356[[#This Row],[AMOUNT2]]-Table2345356[[#This Row],[AMOUNT3]]</f>
        <v>-397309</v>
      </c>
    </row>
    <row r="12" spans="1:11" hidden="1" x14ac:dyDescent="0.35">
      <c r="A12" s="30">
        <v>46114</v>
      </c>
      <c r="B12" s="30"/>
      <c r="C12" s="25"/>
      <c r="D12" s="20"/>
      <c r="E12" s="25" t="s">
        <v>49</v>
      </c>
      <c r="F12" s="25" t="s">
        <v>49</v>
      </c>
      <c r="G12" s="19" t="s">
        <v>237</v>
      </c>
      <c r="H12" s="21">
        <v>3550</v>
      </c>
      <c r="I12" s="19"/>
      <c r="J12" s="20"/>
      <c r="K12" s="9">
        <f>+K11+Table2345356[[#This Row],[AMOUNT]]-Table2345356[[#This Row],[AMOUNT2]]-Table2345356[[#This Row],[AMOUNT3]]</f>
        <v>-400859</v>
      </c>
    </row>
    <row r="13" spans="1:11" hidden="1" x14ac:dyDescent="0.35">
      <c r="A13" s="30">
        <v>46115</v>
      </c>
      <c r="B13" s="30"/>
      <c r="C13" s="7" t="s">
        <v>449</v>
      </c>
      <c r="D13" s="20">
        <v>50000</v>
      </c>
      <c r="E13" s="25" t="s">
        <v>49</v>
      </c>
      <c r="F13" s="25" t="s">
        <v>49</v>
      </c>
      <c r="G13" s="19" t="s">
        <v>62</v>
      </c>
      <c r="H13" s="21">
        <v>10000</v>
      </c>
      <c r="I13" s="9" t="s">
        <v>46</v>
      </c>
      <c r="J13" s="42">
        <v>7000</v>
      </c>
      <c r="K13" s="9">
        <f>+K12+Table2345356[[#This Row],[AMOUNT]]-Table2345356[[#This Row],[AMOUNT2]]-Table2345356[[#This Row],[AMOUNT3]]</f>
        <v>-367859</v>
      </c>
    </row>
    <row r="14" spans="1:11" hidden="1" x14ac:dyDescent="0.35">
      <c r="A14" s="30">
        <v>46115</v>
      </c>
      <c r="B14" s="30"/>
      <c r="C14" s="25"/>
      <c r="D14" s="20"/>
      <c r="E14" s="25" t="s">
        <v>47</v>
      </c>
      <c r="F14" s="25" t="s">
        <v>312</v>
      </c>
      <c r="G14" s="19" t="s">
        <v>78</v>
      </c>
      <c r="H14" s="21">
        <v>50000</v>
      </c>
      <c r="I14" s="19"/>
      <c r="J14" s="20"/>
      <c r="K14" s="9">
        <f>+K13+Table2345356[[#This Row],[AMOUNT]]-Table2345356[[#This Row],[AMOUNT2]]-Table2345356[[#This Row],[AMOUNT3]]</f>
        <v>-417859</v>
      </c>
    </row>
    <row r="15" spans="1:11" hidden="1" x14ac:dyDescent="0.35">
      <c r="A15" s="30">
        <v>46116</v>
      </c>
      <c r="B15" s="30"/>
      <c r="C15" s="7" t="s">
        <v>449</v>
      </c>
      <c r="D15" s="20">
        <v>30000</v>
      </c>
      <c r="E15" s="25" t="s">
        <v>47</v>
      </c>
      <c r="F15" s="25" t="s">
        <v>43</v>
      </c>
      <c r="G15" s="19" t="s">
        <v>238</v>
      </c>
      <c r="H15" s="21">
        <v>600</v>
      </c>
      <c r="I15" s="9" t="s">
        <v>46</v>
      </c>
      <c r="J15" s="42">
        <v>5170</v>
      </c>
      <c r="K15" s="9">
        <f>+K14+Table2345356[[#This Row],[AMOUNT]]-Table2345356[[#This Row],[AMOUNT2]]-Table2345356[[#This Row],[AMOUNT3]]</f>
        <v>-393629</v>
      </c>
    </row>
    <row r="16" spans="1:11" x14ac:dyDescent="0.35">
      <c r="A16" s="30">
        <v>46116</v>
      </c>
      <c r="B16" s="30"/>
      <c r="C16" s="25" t="s">
        <v>50</v>
      </c>
      <c r="D16" s="45">
        <v>20000</v>
      </c>
      <c r="E16" s="25" t="s">
        <v>61</v>
      </c>
      <c r="F16" s="25" t="s">
        <v>85</v>
      </c>
      <c r="G16" s="19" t="s">
        <v>239</v>
      </c>
      <c r="H16" s="21">
        <v>1250</v>
      </c>
      <c r="I16" s="9" t="s">
        <v>51</v>
      </c>
      <c r="J16" s="42">
        <v>20000</v>
      </c>
      <c r="K16" s="9">
        <f>+K15+Table2345356[[#This Row],[AMOUNT]]-Table2345356[[#This Row],[AMOUNT2]]-Table2345356[[#This Row],[AMOUNT3]]</f>
        <v>-394879</v>
      </c>
    </row>
    <row r="17" spans="1:12" hidden="1" x14ac:dyDescent="0.35">
      <c r="A17" s="30">
        <v>46117</v>
      </c>
      <c r="B17" s="30"/>
      <c r="C17" s="7" t="s">
        <v>449</v>
      </c>
      <c r="D17" s="20">
        <v>70000</v>
      </c>
      <c r="E17" s="25" t="s">
        <v>47</v>
      </c>
      <c r="F17" s="25" t="s">
        <v>312</v>
      </c>
      <c r="G17" s="19" t="s">
        <v>78</v>
      </c>
      <c r="H17" s="21">
        <v>20000</v>
      </c>
      <c r="I17" s="9" t="s">
        <v>46</v>
      </c>
      <c r="J17" s="42">
        <v>49490</v>
      </c>
      <c r="K17" s="9">
        <f>+K16+Table2345356[[#This Row],[AMOUNT]]-Table2345356[[#This Row],[AMOUNT2]]-Table2345356[[#This Row],[AMOUNT3]]</f>
        <v>-394369</v>
      </c>
    </row>
    <row r="18" spans="1:12" hidden="1" x14ac:dyDescent="0.35">
      <c r="A18" s="30">
        <v>46118</v>
      </c>
      <c r="B18" s="30"/>
      <c r="C18" s="7"/>
      <c r="D18" s="20"/>
      <c r="E18" s="25" t="s">
        <v>47</v>
      </c>
      <c r="F18" s="25" t="s">
        <v>43</v>
      </c>
      <c r="G18" s="19" t="s">
        <v>125</v>
      </c>
      <c r="H18" s="21">
        <v>5000</v>
      </c>
      <c r="I18" s="9" t="s">
        <v>46</v>
      </c>
      <c r="J18" s="42">
        <v>23900</v>
      </c>
      <c r="K18" s="9">
        <f>+K17+Table2345356[[#This Row],[AMOUNT]]-Table2345356[[#This Row],[AMOUNT2]]-Table2345356[[#This Row],[AMOUNT3]]</f>
        <v>-423269</v>
      </c>
    </row>
    <row r="19" spans="1:12" hidden="1" x14ac:dyDescent="0.35">
      <c r="A19" s="30">
        <v>46118</v>
      </c>
      <c r="B19" s="30"/>
      <c r="C19" s="25" t="s">
        <v>50</v>
      </c>
      <c r="D19" s="45">
        <v>17000</v>
      </c>
      <c r="E19" s="25"/>
      <c r="F19" s="25"/>
      <c r="G19" s="19"/>
      <c r="H19" s="21"/>
      <c r="I19" s="9" t="s">
        <v>51</v>
      </c>
      <c r="J19" s="42">
        <v>17000</v>
      </c>
      <c r="K19" s="9">
        <f>+K18+Table2345356[[#This Row],[AMOUNT]]-Table2345356[[#This Row],[AMOUNT2]]-Table2345356[[#This Row],[AMOUNT3]]</f>
        <v>-423269</v>
      </c>
    </row>
    <row r="20" spans="1:12" hidden="1" x14ac:dyDescent="0.35">
      <c r="A20" s="30">
        <v>46119</v>
      </c>
      <c r="B20" s="30"/>
      <c r="C20" s="7"/>
      <c r="D20" s="20"/>
      <c r="E20" s="25" t="s">
        <v>114</v>
      </c>
      <c r="F20" s="25" t="s">
        <v>59</v>
      </c>
      <c r="G20" s="19" t="s">
        <v>60</v>
      </c>
      <c r="H20" s="21">
        <v>6000</v>
      </c>
      <c r="I20" s="9" t="s">
        <v>46</v>
      </c>
      <c r="J20" s="42">
        <v>700</v>
      </c>
      <c r="K20" s="9">
        <f>+K19+Table2345356[[#This Row],[AMOUNT]]-Table2345356[[#This Row],[AMOUNT2]]-Table2345356[[#This Row],[AMOUNT3]]</f>
        <v>-429969</v>
      </c>
    </row>
    <row r="21" spans="1:12" hidden="1" x14ac:dyDescent="0.35">
      <c r="A21" s="30">
        <v>46120</v>
      </c>
      <c r="B21" s="30"/>
      <c r="C21" s="7" t="s">
        <v>449</v>
      </c>
      <c r="D21" s="20">
        <v>100000</v>
      </c>
      <c r="E21" s="25" t="s">
        <v>47</v>
      </c>
      <c r="F21" s="25" t="s">
        <v>312</v>
      </c>
      <c r="G21" s="19" t="s">
        <v>328</v>
      </c>
      <c r="H21" s="21">
        <v>80000</v>
      </c>
      <c r="I21" s="9" t="s">
        <v>46</v>
      </c>
      <c r="J21" s="42">
        <v>6000</v>
      </c>
      <c r="K21" s="9">
        <f>+K20+Table2345356[[#This Row],[AMOUNT]]-Table2345356[[#This Row],[AMOUNT2]]-Table2345356[[#This Row],[AMOUNT3]]</f>
        <v>-415969</v>
      </c>
    </row>
    <row r="22" spans="1:12" hidden="1" x14ac:dyDescent="0.35">
      <c r="A22" s="30">
        <v>46120</v>
      </c>
      <c r="B22" s="30"/>
      <c r="C22" s="25"/>
      <c r="D22" s="20"/>
      <c r="E22" s="25" t="s">
        <v>47</v>
      </c>
      <c r="F22" s="25" t="s">
        <v>43</v>
      </c>
      <c r="G22" s="19" t="s">
        <v>329</v>
      </c>
      <c r="H22" s="21">
        <v>2235</v>
      </c>
      <c r="I22" s="19"/>
      <c r="J22" s="20"/>
      <c r="K22" s="9">
        <f>+K21+Table2345356[[#This Row],[AMOUNT]]-Table2345356[[#This Row],[AMOUNT2]]-Table2345356[[#This Row],[AMOUNT3]]</f>
        <v>-418204</v>
      </c>
    </row>
    <row r="23" spans="1:12" hidden="1" x14ac:dyDescent="0.35">
      <c r="A23" s="30">
        <v>46120</v>
      </c>
      <c r="B23" s="30"/>
      <c r="C23" s="25"/>
      <c r="D23" s="20"/>
      <c r="E23" s="25" t="s">
        <v>102</v>
      </c>
      <c r="F23" s="25" t="s">
        <v>367</v>
      </c>
      <c r="G23" s="19" t="s">
        <v>412</v>
      </c>
      <c r="H23" s="21">
        <v>1000</v>
      </c>
      <c r="I23" s="19"/>
      <c r="J23" s="20"/>
      <c r="K23" s="9">
        <f>+K22+Table2345356[[#This Row],[AMOUNT]]-Table2345356[[#This Row],[AMOUNT2]]-Table2345356[[#This Row],[AMOUNT3]]</f>
        <v>-419204</v>
      </c>
    </row>
    <row r="24" spans="1:12" hidden="1" x14ac:dyDescent="0.35">
      <c r="A24" s="30">
        <v>46121</v>
      </c>
      <c r="B24" s="30"/>
      <c r="C24" s="7" t="s">
        <v>449</v>
      </c>
      <c r="D24" s="20">
        <v>50000</v>
      </c>
      <c r="E24" s="25" t="s">
        <v>39</v>
      </c>
      <c r="F24" s="25" t="s">
        <v>330</v>
      </c>
      <c r="G24" s="19" t="s">
        <v>331</v>
      </c>
      <c r="H24" s="69">
        <v>500</v>
      </c>
      <c r="I24" s="9" t="s">
        <v>46</v>
      </c>
      <c r="J24" s="42">
        <v>8000</v>
      </c>
      <c r="K24" s="9">
        <f>+K23+Table2345356[[#This Row],[AMOUNT]]-Table2345356[[#This Row],[AMOUNT2]]-Table2345356[[#This Row],[AMOUNT3]]</f>
        <v>-377704</v>
      </c>
    </row>
    <row r="25" spans="1:12" hidden="1" x14ac:dyDescent="0.35">
      <c r="A25" s="30">
        <v>46121</v>
      </c>
      <c r="B25" s="30"/>
      <c r="C25" s="25"/>
      <c r="D25" s="20"/>
      <c r="E25" s="25" t="s">
        <v>47</v>
      </c>
      <c r="F25" s="25" t="s">
        <v>43</v>
      </c>
      <c r="G25" s="19" t="s">
        <v>332</v>
      </c>
      <c r="H25" s="21">
        <v>13900</v>
      </c>
      <c r="I25" s="19"/>
      <c r="J25" s="20"/>
      <c r="K25" s="9">
        <f>+K24+Table2345356[[#This Row],[AMOUNT]]-Table2345356[[#This Row],[AMOUNT2]]-Table2345356[[#This Row],[AMOUNT3]]</f>
        <v>-391604</v>
      </c>
    </row>
    <row r="26" spans="1:12" hidden="1" x14ac:dyDescent="0.35">
      <c r="A26" s="30">
        <v>46121</v>
      </c>
      <c r="B26" s="30"/>
      <c r="C26" s="25"/>
      <c r="D26" s="20"/>
      <c r="E26" s="25" t="s">
        <v>47</v>
      </c>
      <c r="F26" s="25" t="s">
        <v>59</v>
      </c>
      <c r="G26" s="19" t="s">
        <v>333</v>
      </c>
      <c r="H26" s="21">
        <v>1300</v>
      </c>
      <c r="I26" s="19"/>
      <c r="J26" s="20"/>
      <c r="K26" s="9">
        <f>+K25+Table2345356[[#This Row],[AMOUNT]]-Table2345356[[#This Row],[AMOUNT2]]-Table2345356[[#This Row],[AMOUNT3]]</f>
        <v>-392904</v>
      </c>
    </row>
    <row r="27" spans="1:12" hidden="1" x14ac:dyDescent="0.35">
      <c r="A27" s="30">
        <v>46121</v>
      </c>
      <c r="B27" s="30"/>
      <c r="C27" s="25"/>
      <c r="D27" s="20"/>
      <c r="E27" s="25" t="s">
        <v>39</v>
      </c>
      <c r="F27" s="25" t="s">
        <v>29</v>
      </c>
      <c r="G27" s="19" t="s">
        <v>334</v>
      </c>
      <c r="H27" s="69">
        <v>68</v>
      </c>
      <c r="I27" s="19"/>
      <c r="J27" s="20"/>
      <c r="K27" s="9">
        <f>+K26+Table2345356[[#This Row],[AMOUNT]]-Table2345356[[#This Row],[AMOUNT2]]-Table2345356[[#This Row],[AMOUNT3]]</f>
        <v>-392972</v>
      </c>
    </row>
    <row r="28" spans="1:12" hidden="1" x14ac:dyDescent="0.35">
      <c r="A28" s="30">
        <v>46122</v>
      </c>
      <c r="B28" s="30"/>
      <c r="C28" s="7" t="s">
        <v>97</v>
      </c>
      <c r="D28" s="20">
        <v>500000</v>
      </c>
      <c r="E28" s="25" t="s">
        <v>153</v>
      </c>
      <c r="F28" s="25" t="s">
        <v>1</v>
      </c>
      <c r="G28" s="19" t="s">
        <v>335</v>
      </c>
      <c r="H28" s="21">
        <v>2000</v>
      </c>
      <c r="I28" s="19" t="s">
        <v>98</v>
      </c>
      <c r="J28" s="42">
        <v>250000</v>
      </c>
      <c r="K28" s="9">
        <f>+K27+Table2345356[[#This Row],[AMOUNT]]-Table2345356[[#This Row],[AMOUNT2]]-Table2345356[[#This Row],[AMOUNT3]]</f>
        <v>-144972</v>
      </c>
    </row>
    <row r="29" spans="1:12" x14ac:dyDescent="0.35">
      <c r="A29" s="30">
        <v>46122</v>
      </c>
      <c r="B29" s="30"/>
      <c r="C29" s="7" t="s">
        <v>97</v>
      </c>
      <c r="D29" s="78">
        <v>2000000</v>
      </c>
      <c r="E29" s="25" t="s">
        <v>61</v>
      </c>
      <c r="F29" s="25" t="s">
        <v>85</v>
      </c>
      <c r="G29" s="19" t="s">
        <v>336</v>
      </c>
      <c r="H29" s="21">
        <v>6500</v>
      </c>
      <c r="I29" s="9" t="s">
        <v>46</v>
      </c>
      <c r="J29" s="42">
        <v>4130</v>
      </c>
      <c r="K29" s="9">
        <f>+K28+Table2345356[[#This Row],[AMOUNT]]-Table2345356[[#This Row],[AMOUNT2]]-Table2345356[[#This Row],[AMOUNT3]]</f>
        <v>1844398</v>
      </c>
      <c r="L29" t="s">
        <v>626</v>
      </c>
    </row>
    <row r="30" spans="1:12" hidden="1" x14ac:dyDescent="0.35">
      <c r="A30" s="30">
        <v>46122</v>
      </c>
      <c r="B30" s="30"/>
      <c r="C30" s="7"/>
      <c r="D30" s="20"/>
      <c r="E30" s="25" t="s">
        <v>39</v>
      </c>
      <c r="F30" s="25" t="s">
        <v>20</v>
      </c>
      <c r="G30" s="19" t="s">
        <v>337</v>
      </c>
      <c r="H30" s="21">
        <v>2000000</v>
      </c>
      <c r="I30" s="19" t="s">
        <v>338</v>
      </c>
      <c r="J30" s="20">
        <v>2412</v>
      </c>
      <c r="K30" s="9">
        <f>+K29+Table2345356[[#This Row],[AMOUNT]]-Table2345356[[#This Row],[AMOUNT2]]-Table2345356[[#This Row],[AMOUNT3]]</f>
        <v>-158014</v>
      </c>
    </row>
    <row r="31" spans="1:12" hidden="1" x14ac:dyDescent="0.35">
      <c r="A31" s="30">
        <v>46122</v>
      </c>
      <c r="B31" s="30"/>
      <c r="C31" s="25"/>
      <c r="D31" s="20"/>
      <c r="E31" s="25"/>
      <c r="F31" s="25"/>
      <c r="G31" s="19"/>
      <c r="H31" s="21"/>
      <c r="I31" s="19" t="s">
        <v>438</v>
      </c>
      <c r="J31" s="20">
        <v>10000</v>
      </c>
      <c r="K31" s="9">
        <f>+K30+Table2345356[[#This Row],[AMOUNT]]-Table2345356[[#This Row],[AMOUNT2]]-Table2345356[[#This Row],[AMOUNT3]]</f>
        <v>-168014</v>
      </c>
    </row>
    <row r="32" spans="1:12" hidden="1" x14ac:dyDescent="0.35">
      <c r="A32" s="30">
        <v>46122</v>
      </c>
      <c r="B32" s="30"/>
      <c r="C32" s="25"/>
      <c r="D32" s="20"/>
      <c r="E32" s="25" t="s">
        <v>39</v>
      </c>
      <c r="F32" s="25" t="s">
        <v>20</v>
      </c>
      <c r="G32" s="19" t="s">
        <v>339</v>
      </c>
      <c r="H32" s="21">
        <v>1512</v>
      </c>
      <c r="I32" s="19"/>
      <c r="J32" s="20"/>
      <c r="K32" s="9">
        <f>+K31+Table2345356[[#This Row],[AMOUNT]]-Table2345356[[#This Row],[AMOUNT2]]-Table2345356[[#This Row],[AMOUNT3]]</f>
        <v>-169526</v>
      </c>
    </row>
    <row r="33" spans="1:13" hidden="1" x14ac:dyDescent="0.35">
      <c r="A33" s="30">
        <v>46122</v>
      </c>
      <c r="B33" s="30"/>
      <c r="C33" s="25"/>
      <c r="D33" s="20"/>
      <c r="E33" s="25" t="s">
        <v>39</v>
      </c>
      <c r="F33" s="25" t="s">
        <v>20</v>
      </c>
      <c r="G33" s="19" t="s">
        <v>340</v>
      </c>
      <c r="H33" s="21">
        <v>4000</v>
      </c>
      <c r="I33" s="19"/>
      <c r="J33" s="20"/>
      <c r="K33" s="9">
        <f>+K32+Table2345356[[#This Row],[AMOUNT]]-Table2345356[[#This Row],[AMOUNT2]]-Table2345356[[#This Row],[AMOUNT3]]</f>
        <v>-173526</v>
      </c>
    </row>
    <row r="34" spans="1:13" hidden="1" x14ac:dyDescent="0.35">
      <c r="A34" s="30">
        <v>46123</v>
      </c>
      <c r="B34" s="30"/>
      <c r="C34" s="7" t="s">
        <v>449</v>
      </c>
      <c r="D34" s="20">
        <v>80000</v>
      </c>
      <c r="E34" s="25" t="s">
        <v>47</v>
      </c>
      <c r="F34" s="25" t="s">
        <v>43</v>
      </c>
      <c r="G34" s="19" t="s">
        <v>341</v>
      </c>
      <c r="H34" s="21">
        <v>62900</v>
      </c>
      <c r="I34" s="9" t="s">
        <v>46</v>
      </c>
      <c r="J34" s="42">
        <v>45700</v>
      </c>
      <c r="K34" s="9">
        <f>+K33+Table2345356[[#This Row],[AMOUNT]]-Table2345356[[#This Row],[AMOUNT2]]-Table2345356[[#This Row],[AMOUNT3]]</f>
        <v>-202126</v>
      </c>
    </row>
    <row r="35" spans="1:13" hidden="1" x14ac:dyDescent="0.35">
      <c r="A35" s="30">
        <v>46123</v>
      </c>
      <c r="B35" s="30"/>
      <c r="C35" s="25" t="s">
        <v>50</v>
      </c>
      <c r="D35" s="45">
        <v>50000</v>
      </c>
      <c r="E35" s="25" t="s">
        <v>47</v>
      </c>
      <c r="F35" s="25" t="s">
        <v>43</v>
      </c>
      <c r="G35" s="19" t="s">
        <v>342</v>
      </c>
      <c r="H35" s="21">
        <v>1600</v>
      </c>
      <c r="I35" s="19" t="s">
        <v>51</v>
      </c>
      <c r="J35" s="42">
        <v>50000</v>
      </c>
      <c r="K35" s="9">
        <f>+K34+Table2345356[[#This Row],[AMOUNT]]-Table2345356[[#This Row],[AMOUNT2]]-Table2345356[[#This Row],[AMOUNT3]]</f>
        <v>-203726</v>
      </c>
    </row>
    <row r="36" spans="1:13" hidden="1" x14ac:dyDescent="0.35">
      <c r="A36" s="30">
        <v>46124</v>
      </c>
      <c r="B36" s="30"/>
      <c r="C36" s="7"/>
      <c r="D36" s="20"/>
      <c r="E36" s="25" t="s">
        <v>343</v>
      </c>
      <c r="F36" s="25" t="s">
        <v>49</v>
      </c>
      <c r="G36" s="19" t="s">
        <v>344</v>
      </c>
      <c r="H36" s="21">
        <v>12023</v>
      </c>
      <c r="I36" s="9" t="s">
        <v>46</v>
      </c>
      <c r="J36" s="42">
        <v>20900</v>
      </c>
      <c r="K36" s="9">
        <f>+K35+Table2345356[[#This Row],[AMOUNT]]-Table2345356[[#This Row],[AMOUNT2]]-Table2345356[[#This Row],[AMOUNT3]]</f>
        <v>-236649</v>
      </c>
    </row>
    <row r="37" spans="1:13" hidden="1" x14ac:dyDescent="0.35">
      <c r="A37" s="30">
        <v>46124</v>
      </c>
      <c r="B37" s="30"/>
      <c r="C37" s="25"/>
      <c r="D37" s="20"/>
      <c r="E37" s="25" t="s">
        <v>47</v>
      </c>
      <c r="F37" s="25" t="s">
        <v>1</v>
      </c>
      <c r="G37" s="19" t="s">
        <v>52</v>
      </c>
      <c r="H37" s="21">
        <v>3000</v>
      </c>
      <c r="I37" s="19"/>
      <c r="J37" s="20"/>
      <c r="K37" s="9">
        <f>+K36+Table2345356[[#This Row],[AMOUNT]]-Table2345356[[#This Row],[AMOUNT2]]-Table2345356[[#This Row],[AMOUNT3]]</f>
        <v>-239649</v>
      </c>
    </row>
    <row r="38" spans="1:13" hidden="1" x14ac:dyDescent="0.35">
      <c r="A38" s="30">
        <v>46124</v>
      </c>
      <c r="B38" s="30"/>
      <c r="C38" s="25"/>
      <c r="D38" s="20"/>
      <c r="E38" s="25" t="s">
        <v>47</v>
      </c>
      <c r="F38" s="25" t="s">
        <v>40</v>
      </c>
      <c r="G38" s="19" t="s">
        <v>345</v>
      </c>
      <c r="H38" s="21">
        <v>5600</v>
      </c>
      <c r="I38" s="19"/>
      <c r="J38" s="20"/>
      <c r="K38" s="9">
        <f>+K37+Table2345356[[#This Row],[AMOUNT]]-Table2345356[[#This Row],[AMOUNT2]]-Table2345356[[#This Row],[AMOUNT3]]</f>
        <v>-245249</v>
      </c>
      <c r="M38">
        <v>273286</v>
      </c>
    </row>
    <row r="39" spans="1:13" hidden="1" x14ac:dyDescent="0.35">
      <c r="A39" s="30">
        <v>46125</v>
      </c>
      <c r="B39" s="30"/>
      <c r="C39" s="7" t="s">
        <v>449</v>
      </c>
      <c r="D39" s="20">
        <v>100000</v>
      </c>
      <c r="E39" s="25" t="s">
        <v>114</v>
      </c>
      <c r="F39" s="25" t="s">
        <v>20</v>
      </c>
      <c r="G39" s="19" t="s">
        <v>346</v>
      </c>
      <c r="H39" s="21">
        <v>60913</v>
      </c>
      <c r="I39" s="9" t="s">
        <v>46</v>
      </c>
      <c r="J39" s="42">
        <v>18300</v>
      </c>
      <c r="K39" s="9">
        <f>+K38+Table2345356[[#This Row],[AMOUNT]]-Table2345356[[#This Row],[AMOUNT2]]-Table2345356[[#This Row],[AMOUNT3]]</f>
        <v>-224462</v>
      </c>
      <c r="M39">
        <v>281286</v>
      </c>
    </row>
    <row r="40" spans="1:13" hidden="1" x14ac:dyDescent="0.35">
      <c r="A40" s="30">
        <v>46125</v>
      </c>
      <c r="B40" s="30"/>
      <c r="C40" s="25"/>
      <c r="D40" s="20"/>
      <c r="E40" s="25" t="s">
        <v>47</v>
      </c>
      <c r="F40" s="25" t="s">
        <v>43</v>
      </c>
      <c r="G40" s="19" t="s">
        <v>329</v>
      </c>
      <c r="H40" s="21">
        <v>659</v>
      </c>
      <c r="I40" s="19"/>
      <c r="J40" s="20"/>
      <c r="K40" s="9">
        <f>+K39+Table2345356[[#This Row],[AMOUNT]]-Table2345356[[#This Row],[AMOUNT2]]-Table2345356[[#This Row],[AMOUNT3]]</f>
        <v>-225121</v>
      </c>
      <c r="M40">
        <f>+M38-M39</f>
        <v>-8000</v>
      </c>
    </row>
    <row r="41" spans="1:13" hidden="1" x14ac:dyDescent="0.35">
      <c r="A41" s="30">
        <v>46125</v>
      </c>
      <c r="B41" s="30"/>
      <c r="C41" s="25"/>
      <c r="D41" s="20"/>
      <c r="E41" s="25" t="s">
        <v>47</v>
      </c>
      <c r="F41" s="25" t="s">
        <v>43</v>
      </c>
      <c r="G41" s="19" t="s">
        <v>347</v>
      </c>
      <c r="H41" s="21">
        <v>2500</v>
      </c>
      <c r="I41" s="19"/>
      <c r="J41" s="20"/>
      <c r="K41" s="9">
        <f>+K40+Table2345356[[#This Row],[AMOUNT]]-Table2345356[[#This Row],[AMOUNT2]]-Table2345356[[#This Row],[AMOUNT3]]</f>
        <v>-227621</v>
      </c>
    </row>
    <row r="42" spans="1:13" hidden="1" x14ac:dyDescent="0.35">
      <c r="A42" s="30">
        <v>46125</v>
      </c>
      <c r="B42" s="30"/>
      <c r="C42" s="25"/>
      <c r="D42" s="20"/>
      <c r="E42" s="25" t="s">
        <v>47</v>
      </c>
      <c r="F42" s="25" t="s">
        <v>43</v>
      </c>
      <c r="G42" s="19" t="s">
        <v>348</v>
      </c>
      <c r="H42" s="21">
        <v>9500</v>
      </c>
      <c r="I42" s="19"/>
      <c r="J42" s="20"/>
      <c r="K42" s="9">
        <f>+K41+Table2345356[[#This Row],[AMOUNT]]-Table2345356[[#This Row],[AMOUNT2]]-Table2345356[[#This Row],[AMOUNT3]]</f>
        <v>-237121</v>
      </c>
    </row>
    <row r="43" spans="1:13" hidden="1" x14ac:dyDescent="0.35">
      <c r="A43" s="30">
        <v>46126</v>
      </c>
      <c r="B43" s="30"/>
      <c r="C43" s="7"/>
      <c r="D43" s="20"/>
      <c r="E43" s="25"/>
      <c r="F43" s="25"/>
      <c r="G43" s="19"/>
      <c r="H43" s="21"/>
      <c r="I43" s="9" t="s">
        <v>46</v>
      </c>
      <c r="J43" s="42">
        <f>27600+2500</f>
        <v>30100</v>
      </c>
      <c r="K43" s="9">
        <f>+K42+Table2345356[[#This Row],[AMOUNT]]-Table2345356[[#This Row],[AMOUNT2]]-Table2345356[[#This Row],[AMOUNT3]]</f>
        <v>-267221</v>
      </c>
    </row>
    <row r="44" spans="1:13" hidden="1" x14ac:dyDescent="0.35">
      <c r="A44" s="30">
        <v>46127</v>
      </c>
      <c r="B44" s="30"/>
      <c r="C44" s="7" t="s">
        <v>449</v>
      </c>
      <c r="D44" s="20">
        <v>100000</v>
      </c>
      <c r="E44" s="25" t="s">
        <v>39</v>
      </c>
      <c r="F44" s="25" t="s">
        <v>330</v>
      </c>
      <c r="G44" s="19" t="s">
        <v>349</v>
      </c>
      <c r="H44" s="69">
        <v>7200</v>
      </c>
      <c r="I44" s="9" t="s">
        <v>46</v>
      </c>
      <c r="J44" s="42">
        <v>45000</v>
      </c>
      <c r="K44" s="9">
        <f>+K43+Table2345356[[#This Row],[AMOUNT]]-Table2345356[[#This Row],[AMOUNT2]]-Table2345356[[#This Row],[AMOUNT3]]</f>
        <v>-219421</v>
      </c>
    </row>
    <row r="45" spans="1:13" hidden="1" x14ac:dyDescent="0.35">
      <c r="A45" s="30">
        <v>46127</v>
      </c>
      <c r="B45" s="30"/>
      <c r="C45" s="7" t="s">
        <v>50</v>
      </c>
      <c r="D45" s="45">
        <v>10000</v>
      </c>
      <c r="E45" s="25"/>
      <c r="F45" s="25"/>
      <c r="G45" s="19"/>
      <c r="H45" s="21"/>
      <c r="I45" s="19" t="s">
        <v>51</v>
      </c>
      <c r="J45" s="42">
        <v>10000</v>
      </c>
      <c r="K45" s="9">
        <f>+K44+Table2345356[[#This Row],[AMOUNT]]-Table2345356[[#This Row],[AMOUNT2]]-Table2345356[[#This Row],[AMOUNT3]]</f>
        <v>-219421</v>
      </c>
    </row>
    <row r="46" spans="1:13" x14ac:dyDescent="0.35">
      <c r="A46" s="30">
        <v>46128</v>
      </c>
      <c r="B46" s="30"/>
      <c r="C46" s="7" t="s">
        <v>449</v>
      </c>
      <c r="D46" s="20">
        <v>80000</v>
      </c>
      <c r="E46" s="25" t="s">
        <v>61</v>
      </c>
      <c r="F46" s="25" t="s">
        <v>85</v>
      </c>
      <c r="G46" s="19" t="s">
        <v>350</v>
      </c>
      <c r="H46" s="21">
        <v>500</v>
      </c>
      <c r="I46" s="9" t="s">
        <v>46</v>
      </c>
      <c r="J46" s="42">
        <v>31805</v>
      </c>
      <c r="K46" s="9">
        <f>+K45+Table2345356[[#This Row],[AMOUNT]]-Table2345356[[#This Row],[AMOUNT2]]-Table2345356[[#This Row],[AMOUNT3]]</f>
        <v>-171726</v>
      </c>
    </row>
    <row r="47" spans="1:13" x14ac:dyDescent="0.35">
      <c r="A47" s="30">
        <v>46128</v>
      </c>
      <c r="B47" s="30"/>
      <c r="C47" s="25"/>
      <c r="D47" s="20"/>
      <c r="E47" s="25" t="s">
        <v>61</v>
      </c>
      <c r="F47" s="25" t="s">
        <v>85</v>
      </c>
      <c r="G47" s="19" t="s">
        <v>351</v>
      </c>
      <c r="H47" s="21">
        <v>15400</v>
      </c>
      <c r="I47" s="19"/>
      <c r="J47" s="20"/>
      <c r="K47" s="9">
        <f>+K46+Table2345356[[#This Row],[AMOUNT]]-Table2345356[[#This Row],[AMOUNT2]]-Table2345356[[#This Row],[AMOUNT3]]</f>
        <v>-187126</v>
      </c>
    </row>
    <row r="48" spans="1:13" hidden="1" x14ac:dyDescent="0.35">
      <c r="A48" s="30">
        <v>46128</v>
      </c>
      <c r="B48" s="30"/>
      <c r="C48" s="25"/>
      <c r="D48" s="20"/>
      <c r="E48" s="25" t="s">
        <v>153</v>
      </c>
      <c r="F48" s="25" t="s">
        <v>20</v>
      </c>
      <c r="G48" s="19" t="s">
        <v>352</v>
      </c>
      <c r="H48" s="21">
        <v>20000</v>
      </c>
      <c r="I48" s="19"/>
      <c r="J48" s="20"/>
      <c r="K48" s="9">
        <f>+K47+Table2345356[[#This Row],[AMOUNT]]-Table2345356[[#This Row],[AMOUNT2]]-Table2345356[[#This Row],[AMOUNT3]]</f>
        <v>-207126</v>
      </c>
    </row>
    <row r="49" spans="1:11" hidden="1" x14ac:dyDescent="0.35">
      <c r="A49" s="30">
        <v>46128</v>
      </c>
      <c r="B49" s="30"/>
      <c r="C49" s="25"/>
      <c r="D49" s="20"/>
      <c r="E49" s="25" t="s">
        <v>47</v>
      </c>
      <c r="F49" s="25" t="s">
        <v>43</v>
      </c>
      <c r="G49" s="19" t="s">
        <v>353</v>
      </c>
      <c r="H49" s="21">
        <v>700</v>
      </c>
      <c r="I49" s="19"/>
      <c r="J49" s="20"/>
      <c r="K49" s="9">
        <f>+K48+Table2345356[[#This Row],[AMOUNT]]-Table2345356[[#This Row],[AMOUNT2]]-Table2345356[[#This Row],[AMOUNT3]]</f>
        <v>-207826</v>
      </c>
    </row>
    <row r="50" spans="1:11" hidden="1" x14ac:dyDescent="0.35">
      <c r="A50" s="30">
        <v>46129</v>
      </c>
      <c r="B50" s="30"/>
      <c r="C50" s="7"/>
      <c r="D50" s="20"/>
      <c r="E50" s="25" t="s">
        <v>49</v>
      </c>
      <c r="F50" s="25" t="s">
        <v>49</v>
      </c>
      <c r="G50" s="19" t="s">
        <v>354</v>
      </c>
      <c r="H50" s="21">
        <v>33928</v>
      </c>
      <c r="I50" s="19"/>
      <c r="J50" s="20"/>
      <c r="K50" s="9">
        <f>+K49+Table2345356[[#This Row],[AMOUNT]]-Table2345356[[#This Row],[AMOUNT2]]-Table2345356[[#This Row],[AMOUNT3]]</f>
        <v>-241754</v>
      </c>
    </row>
    <row r="51" spans="1:11" hidden="1" x14ac:dyDescent="0.35">
      <c r="A51" s="30">
        <v>46130</v>
      </c>
      <c r="B51" s="30"/>
      <c r="C51" s="7"/>
      <c r="D51" s="20"/>
      <c r="E51" s="25" t="s">
        <v>355</v>
      </c>
      <c r="F51" s="25" t="s">
        <v>1</v>
      </c>
      <c r="G51" s="19" t="s">
        <v>356</v>
      </c>
      <c r="H51" s="21">
        <v>3000</v>
      </c>
      <c r="I51" s="9" t="s">
        <v>46</v>
      </c>
      <c r="J51" s="42">
        <v>37350</v>
      </c>
      <c r="K51" s="9">
        <f>+K50+Table2345356[[#This Row],[AMOUNT]]-Table2345356[[#This Row],[AMOUNT2]]-Table2345356[[#This Row],[AMOUNT3]]</f>
        <v>-282104</v>
      </c>
    </row>
    <row r="52" spans="1:11" hidden="1" x14ac:dyDescent="0.35">
      <c r="A52" s="30">
        <v>46130</v>
      </c>
      <c r="B52" s="30"/>
      <c r="C52" s="7" t="s">
        <v>50</v>
      </c>
      <c r="D52" s="45">
        <v>10000</v>
      </c>
      <c r="E52" s="25" t="s">
        <v>47</v>
      </c>
      <c r="F52" s="25" t="s">
        <v>312</v>
      </c>
      <c r="G52" s="19" t="s">
        <v>357</v>
      </c>
      <c r="H52" s="21">
        <v>5660</v>
      </c>
      <c r="I52" s="19" t="s">
        <v>51</v>
      </c>
      <c r="J52" s="42">
        <v>10000</v>
      </c>
      <c r="K52" s="9">
        <f>+K51+Table2345356[[#This Row],[AMOUNT]]-Table2345356[[#This Row],[AMOUNT2]]-Table2345356[[#This Row],[AMOUNT3]]</f>
        <v>-287764</v>
      </c>
    </row>
    <row r="53" spans="1:11" hidden="1" x14ac:dyDescent="0.35">
      <c r="A53" s="30">
        <v>46131</v>
      </c>
      <c r="B53" s="30"/>
      <c r="C53" s="7" t="s">
        <v>449</v>
      </c>
      <c r="D53" s="20">
        <v>60000</v>
      </c>
      <c r="E53" s="25"/>
      <c r="F53" s="25"/>
      <c r="G53" s="19"/>
      <c r="H53" s="21"/>
      <c r="I53" s="9" t="s">
        <v>46</v>
      </c>
      <c r="J53" s="42">
        <v>17270</v>
      </c>
      <c r="K53" s="9">
        <f>+K52+Table2345356[[#This Row],[AMOUNT]]-Table2345356[[#This Row],[AMOUNT2]]-Table2345356[[#This Row],[AMOUNT3]]</f>
        <v>-245034</v>
      </c>
    </row>
    <row r="54" spans="1:11" hidden="1" x14ac:dyDescent="0.35">
      <c r="A54" s="30">
        <v>46132</v>
      </c>
      <c r="B54" s="30"/>
      <c r="C54" s="7"/>
      <c r="D54" s="20"/>
      <c r="E54" s="25" t="s">
        <v>39</v>
      </c>
      <c r="F54" s="25" t="s">
        <v>330</v>
      </c>
      <c r="G54" s="19" t="s">
        <v>358</v>
      </c>
      <c r="H54" s="69">
        <v>1400</v>
      </c>
      <c r="I54" s="9" t="s">
        <v>46</v>
      </c>
      <c r="J54" s="42">
        <v>17800</v>
      </c>
      <c r="K54" s="9">
        <f>+K53+Table2345356[[#This Row],[AMOUNT]]-Table2345356[[#This Row],[AMOUNT2]]-Table2345356[[#This Row],[AMOUNT3]]</f>
        <v>-264234</v>
      </c>
    </row>
    <row r="55" spans="1:11" hidden="1" x14ac:dyDescent="0.35">
      <c r="A55" s="30">
        <v>46132</v>
      </c>
      <c r="B55" s="30"/>
      <c r="C55" s="7" t="s">
        <v>50</v>
      </c>
      <c r="D55" s="45">
        <v>1000</v>
      </c>
      <c r="E55" s="25" t="s">
        <v>355</v>
      </c>
      <c r="F55" s="25" t="s">
        <v>40</v>
      </c>
      <c r="G55" s="19" t="s">
        <v>345</v>
      </c>
      <c r="H55" s="21">
        <v>3820</v>
      </c>
      <c r="I55" s="19" t="s">
        <v>51</v>
      </c>
      <c r="J55" s="42">
        <v>1000</v>
      </c>
      <c r="K55" s="9">
        <f>+K54+Table2345356[[#This Row],[AMOUNT]]-Table2345356[[#This Row],[AMOUNT2]]-Table2345356[[#This Row],[AMOUNT3]]</f>
        <v>-268054</v>
      </c>
    </row>
    <row r="56" spans="1:11" hidden="1" x14ac:dyDescent="0.35">
      <c r="A56" s="30">
        <v>46133</v>
      </c>
      <c r="B56" s="30"/>
      <c r="C56" s="7"/>
      <c r="D56" s="20"/>
      <c r="E56" s="25" t="s">
        <v>355</v>
      </c>
      <c r="F56" s="25" t="s">
        <v>40</v>
      </c>
      <c r="G56" s="19" t="s">
        <v>345</v>
      </c>
      <c r="H56" s="21">
        <v>500</v>
      </c>
      <c r="I56" s="9" t="s">
        <v>46</v>
      </c>
      <c r="J56" s="42">
        <v>2800</v>
      </c>
      <c r="K56" s="9">
        <f>+K55+Table2345356[[#This Row],[AMOUNT]]-Table2345356[[#This Row],[AMOUNT2]]-Table2345356[[#This Row],[AMOUNT3]]</f>
        <v>-271354</v>
      </c>
    </row>
    <row r="57" spans="1:11" hidden="1" x14ac:dyDescent="0.35">
      <c r="A57" s="30">
        <v>46133</v>
      </c>
      <c r="B57" s="30"/>
      <c r="C57" s="7" t="s">
        <v>50</v>
      </c>
      <c r="D57" s="45">
        <v>10000</v>
      </c>
      <c r="E57" s="25"/>
      <c r="F57" s="25"/>
      <c r="G57" s="19"/>
      <c r="H57" s="21"/>
      <c r="I57" s="19" t="s">
        <v>51</v>
      </c>
      <c r="J57" s="42">
        <v>10000</v>
      </c>
      <c r="K57" s="9">
        <f>+K56+Table2345356[[#This Row],[AMOUNT]]-Table2345356[[#This Row],[AMOUNT2]]-Table2345356[[#This Row],[AMOUNT3]]</f>
        <v>-271354</v>
      </c>
    </row>
    <row r="58" spans="1:11" x14ac:dyDescent="0.35">
      <c r="A58" s="30">
        <v>46134</v>
      </c>
      <c r="B58" s="30"/>
      <c r="C58" s="25" t="s">
        <v>359</v>
      </c>
      <c r="D58" s="20">
        <v>50000</v>
      </c>
      <c r="E58" s="25" t="s">
        <v>61</v>
      </c>
      <c r="F58" s="25" t="s">
        <v>85</v>
      </c>
      <c r="G58" s="19" t="s">
        <v>360</v>
      </c>
      <c r="H58" s="21">
        <v>200</v>
      </c>
      <c r="I58" s="9" t="s">
        <v>46</v>
      </c>
      <c r="J58" s="42">
        <v>2350</v>
      </c>
      <c r="K58" s="9">
        <f>+K57+Table2345356[[#This Row],[AMOUNT]]-Table2345356[[#This Row],[AMOUNT2]]-Table2345356[[#This Row],[AMOUNT3]]</f>
        <v>-223904</v>
      </c>
    </row>
    <row r="59" spans="1:11" hidden="1" x14ac:dyDescent="0.35">
      <c r="A59" s="30">
        <v>46134</v>
      </c>
      <c r="B59" s="30"/>
      <c r="C59" s="7"/>
      <c r="D59" s="20"/>
      <c r="E59" s="25" t="s">
        <v>39</v>
      </c>
      <c r="F59" s="25" t="s">
        <v>29</v>
      </c>
      <c r="G59" s="19" t="s">
        <v>361</v>
      </c>
      <c r="H59" s="69">
        <v>68</v>
      </c>
      <c r="I59" s="19"/>
      <c r="J59" s="20"/>
      <c r="K59" s="9">
        <f>+K58+Table2345356[[#This Row],[AMOUNT]]-Table2345356[[#This Row],[AMOUNT2]]-Table2345356[[#This Row],[AMOUNT3]]</f>
        <v>-223972</v>
      </c>
    </row>
    <row r="60" spans="1:11" hidden="1" x14ac:dyDescent="0.35">
      <c r="A60" s="30">
        <v>46135</v>
      </c>
      <c r="B60" s="30"/>
      <c r="C60" s="25" t="s">
        <v>362</v>
      </c>
      <c r="D60" s="45">
        <v>100000</v>
      </c>
      <c r="E60" s="25" t="s">
        <v>47</v>
      </c>
      <c r="F60" s="25" t="s">
        <v>1</v>
      </c>
      <c r="G60" s="19" t="s">
        <v>363</v>
      </c>
      <c r="H60" s="21">
        <v>3000</v>
      </c>
      <c r="I60" s="9" t="s">
        <v>46</v>
      </c>
      <c r="J60" s="42">
        <v>4400</v>
      </c>
      <c r="K60" s="9">
        <f>+K59+Table2345356[[#This Row],[AMOUNT]]-Table2345356[[#This Row],[AMOUNT2]]-Table2345356[[#This Row],[AMOUNT3]]</f>
        <v>-131372</v>
      </c>
    </row>
    <row r="61" spans="1:11" hidden="1" x14ac:dyDescent="0.35">
      <c r="A61" s="30">
        <v>46135</v>
      </c>
      <c r="B61" s="30"/>
      <c r="C61" s="7" t="s">
        <v>449</v>
      </c>
      <c r="D61" s="20">
        <v>100000</v>
      </c>
      <c r="E61" s="25" t="s">
        <v>47</v>
      </c>
      <c r="F61" s="25" t="s">
        <v>312</v>
      </c>
      <c r="G61" s="19" t="s">
        <v>365</v>
      </c>
      <c r="H61" s="21">
        <v>15000</v>
      </c>
      <c r="I61" s="19" t="s">
        <v>364</v>
      </c>
      <c r="J61" s="42">
        <v>100000</v>
      </c>
      <c r="K61" s="9">
        <f>+K60+Table2345356[[#This Row],[AMOUNT]]-Table2345356[[#This Row],[AMOUNT2]]-Table2345356[[#This Row],[AMOUNT3]]</f>
        <v>-146372</v>
      </c>
    </row>
    <row r="62" spans="1:11" hidden="1" x14ac:dyDescent="0.35">
      <c r="A62" s="30">
        <v>46135</v>
      </c>
      <c r="B62" s="30"/>
      <c r="C62" s="25"/>
      <c r="D62" s="20"/>
      <c r="E62" s="25" t="s">
        <v>47</v>
      </c>
      <c r="F62" s="25" t="s">
        <v>312</v>
      </c>
      <c r="G62" s="19" t="s">
        <v>366</v>
      </c>
      <c r="H62" s="21">
        <v>25000</v>
      </c>
      <c r="I62" s="19"/>
      <c r="J62" s="20"/>
      <c r="K62" s="9">
        <f>+K61+Table2345356[[#This Row],[AMOUNT]]-Table2345356[[#This Row],[AMOUNT2]]-Table2345356[[#This Row],[AMOUNT3]]</f>
        <v>-171372</v>
      </c>
    </row>
    <row r="63" spans="1:11" hidden="1" x14ac:dyDescent="0.35">
      <c r="A63" s="30">
        <v>46135</v>
      </c>
      <c r="B63" s="30"/>
      <c r="C63" s="25"/>
      <c r="D63" s="20"/>
      <c r="E63" s="25" t="s">
        <v>102</v>
      </c>
      <c r="F63" s="25" t="s">
        <v>367</v>
      </c>
      <c r="G63" s="19" t="s">
        <v>368</v>
      </c>
      <c r="H63" s="21">
        <v>10000</v>
      </c>
      <c r="I63" s="19"/>
      <c r="J63" s="20"/>
      <c r="K63" s="9">
        <f>+K62+Table2345356[[#This Row],[AMOUNT]]-Table2345356[[#This Row],[AMOUNT2]]-Table2345356[[#This Row],[AMOUNT3]]</f>
        <v>-181372</v>
      </c>
    </row>
    <row r="64" spans="1:11" hidden="1" x14ac:dyDescent="0.35">
      <c r="A64" s="30">
        <v>46136</v>
      </c>
      <c r="B64" s="30"/>
      <c r="C64" s="7"/>
      <c r="D64" s="20"/>
      <c r="E64" s="25" t="s">
        <v>49</v>
      </c>
      <c r="F64" s="25" t="s">
        <v>49</v>
      </c>
      <c r="G64" s="19" t="s">
        <v>73</v>
      </c>
      <c r="H64" s="21">
        <v>5000</v>
      </c>
      <c r="I64" s="9" t="s">
        <v>46</v>
      </c>
      <c r="J64" s="42">
        <v>2750</v>
      </c>
      <c r="K64" s="9">
        <f>+K63+Table2345356[[#This Row],[AMOUNT]]-Table2345356[[#This Row],[AMOUNT2]]-Table2345356[[#This Row],[AMOUNT3]]</f>
        <v>-189122</v>
      </c>
    </row>
    <row r="65" spans="1:11" hidden="1" x14ac:dyDescent="0.35">
      <c r="A65" s="30">
        <v>46136</v>
      </c>
      <c r="B65" s="30"/>
      <c r="C65" s="25"/>
      <c r="D65" s="20"/>
      <c r="E65" s="25" t="s">
        <v>49</v>
      </c>
      <c r="F65" s="25" t="s">
        <v>49</v>
      </c>
      <c r="G65" s="19" t="s">
        <v>369</v>
      </c>
      <c r="H65" s="21">
        <v>34520</v>
      </c>
      <c r="I65" s="19"/>
      <c r="J65" s="20"/>
      <c r="K65" s="9">
        <f>+K64+Table2345356[[#This Row],[AMOUNT]]-Table2345356[[#This Row],[AMOUNT2]]-Table2345356[[#This Row],[AMOUNT3]]</f>
        <v>-223642</v>
      </c>
    </row>
    <row r="66" spans="1:11" hidden="1" x14ac:dyDescent="0.35">
      <c r="A66" s="30">
        <v>46137</v>
      </c>
      <c r="B66" s="30"/>
      <c r="C66" s="25" t="s">
        <v>370</v>
      </c>
      <c r="D66" s="20">
        <v>11078</v>
      </c>
      <c r="E66" s="25"/>
      <c r="F66" s="25"/>
      <c r="G66" s="19"/>
      <c r="H66" s="21"/>
      <c r="I66" s="9" t="s">
        <v>46</v>
      </c>
      <c r="J66" s="42">
        <v>15550</v>
      </c>
      <c r="K66" s="9">
        <f>+K65+Table2345356[[#This Row],[AMOUNT]]-Table2345356[[#This Row],[AMOUNT2]]-Table2345356[[#This Row],[AMOUNT3]]</f>
        <v>-228114</v>
      </c>
    </row>
    <row r="67" spans="1:11" hidden="1" x14ac:dyDescent="0.35">
      <c r="A67" s="30">
        <v>46137</v>
      </c>
      <c r="B67" s="30"/>
      <c r="C67" s="7" t="s">
        <v>97</v>
      </c>
      <c r="D67" s="20">
        <v>60000</v>
      </c>
      <c r="E67" s="25"/>
      <c r="F67" s="25"/>
      <c r="G67" s="19"/>
      <c r="H67" s="21"/>
      <c r="I67" s="19" t="s">
        <v>98</v>
      </c>
      <c r="J67" s="42">
        <v>60000</v>
      </c>
      <c r="K67" s="9">
        <f>+K66+Table2345356[[#This Row],[AMOUNT]]-Table2345356[[#This Row],[AMOUNT2]]-Table2345356[[#This Row],[AMOUNT3]]</f>
        <v>-228114</v>
      </c>
    </row>
    <row r="68" spans="1:11" hidden="1" x14ac:dyDescent="0.35">
      <c r="A68" s="30">
        <v>46137</v>
      </c>
      <c r="B68" s="30"/>
      <c r="C68" s="7"/>
      <c r="D68" s="20"/>
      <c r="E68" s="25"/>
      <c r="F68" s="25"/>
      <c r="G68" s="19"/>
      <c r="H68" s="21"/>
      <c r="I68" s="19"/>
      <c r="J68" s="20"/>
      <c r="K68" s="9">
        <f>+K67+Table2345356[[#This Row],[AMOUNT]]-Table2345356[[#This Row],[AMOUNT2]]-Table2345356[[#This Row],[AMOUNT3]]</f>
        <v>-228114</v>
      </c>
    </row>
    <row r="69" spans="1:11" hidden="1" x14ac:dyDescent="0.35">
      <c r="A69" s="30">
        <v>46138</v>
      </c>
      <c r="B69" s="30"/>
      <c r="C69" s="7"/>
      <c r="D69" s="20"/>
      <c r="E69" s="25" t="s">
        <v>49</v>
      </c>
      <c r="F69" s="25" t="s">
        <v>49</v>
      </c>
      <c r="G69" s="19" t="s">
        <v>371</v>
      </c>
      <c r="H69" s="21">
        <v>36000</v>
      </c>
      <c r="I69" s="19"/>
      <c r="J69" s="20"/>
      <c r="K69" s="9">
        <f>+K68+Table2345356[[#This Row],[AMOUNT]]-Table2345356[[#This Row],[AMOUNT2]]-Table2345356[[#This Row],[AMOUNT3]]</f>
        <v>-264114</v>
      </c>
    </row>
    <row r="70" spans="1:11" hidden="1" x14ac:dyDescent="0.35">
      <c r="A70" s="30">
        <v>46138</v>
      </c>
      <c r="B70" s="30"/>
      <c r="C70" s="25"/>
      <c r="D70" s="20"/>
      <c r="E70" s="25" t="s">
        <v>49</v>
      </c>
      <c r="F70" s="25" t="s">
        <v>49</v>
      </c>
      <c r="G70" s="19" t="s">
        <v>73</v>
      </c>
      <c r="H70" s="21">
        <v>1000</v>
      </c>
      <c r="I70" s="19"/>
      <c r="J70" s="20"/>
      <c r="K70" s="9">
        <f>+K69+Table2345356[[#This Row],[AMOUNT]]-Table2345356[[#This Row],[AMOUNT2]]-Table2345356[[#This Row],[AMOUNT3]]</f>
        <v>-265114</v>
      </c>
    </row>
    <row r="71" spans="1:11" hidden="1" x14ac:dyDescent="0.35">
      <c r="A71" s="30">
        <v>46139</v>
      </c>
      <c r="B71" s="30"/>
      <c r="C71" s="7" t="s">
        <v>449</v>
      </c>
      <c r="D71" s="20">
        <v>50000</v>
      </c>
      <c r="E71" s="25" t="s">
        <v>372</v>
      </c>
      <c r="F71" s="25" t="s">
        <v>372</v>
      </c>
      <c r="G71" s="19" t="s">
        <v>373</v>
      </c>
      <c r="H71" s="21">
        <v>1000</v>
      </c>
      <c r="I71" s="9" t="s">
        <v>46</v>
      </c>
      <c r="J71" s="42">
        <v>25600</v>
      </c>
      <c r="K71" s="9">
        <f>+K70+Table2345356[[#This Row],[AMOUNT]]-Table2345356[[#This Row],[AMOUNT2]]-Table2345356[[#This Row],[AMOUNT3]]</f>
        <v>-241714</v>
      </c>
    </row>
    <row r="72" spans="1:11" x14ac:dyDescent="0.35">
      <c r="A72" s="30">
        <v>46139</v>
      </c>
      <c r="B72" s="30"/>
      <c r="C72" s="25" t="s">
        <v>50</v>
      </c>
      <c r="D72" s="45">
        <v>40000</v>
      </c>
      <c r="E72" s="25" t="s">
        <v>61</v>
      </c>
      <c r="F72" s="25" t="s">
        <v>85</v>
      </c>
      <c r="G72" s="19" t="s">
        <v>374</v>
      </c>
      <c r="H72" s="21">
        <v>1500</v>
      </c>
      <c r="I72" s="19" t="s">
        <v>51</v>
      </c>
      <c r="J72" s="42">
        <v>40000</v>
      </c>
      <c r="K72" s="9">
        <f>+K71+Table2345356[[#This Row],[AMOUNT]]-Table2345356[[#This Row],[AMOUNT2]]-Table2345356[[#This Row],[AMOUNT3]]</f>
        <v>-243214</v>
      </c>
    </row>
    <row r="73" spans="1:11" hidden="1" x14ac:dyDescent="0.35">
      <c r="A73" s="30">
        <v>46140</v>
      </c>
      <c r="B73" s="30"/>
      <c r="C73" s="7"/>
      <c r="D73" s="20"/>
      <c r="E73" s="25"/>
      <c r="F73" s="25"/>
      <c r="G73" s="19"/>
      <c r="H73" s="21"/>
      <c r="I73" s="19" t="s">
        <v>98</v>
      </c>
      <c r="J73" s="42">
        <v>50000</v>
      </c>
      <c r="K73" s="9">
        <f>+K72+Table2345356[[#This Row],[AMOUNT]]-Table2345356[[#This Row],[AMOUNT2]]-Table2345356[[#This Row],[AMOUNT3]]</f>
        <v>-293214</v>
      </c>
    </row>
    <row r="74" spans="1:11" hidden="1" x14ac:dyDescent="0.35">
      <c r="A74" s="30">
        <v>46140</v>
      </c>
      <c r="B74" s="30"/>
      <c r="C74" s="25"/>
      <c r="D74" s="20"/>
      <c r="E74" s="25"/>
      <c r="F74" s="25"/>
      <c r="G74" s="19"/>
      <c r="H74" s="21"/>
      <c r="I74" s="9" t="s">
        <v>46</v>
      </c>
      <c r="J74" s="42">
        <v>1600</v>
      </c>
      <c r="K74" s="9">
        <f>+K73+Table2345356[[#This Row],[AMOUNT]]-Table2345356[[#This Row],[AMOUNT2]]-Table2345356[[#This Row],[AMOUNT3]]</f>
        <v>-294814</v>
      </c>
    </row>
    <row r="75" spans="1:11" hidden="1" x14ac:dyDescent="0.35">
      <c r="A75" s="30">
        <v>46141</v>
      </c>
      <c r="B75" s="30"/>
      <c r="C75" s="7"/>
      <c r="D75" s="20"/>
      <c r="E75" s="25" t="s">
        <v>39</v>
      </c>
      <c r="F75" s="25" t="s">
        <v>330</v>
      </c>
      <c r="G75" s="19" t="s">
        <v>375</v>
      </c>
      <c r="H75" s="69">
        <v>4280</v>
      </c>
      <c r="I75" s="9" t="s">
        <v>46</v>
      </c>
      <c r="J75" s="42">
        <v>3000</v>
      </c>
      <c r="K75" s="9">
        <f>+K74+Table2345356[[#This Row],[AMOUNT]]-Table2345356[[#This Row],[AMOUNT2]]-Table2345356[[#This Row],[AMOUNT3]]</f>
        <v>-302094</v>
      </c>
    </row>
    <row r="76" spans="1:11" hidden="1" x14ac:dyDescent="0.35">
      <c r="A76" s="30">
        <v>46141</v>
      </c>
      <c r="B76" s="30"/>
      <c r="C76" s="25"/>
      <c r="D76" s="20"/>
      <c r="E76" s="25" t="s">
        <v>47</v>
      </c>
      <c r="F76" s="25" t="s">
        <v>43</v>
      </c>
      <c r="G76" s="19" t="s">
        <v>376</v>
      </c>
      <c r="H76" s="21">
        <v>299</v>
      </c>
      <c r="I76" s="19"/>
      <c r="J76" s="20"/>
      <c r="K76" s="9">
        <f>+K75+Table2345356[[#This Row],[AMOUNT]]-Table2345356[[#This Row],[AMOUNT2]]-Table2345356[[#This Row],[AMOUNT3]]</f>
        <v>-302393</v>
      </c>
    </row>
    <row r="77" spans="1:11" hidden="1" x14ac:dyDescent="0.35">
      <c r="A77" s="30">
        <v>46142</v>
      </c>
      <c r="B77" s="30"/>
      <c r="C77" s="7"/>
      <c r="D77" s="20"/>
      <c r="E77" s="25" t="s">
        <v>343</v>
      </c>
      <c r="F77" s="25" t="s">
        <v>49</v>
      </c>
      <c r="G77" s="19" t="s">
        <v>377</v>
      </c>
      <c r="H77" s="21">
        <v>425</v>
      </c>
      <c r="I77" s="9" t="s">
        <v>46</v>
      </c>
      <c r="J77" s="42">
        <v>10000</v>
      </c>
      <c r="K77" s="9">
        <f>+K76+Table2345356[[#This Row],[AMOUNT]]-Table2345356[[#This Row],[AMOUNT2]]-Table2345356[[#This Row],[AMOUNT3]]</f>
        <v>-312818</v>
      </c>
    </row>
    <row r="78" spans="1:11" hidden="1" x14ac:dyDescent="0.35">
      <c r="A78" s="30">
        <v>46142</v>
      </c>
      <c r="B78" s="30"/>
      <c r="C78" s="25" t="s">
        <v>50</v>
      </c>
      <c r="D78" s="45">
        <v>30000</v>
      </c>
      <c r="E78" s="25"/>
      <c r="F78" s="25"/>
      <c r="G78" s="19"/>
      <c r="H78" s="21"/>
      <c r="I78" s="19" t="s">
        <v>51</v>
      </c>
      <c r="J78" s="42">
        <v>30000</v>
      </c>
      <c r="K78" s="9">
        <f>+K77+Table2345356[[#This Row],[AMOUNT]]-Table2345356[[#This Row],[AMOUNT2]]-Table2345356[[#This Row],[AMOUNT3]]</f>
        <v>-312818</v>
      </c>
    </row>
    <row r="79" spans="1:11" x14ac:dyDescent="0.35">
      <c r="A79" s="30">
        <v>46142</v>
      </c>
      <c r="B79" s="30"/>
      <c r="C79" s="25"/>
      <c r="D79" s="20"/>
      <c r="E79" s="25" t="s">
        <v>61</v>
      </c>
      <c r="F79" s="25" t="s">
        <v>85</v>
      </c>
      <c r="G79" s="19" t="s">
        <v>378</v>
      </c>
      <c r="H79" s="21">
        <v>1450</v>
      </c>
      <c r="I79" s="19" t="s">
        <v>438</v>
      </c>
      <c r="J79" s="20">
        <v>3000</v>
      </c>
      <c r="K79" s="9">
        <f>+K78+Table2345356[[#This Row],[AMOUNT]]-Table2345356[[#This Row],[AMOUNT2]]-Table2345356[[#This Row],[AMOUNT3]]</f>
        <v>-317268</v>
      </c>
    </row>
    <row r="80" spans="1:11" hidden="1" x14ac:dyDescent="0.35">
      <c r="A80" s="30">
        <v>46143</v>
      </c>
      <c r="B80" s="30"/>
      <c r="C80" s="7"/>
      <c r="D80" s="20"/>
      <c r="E80" s="25"/>
      <c r="F80" s="25"/>
      <c r="G80" s="19"/>
      <c r="H80" s="21"/>
      <c r="I80" s="19" t="s">
        <v>98</v>
      </c>
      <c r="J80" s="42">
        <v>100000</v>
      </c>
      <c r="K80" s="9">
        <f>+K79+Table2345356[[#This Row],[AMOUNT]]-Table2345356[[#This Row],[AMOUNT2]]-Table2345356[[#This Row],[AMOUNT3]]</f>
        <v>-417268</v>
      </c>
    </row>
    <row r="81" spans="1:11" hidden="1" x14ac:dyDescent="0.35">
      <c r="A81" s="30">
        <v>46143</v>
      </c>
      <c r="B81" s="30"/>
      <c r="C81" s="25"/>
      <c r="D81" s="20"/>
      <c r="E81" s="25"/>
      <c r="F81" s="25"/>
      <c r="G81" s="19"/>
      <c r="H81" s="21"/>
      <c r="I81" s="9" t="s">
        <v>46</v>
      </c>
      <c r="J81" s="42">
        <v>1600</v>
      </c>
      <c r="K81" s="9">
        <f>+K80+Table2345356[[#This Row],[AMOUNT]]-Table2345356[[#This Row],[AMOUNT2]]-Table2345356[[#This Row],[AMOUNT3]]</f>
        <v>-418868</v>
      </c>
    </row>
    <row r="82" spans="1:11" hidden="1" x14ac:dyDescent="0.35">
      <c r="A82" s="30">
        <v>46144</v>
      </c>
      <c r="B82" s="30"/>
      <c r="C82" s="7" t="s">
        <v>449</v>
      </c>
      <c r="D82" s="20">
        <v>50000</v>
      </c>
      <c r="E82" s="25" t="s">
        <v>343</v>
      </c>
      <c r="F82" s="25" t="s">
        <v>49</v>
      </c>
      <c r="G82" s="19" t="s">
        <v>379</v>
      </c>
      <c r="H82" s="21">
        <v>2336</v>
      </c>
      <c r="I82" s="9" t="s">
        <v>46</v>
      </c>
      <c r="J82" s="42">
        <v>15350</v>
      </c>
      <c r="K82" s="9">
        <f>+K81+Table2345356[[#This Row],[AMOUNT]]-Table2345356[[#This Row],[AMOUNT2]]-Table2345356[[#This Row],[AMOUNT3]]</f>
        <v>-386554</v>
      </c>
    </row>
    <row r="83" spans="1:11" hidden="1" x14ac:dyDescent="0.35">
      <c r="A83" s="30">
        <v>46144</v>
      </c>
      <c r="B83" s="30"/>
      <c r="C83" s="25" t="s">
        <v>50</v>
      </c>
      <c r="D83" s="20">
        <v>10000</v>
      </c>
      <c r="E83" s="25" t="s">
        <v>47</v>
      </c>
      <c r="F83" s="25" t="s">
        <v>1</v>
      </c>
      <c r="G83" s="19" t="s">
        <v>52</v>
      </c>
      <c r="H83" s="21">
        <v>3000</v>
      </c>
      <c r="I83" s="19" t="s">
        <v>51</v>
      </c>
      <c r="J83" s="42">
        <v>10000</v>
      </c>
      <c r="K83" s="9">
        <f>+K82+Table2345356[[#This Row],[AMOUNT]]-Table2345356[[#This Row],[AMOUNT2]]-Table2345356[[#This Row],[AMOUNT3]]</f>
        <v>-389554</v>
      </c>
    </row>
    <row r="84" spans="1:11" hidden="1" x14ac:dyDescent="0.35">
      <c r="A84" s="30">
        <v>46144</v>
      </c>
      <c r="B84" s="30"/>
      <c r="C84" s="25"/>
      <c r="D84" s="20"/>
      <c r="E84" s="25" t="s">
        <v>47</v>
      </c>
      <c r="F84" s="25" t="s">
        <v>40</v>
      </c>
      <c r="G84" s="19" t="s">
        <v>345</v>
      </c>
      <c r="H84" s="21">
        <v>3000</v>
      </c>
      <c r="I84" s="19"/>
      <c r="J84" s="20"/>
      <c r="K84" s="9">
        <f>+K83+Table2345356[[#This Row],[AMOUNT]]-Table2345356[[#This Row],[AMOUNT2]]-Table2345356[[#This Row],[AMOUNT3]]</f>
        <v>-392554</v>
      </c>
    </row>
    <row r="85" spans="1:11" hidden="1" x14ac:dyDescent="0.35">
      <c r="A85" s="30">
        <v>46146</v>
      </c>
      <c r="B85" s="30"/>
      <c r="C85" s="25" t="s">
        <v>50</v>
      </c>
      <c r="D85" s="20">
        <v>10000</v>
      </c>
      <c r="E85" s="25" t="s">
        <v>39</v>
      </c>
      <c r="F85" s="25" t="s">
        <v>330</v>
      </c>
      <c r="G85" s="19" t="s">
        <v>380</v>
      </c>
      <c r="H85" s="69">
        <v>360</v>
      </c>
      <c r="I85" s="9" t="s">
        <v>46</v>
      </c>
      <c r="J85" s="42">
        <v>18100</v>
      </c>
      <c r="K85" s="9">
        <f>+K84+Table2345356[[#This Row],[AMOUNT]]-Table2345356[[#This Row],[AMOUNT2]]-Table2345356[[#This Row],[AMOUNT3]]</f>
        <v>-401014</v>
      </c>
    </row>
    <row r="86" spans="1:11" hidden="1" x14ac:dyDescent="0.35">
      <c r="A86" s="30">
        <v>46146</v>
      </c>
      <c r="B86" s="30"/>
      <c r="C86" s="25"/>
      <c r="D86" s="20"/>
      <c r="E86" s="25" t="s">
        <v>47</v>
      </c>
      <c r="F86" s="25" t="s">
        <v>312</v>
      </c>
      <c r="G86" s="19" t="s">
        <v>365</v>
      </c>
      <c r="H86" s="21">
        <v>10000</v>
      </c>
      <c r="I86" s="19" t="s">
        <v>51</v>
      </c>
      <c r="J86" s="42">
        <v>10000</v>
      </c>
      <c r="K86" s="9">
        <f>+K85+Table2345356[[#This Row],[AMOUNT]]-Table2345356[[#This Row],[AMOUNT2]]-Table2345356[[#This Row],[AMOUNT3]]</f>
        <v>-421014</v>
      </c>
    </row>
    <row r="87" spans="1:11" hidden="1" x14ac:dyDescent="0.35">
      <c r="A87" s="30">
        <v>46146</v>
      </c>
      <c r="B87" s="30"/>
      <c r="C87" s="25"/>
      <c r="D87" s="20"/>
      <c r="E87" s="25" t="s">
        <v>47</v>
      </c>
      <c r="F87" s="25" t="s">
        <v>312</v>
      </c>
      <c r="G87" s="19" t="s">
        <v>357</v>
      </c>
      <c r="H87" s="21">
        <v>10000</v>
      </c>
      <c r="I87" s="19"/>
      <c r="J87" s="20"/>
      <c r="K87" s="9">
        <f>+K86+Table2345356[[#This Row],[AMOUNT]]-Table2345356[[#This Row],[AMOUNT2]]-Table2345356[[#This Row],[AMOUNT3]]</f>
        <v>-431014</v>
      </c>
    </row>
    <row r="88" spans="1:11" x14ac:dyDescent="0.35">
      <c r="A88" s="30">
        <v>46147</v>
      </c>
      <c r="B88" s="30"/>
      <c r="C88" s="7" t="s">
        <v>362</v>
      </c>
      <c r="D88" s="20">
        <v>100000</v>
      </c>
      <c r="E88" s="25" t="s">
        <v>61</v>
      </c>
      <c r="F88" s="25" t="s">
        <v>85</v>
      </c>
      <c r="G88" s="19" t="s">
        <v>381</v>
      </c>
      <c r="H88" s="21">
        <v>5500</v>
      </c>
      <c r="I88" s="9" t="s">
        <v>46</v>
      </c>
      <c r="J88" s="42">
        <v>10200</v>
      </c>
      <c r="K88" s="9">
        <f>+K87+Table2345356[[#This Row],[AMOUNT]]-Table2345356[[#This Row],[AMOUNT2]]-Table2345356[[#This Row],[AMOUNT3]]</f>
        <v>-346714</v>
      </c>
    </row>
    <row r="89" spans="1:11" hidden="1" x14ac:dyDescent="0.35">
      <c r="A89" s="30">
        <v>46147</v>
      </c>
      <c r="B89" s="30"/>
      <c r="C89" s="25"/>
      <c r="D89" s="20"/>
      <c r="E89" s="25" t="s">
        <v>382</v>
      </c>
      <c r="F89" s="25" t="s">
        <v>383</v>
      </c>
      <c r="G89" s="19" t="s">
        <v>387</v>
      </c>
      <c r="H89" s="21">
        <v>30000</v>
      </c>
      <c r="I89" s="19"/>
      <c r="J89" s="20"/>
      <c r="K89" s="9">
        <f>+K88+Table2345356[[#This Row],[AMOUNT]]-Table2345356[[#This Row],[AMOUNT2]]-Table2345356[[#This Row],[AMOUNT3]]</f>
        <v>-376714</v>
      </c>
    </row>
    <row r="90" spans="1:11" hidden="1" x14ac:dyDescent="0.35">
      <c r="A90" s="30">
        <v>46147</v>
      </c>
      <c r="B90" s="30"/>
      <c r="C90" s="25"/>
      <c r="D90" s="20"/>
      <c r="E90" s="25" t="s">
        <v>382</v>
      </c>
      <c r="F90" s="25" t="s">
        <v>383</v>
      </c>
      <c r="G90" s="19" t="s">
        <v>386</v>
      </c>
      <c r="H90" s="21">
        <v>20000</v>
      </c>
      <c r="I90" s="19"/>
      <c r="J90" s="20"/>
      <c r="K90" s="9">
        <f>+K89+Table2345356[[#This Row],[AMOUNT]]-Table2345356[[#This Row],[AMOUNT2]]-Table2345356[[#This Row],[AMOUNT3]]</f>
        <v>-396714</v>
      </c>
    </row>
    <row r="91" spans="1:11" hidden="1" x14ac:dyDescent="0.35">
      <c r="A91" s="30">
        <v>46148</v>
      </c>
      <c r="B91" s="30"/>
      <c r="C91" s="7" t="s">
        <v>449</v>
      </c>
      <c r="D91" s="20">
        <v>70000</v>
      </c>
      <c r="E91" s="25" t="s">
        <v>343</v>
      </c>
      <c r="F91" s="25" t="s">
        <v>49</v>
      </c>
      <c r="G91" s="19" t="s">
        <v>384</v>
      </c>
      <c r="H91" s="21">
        <v>10000</v>
      </c>
      <c r="I91" s="9" t="s">
        <v>46</v>
      </c>
      <c r="J91" s="42">
        <v>10900</v>
      </c>
      <c r="K91" s="9">
        <f>+K90+Table2345356[[#This Row],[AMOUNT]]-Table2345356[[#This Row],[AMOUNT2]]-Table2345356[[#This Row],[AMOUNT3]]</f>
        <v>-347614</v>
      </c>
    </row>
    <row r="92" spans="1:11" hidden="1" x14ac:dyDescent="0.35">
      <c r="A92" s="30">
        <v>46149</v>
      </c>
      <c r="B92" s="30"/>
      <c r="C92" s="7" t="s">
        <v>362</v>
      </c>
      <c r="D92" s="20">
        <v>200000</v>
      </c>
      <c r="E92" s="25" t="s">
        <v>343</v>
      </c>
      <c r="F92" s="25" t="s">
        <v>49</v>
      </c>
      <c r="G92" s="19" t="s">
        <v>385</v>
      </c>
      <c r="H92" s="21">
        <v>20000</v>
      </c>
      <c r="I92" s="19" t="s">
        <v>98</v>
      </c>
      <c r="J92" s="42">
        <v>200000</v>
      </c>
      <c r="K92" s="9">
        <f>+K91+Table2345356[[#This Row],[AMOUNT]]-Table2345356[[#This Row],[AMOUNT2]]-Table2345356[[#This Row],[AMOUNT3]]</f>
        <v>-367614</v>
      </c>
    </row>
    <row r="93" spans="1:11" hidden="1" x14ac:dyDescent="0.35">
      <c r="A93" s="30">
        <v>46149</v>
      </c>
      <c r="B93" s="30"/>
      <c r="C93" s="7"/>
      <c r="D93" s="20"/>
      <c r="E93" s="25" t="s">
        <v>47</v>
      </c>
      <c r="F93" s="25" t="s">
        <v>312</v>
      </c>
      <c r="G93" s="19" t="s">
        <v>365</v>
      </c>
      <c r="H93" s="21">
        <v>20000</v>
      </c>
      <c r="I93" s="9" t="s">
        <v>46</v>
      </c>
      <c r="J93" s="42">
        <v>8300</v>
      </c>
      <c r="K93" s="9">
        <f>+K92+Table2345356[[#This Row],[AMOUNT]]-Table2345356[[#This Row],[AMOUNT2]]-Table2345356[[#This Row],[AMOUNT3]]</f>
        <v>-395914</v>
      </c>
    </row>
    <row r="94" spans="1:11" hidden="1" x14ac:dyDescent="0.35">
      <c r="A94" s="30">
        <v>46149</v>
      </c>
      <c r="B94" s="30"/>
      <c r="C94" s="25" t="s">
        <v>50</v>
      </c>
      <c r="D94" s="20">
        <v>20000</v>
      </c>
      <c r="E94" s="25"/>
      <c r="F94" s="25"/>
      <c r="G94" s="19"/>
      <c r="H94" s="21"/>
      <c r="I94" s="19" t="s">
        <v>51</v>
      </c>
      <c r="J94" s="42">
        <v>20000</v>
      </c>
      <c r="K94" s="9">
        <f>+K93+Table2345356[[#This Row],[AMOUNT]]-Table2345356[[#This Row],[AMOUNT2]]-Table2345356[[#This Row],[AMOUNT3]]</f>
        <v>-395914</v>
      </c>
    </row>
    <row r="95" spans="1:11" hidden="1" x14ac:dyDescent="0.35">
      <c r="A95" s="30">
        <v>46150</v>
      </c>
      <c r="B95" s="30"/>
      <c r="C95" s="7" t="s">
        <v>449</v>
      </c>
      <c r="D95" s="20">
        <v>60000</v>
      </c>
      <c r="E95" s="25"/>
      <c r="F95" s="25"/>
      <c r="G95" s="19"/>
      <c r="H95" s="21"/>
      <c r="I95" s="9" t="s">
        <v>46</v>
      </c>
      <c r="J95" s="42">
        <v>22000</v>
      </c>
      <c r="K95" s="9">
        <f>+K94+Table2345356[[#This Row],[AMOUNT]]-Table2345356[[#This Row],[AMOUNT2]]-Table2345356[[#This Row],[AMOUNT3]]</f>
        <v>-357914</v>
      </c>
    </row>
    <row r="96" spans="1:11" hidden="1" x14ac:dyDescent="0.35">
      <c r="A96" s="30">
        <v>46151</v>
      </c>
      <c r="B96" s="30"/>
      <c r="C96" s="7"/>
      <c r="D96" s="20"/>
      <c r="E96" s="25" t="s">
        <v>343</v>
      </c>
      <c r="F96" s="25" t="s">
        <v>49</v>
      </c>
      <c r="G96" s="19" t="s">
        <v>73</v>
      </c>
      <c r="H96" s="21">
        <v>2000</v>
      </c>
      <c r="I96" s="9" t="s">
        <v>46</v>
      </c>
      <c r="J96" s="42">
        <v>5000</v>
      </c>
      <c r="K96" s="9">
        <f>+K95+Table2345356[[#This Row],[AMOUNT]]-Table2345356[[#This Row],[AMOUNT2]]-Table2345356[[#This Row],[AMOUNT3]]</f>
        <v>-364914</v>
      </c>
    </row>
    <row r="97" spans="1:11" hidden="1" x14ac:dyDescent="0.35">
      <c r="A97" s="30">
        <v>46151</v>
      </c>
      <c r="B97" s="30"/>
      <c r="C97" s="25" t="s">
        <v>50</v>
      </c>
      <c r="D97" s="20">
        <v>20000</v>
      </c>
      <c r="E97" s="25"/>
      <c r="F97" s="25"/>
      <c r="G97" s="19"/>
      <c r="H97" s="21"/>
      <c r="I97" s="19" t="s">
        <v>51</v>
      </c>
      <c r="J97" s="42">
        <v>20000</v>
      </c>
      <c r="K97" s="9">
        <f>+K96+Table2345356[[#This Row],[AMOUNT]]-Table2345356[[#This Row],[AMOUNT2]]-Table2345356[[#This Row],[AMOUNT3]]</f>
        <v>-364914</v>
      </c>
    </row>
    <row r="98" spans="1:11" hidden="1" x14ac:dyDescent="0.35">
      <c r="A98" s="30">
        <v>46152</v>
      </c>
      <c r="B98" s="30"/>
      <c r="C98" s="7"/>
      <c r="D98" s="20"/>
      <c r="E98" s="25"/>
      <c r="F98" s="25"/>
      <c r="G98" s="19"/>
      <c r="H98" s="21"/>
      <c r="I98" s="9" t="s">
        <v>46</v>
      </c>
      <c r="J98" s="42">
        <v>1740</v>
      </c>
      <c r="K98" s="9">
        <f>+K97+Table2345356[[#This Row],[AMOUNT]]-Table2345356[[#This Row],[AMOUNT2]]-Table2345356[[#This Row],[AMOUNT3]]</f>
        <v>-366654</v>
      </c>
    </row>
    <row r="99" spans="1:11" hidden="1" x14ac:dyDescent="0.35">
      <c r="A99" s="30">
        <v>46153</v>
      </c>
      <c r="B99" s="30"/>
      <c r="C99" s="7" t="s">
        <v>449</v>
      </c>
      <c r="D99" s="20">
        <v>80000</v>
      </c>
      <c r="E99" s="25" t="s">
        <v>102</v>
      </c>
      <c r="F99" s="25" t="s">
        <v>367</v>
      </c>
      <c r="G99" s="19" t="s">
        <v>437</v>
      </c>
      <c r="H99" s="21">
        <v>5000</v>
      </c>
      <c r="I99" s="9" t="s">
        <v>46</v>
      </c>
      <c r="J99" s="42">
        <v>15600</v>
      </c>
      <c r="K99" s="9">
        <f>+K98+Table2345356[[#This Row],[AMOUNT]]-Table2345356[[#This Row],[AMOUNT2]]-Table2345356[[#This Row],[AMOUNT3]]</f>
        <v>-307254</v>
      </c>
    </row>
    <row r="100" spans="1:11" hidden="1" x14ac:dyDescent="0.35">
      <c r="A100" s="30">
        <v>46153</v>
      </c>
      <c r="B100" s="30"/>
      <c r="C100" s="25"/>
      <c r="D100" s="20"/>
      <c r="E100" s="25"/>
      <c r="F100" s="25"/>
      <c r="G100" s="19"/>
      <c r="H100" s="21"/>
      <c r="I100" s="19" t="s">
        <v>438</v>
      </c>
      <c r="J100" s="20">
        <v>8000</v>
      </c>
      <c r="K100" s="9">
        <f>+K99+Table2345356[[#This Row],[AMOUNT]]-Table2345356[[#This Row],[AMOUNT2]]-Table2345356[[#This Row],[AMOUNT3]]</f>
        <v>-315254</v>
      </c>
    </row>
    <row r="101" spans="1:11" hidden="1" x14ac:dyDescent="0.35">
      <c r="A101" s="30">
        <v>46154</v>
      </c>
      <c r="B101" s="30"/>
      <c r="C101" s="7" t="s">
        <v>449</v>
      </c>
      <c r="D101" s="20">
        <v>50000</v>
      </c>
      <c r="E101" s="25" t="s">
        <v>47</v>
      </c>
      <c r="F101" s="25" t="s">
        <v>1</v>
      </c>
      <c r="G101" s="19" t="s">
        <v>52</v>
      </c>
      <c r="H101" s="21">
        <v>2500</v>
      </c>
      <c r="I101" s="9" t="s">
        <v>46</v>
      </c>
      <c r="J101" s="42">
        <v>3000</v>
      </c>
      <c r="K101" s="9">
        <f>+K100+Table2345356[[#This Row],[AMOUNT]]-Table2345356[[#This Row],[AMOUNT2]]-Table2345356[[#This Row],[AMOUNT3]]</f>
        <v>-270754</v>
      </c>
    </row>
    <row r="102" spans="1:11" hidden="1" x14ac:dyDescent="0.35">
      <c r="A102" s="30">
        <v>46154</v>
      </c>
      <c r="B102" s="30"/>
      <c r="C102" s="25"/>
      <c r="D102" s="20"/>
      <c r="E102" s="25" t="s">
        <v>47</v>
      </c>
      <c r="F102" s="25" t="s">
        <v>312</v>
      </c>
      <c r="G102" s="19" t="s">
        <v>365</v>
      </c>
      <c r="H102" s="21">
        <v>8000</v>
      </c>
      <c r="I102" s="19"/>
      <c r="J102" s="20"/>
      <c r="K102" s="9">
        <f>+K101+Table2345356[[#This Row],[AMOUNT]]-Table2345356[[#This Row],[AMOUNT2]]-Table2345356[[#This Row],[AMOUNT3]]</f>
        <v>-278754</v>
      </c>
    </row>
    <row r="103" spans="1:11" hidden="1" x14ac:dyDescent="0.35">
      <c r="A103" s="30">
        <v>46154</v>
      </c>
      <c r="B103" s="30"/>
      <c r="C103" s="25"/>
      <c r="D103" s="20"/>
      <c r="E103" s="25" t="s">
        <v>47</v>
      </c>
      <c r="F103" s="25" t="s">
        <v>43</v>
      </c>
      <c r="G103" s="19" t="s">
        <v>439</v>
      </c>
      <c r="H103" s="21">
        <v>7500</v>
      </c>
      <c r="I103" s="19"/>
      <c r="J103" s="20"/>
      <c r="K103" s="9">
        <f>+K102+Table2345356[[#This Row],[AMOUNT]]-Table2345356[[#This Row],[AMOUNT2]]-Table2345356[[#This Row],[AMOUNT3]]</f>
        <v>-286254</v>
      </c>
    </row>
    <row r="104" spans="1:11" hidden="1" x14ac:dyDescent="0.35">
      <c r="A104" s="30">
        <v>46154</v>
      </c>
      <c r="B104" s="30"/>
      <c r="C104" s="25"/>
      <c r="D104" s="20"/>
      <c r="E104" s="25" t="s">
        <v>355</v>
      </c>
      <c r="F104" s="25" t="s">
        <v>40</v>
      </c>
      <c r="G104" s="19" t="s">
        <v>345</v>
      </c>
      <c r="H104" s="21">
        <v>794</v>
      </c>
      <c r="I104" s="19"/>
      <c r="J104" s="20"/>
      <c r="K104" s="9">
        <f>+K103+Table2345356[[#This Row],[AMOUNT]]-Table2345356[[#This Row],[AMOUNT2]]-Table2345356[[#This Row],[AMOUNT3]]</f>
        <v>-287048</v>
      </c>
    </row>
    <row r="105" spans="1:11" hidden="1" x14ac:dyDescent="0.35">
      <c r="A105" s="30">
        <v>46155</v>
      </c>
      <c r="B105" s="30"/>
      <c r="C105" s="7"/>
      <c r="D105" s="20"/>
      <c r="E105" s="25" t="s">
        <v>355</v>
      </c>
      <c r="F105" s="25" t="s">
        <v>40</v>
      </c>
      <c r="G105" s="19" t="s">
        <v>345</v>
      </c>
      <c r="H105" s="21">
        <v>750</v>
      </c>
      <c r="I105" s="19" t="s">
        <v>364</v>
      </c>
      <c r="J105" s="42">
        <v>36000</v>
      </c>
      <c r="K105" s="9">
        <f>+K104+Table2345356[[#This Row],[AMOUNT]]-Table2345356[[#This Row],[AMOUNT2]]-Table2345356[[#This Row],[AMOUNT3]]</f>
        <v>-323798</v>
      </c>
    </row>
    <row r="106" spans="1:11" hidden="1" x14ac:dyDescent="0.35">
      <c r="A106" s="30">
        <v>46155</v>
      </c>
      <c r="B106" s="30"/>
      <c r="C106" s="7"/>
      <c r="D106" s="20"/>
      <c r="E106" s="25"/>
      <c r="F106" s="25"/>
      <c r="G106" s="19"/>
      <c r="H106" s="21"/>
      <c r="I106" s="9" t="s">
        <v>46</v>
      </c>
      <c r="J106" s="42">
        <v>7000</v>
      </c>
      <c r="K106" s="9">
        <f>+K105+Table2345356[[#This Row],[AMOUNT]]-Table2345356[[#This Row],[AMOUNT2]]-Table2345356[[#This Row],[AMOUNT3]]</f>
        <v>-330798</v>
      </c>
    </row>
    <row r="107" spans="1:11" hidden="1" x14ac:dyDescent="0.35">
      <c r="A107" s="30">
        <v>46156</v>
      </c>
      <c r="B107" s="30"/>
      <c r="C107" s="7"/>
      <c r="D107" s="20"/>
      <c r="E107" s="25"/>
      <c r="F107" s="25"/>
      <c r="G107" s="19"/>
      <c r="H107" s="21"/>
      <c r="I107" s="19" t="s">
        <v>364</v>
      </c>
      <c r="J107" s="42">
        <v>38000</v>
      </c>
      <c r="K107" s="9">
        <f>+K106+Table2345356[[#This Row],[AMOUNT]]-Table2345356[[#This Row],[AMOUNT2]]-Table2345356[[#This Row],[AMOUNT3]]</f>
        <v>-368798</v>
      </c>
    </row>
    <row r="108" spans="1:11" hidden="1" x14ac:dyDescent="0.35">
      <c r="A108" s="30">
        <v>46156</v>
      </c>
      <c r="B108" s="30"/>
      <c r="C108" s="25" t="s">
        <v>440</v>
      </c>
      <c r="D108" s="20">
        <v>38000</v>
      </c>
      <c r="E108" s="25" t="s">
        <v>47</v>
      </c>
      <c r="F108" s="25" t="s">
        <v>1</v>
      </c>
      <c r="G108" s="19" t="s">
        <v>52</v>
      </c>
      <c r="H108" s="21">
        <v>1000</v>
      </c>
      <c r="I108" s="19"/>
      <c r="J108" s="20"/>
      <c r="K108" s="9">
        <f>+K107+Table2345356[[#This Row],[AMOUNT]]-Table2345356[[#This Row],[AMOUNT2]]-Table2345356[[#This Row],[AMOUNT3]]</f>
        <v>-331798</v>
      </c>
    </row>
    <row r="109" spans="1:11" hidden="1" x14ac:dyDescent="0.35">
      <c r="A109" s="30">
        <v>46156</v>
      </c>
      <c r="B109" s="30"/>
      <c r="C109" s="25"/>
      <c r="D109" s="20"/>
      <c r="E109" s="7" t="s">
        <v>49</v>
      </c>
      <c r="F109" s="25" t="s">
        <v>49</v>
      </c>
      <c r="G109" s="19" t="s">
        <v>441</v>
      </c>
      <c r="H109" s="21">
        <v>10000</v>
      </c>
      <c r="I109" s="19"/>
      <c r="J109" s="20"/>
      <c r="K109" s="9">
        <f>+K108+Table2345356[[#This Row],[AMOUNT]]-Table2345356[[#This Row],[AMOUNT2]]-Table2345356[[#This Row],[AMOUNT3]]</f>
        <v>-341798</v>
      </c>
    </row>
    <row r="110" spans="1:11" hidden="1" x14ac:dyDescent="0.35">
      <c r="A110" s="30">
        <v>46156</v>
      </c>
      <c r="B110" s="30"/>
      <c r="C110" s="25"/>
      <c r="D110" s="20"/>
      <c r="E110" s="25" t="s">
        <v>355</v>
      </c>
      <c r="F110" s="25" t="s">
        <v>43</v>
      </c>
      <c r="G110" s="19" t="s">
        <v>442</v>
      </c>
      <c r="H110" s="21">
        <v>7000</v>
      </c>
      <c r="I110" s="19"/>
      <c r="J110" s="20"/>
      <c r="K110" s="9">
        <f>+K109+Table2345356[[#This Row],[AMOUNT]]-Table2345356[[#This Row],[AMOUNT2]]-Table2345356[[#This Row],[AMOUNT3]]</f>
        <v>-348798</v>
      </c>
    </row>
    <row r="111" spans="1:11" hidden="1" x14ac:dyDescent="0.35">
      <c r="A111" s="30">
        <v>46157</v>
      </c>
      <c r="B111" s="30"/>
      <c r="C111" s="7"/>
      <c r="D111" s="20"/>
      <c r="E111" s="25" t="s">
        <v>355</v>
      </c>
      <c r="F111" s="25" t="s">
        <v>43</v>
      </c>
      <c r="G111" s="19" t="s">
        <v>442</v>
      </c>
      <c r="H111" s="21">
        <v>8000</v>
      </c>
      <c r="I111" s="9" t="s">
        <v>46</v>
      </c>
      <c r="J111" s="42">
        <v>16800</v>
      </c>
      <c r="K111" s="9">
        <f>+K110+Table2345356[[#This Row],[AMOUNT]]-Table2345356[[#This Row],[AMOUNT2]]-Table2345356[[#This Row],[AMOUNT3]]</f>
        <v>-373598</v>
      </c>
    </row>
    <row r="112" spans="1:11" hidden="1" x14ac:dyDescent="0.35">
      <c r="A112" s="30">
        <v>46158</v>
      </c>
      <c r="B112" s="30"/>
      <c r="C112" s="7"/>
      <c r="D112" s="20"/>
      <c r="E112" s="25" t="s">
        <v>47</v>
      </c>
      <c r="F112" s="25" t="s">
        <v>43</v>
      </c>
      <c r="G112" s="19" t="s">
        <v>443</v>
      </c>
      <c r="H112" s="21">
        <v>300</v>
      </c>
      <c r="I112" s="9" t="s">
        <v>46</v>
      </c>
      <c r="J112" s="42">
        <v>2000</v>
      </c>
      <c r="K112" s="9">
        <f>+K111+Table2345356[[#This Row],[AMOUNT]]-Table2345356[[#This Row],[AMOUNT2]]-Table2345356[[#This Row],[AMOUNT3]]</f>
        <v>-375898</v>
      </c>
    </row>
    <row r="113" spans="1:11" hidden="1" x14ac:dyDescent="0.35">
      <c r="A113" s="30">
        <v>46159</v>
      </c>
      <c r="B113" s="30"/>
      <c r="C113" s="25"/>
      <c r="D113" s="20"/>
      <c r="E113" s="25" t="s">
        <v>47</v>
      </c>
      <c r="F113" s="25" t="s">
        <v>1</v>
      </c>
      <c r="G113" s="19" t="s">
        <v>356</v>
      </c>
      <c r="H113" s="21">
        <v>3500</v>
      </c>
      <c r="I113" s="19"/>
      <c r="J113" s="20"/>
      <c r="K113" s="9">
        <f>+K112+Table2345356[[#This Row],[AMOUNT]]-Table2345356[[#This Row],[AMOUNT2]]-Table2345356[[#This Row],[AMOUNT3]]</f>
        <v>-379398</v>
      </c>
    </row>
    <row r="114" spans="1:11" hidden="1" x14ac:dyDescent="0.35">
      <c r="A114" s="30">
        <v>46159</v>
      </c>
      <c r="B114" s="30"/>
      <c r="C114" s="25"/>
      <c r="D114" s="20"/>
      <c r="E114" s="25" t="s">
        <v>47</v>
      </c>
      <c r="F114" s="25" t="s">
        <v>312</v>
      </c>
      <c r="G114" s="19" t="s">
        <v>444</v>
      </c>
      <c r="H114" s="21">
        <v>2700</v>
      </c>
      <c r="I114" s="19"/>
      <c r="J114" s="20"/>
      <c r="K114" s="9">
        <f>+K113+Table2345356[[#This Row],[AMOUNT]]-Table2345356[[#This Row],[AMOUNT2]]-Table2345356[[#This Row],[AMOUNT3]]</f>
        <v>-382098</v>
      </c>
    </row>
    <row r="115" spans="1:11" hidden="1" x14ac:dyDescent="0.35">
      <c r="A115" s="30">
        <v>46160</v>
      </c>
      <c r="B115" s="30"/>
      <c r="C115" s="7"/>
      <c r="D115" s="20"/>
      <c r="E115" s="7" t="s">
        <v>49</v>
      </c>
      <c r="F115" s="25" t="s">
        <v>49</v>
      </c>
      <c r="G115" s="19" t="s">
        <v>445</v>
      </c>
      <c r="H115" s="21">
        <v>30000</v>
      </c>
      <c r="I115" s="19"/>
      <c r="J115" s="20"/>
      <c r="K115" s="9">
        <f>+K114+Table2345356[[#This Row],[AMOUNT]]-Table2345356[[#This Row],[AMOUNT2]]-Table2345356[[#This Row],[AMOUNT3]]</f>
        <v>-412098</v>
      </c>
    </row>
    <row r="116" spans="1:11" x14ac:dyDescent="0.35">
      <c r="A116" s="30">
        <v>46160</v>
      </c>
      <c r="B116" s="30"/>
      <c r="C116" s="25"/>
      <c r="D116" s="20"/>
      <c r="E116" s="25" t="s">
        <v>61</v>
      </c>
      <c r="F116" s="25" t="s">
        <v>85</v>
      </c>
      <c r="G116" s="19" t="s">
        <v>446</v>
      </c>
      <c r="H116" s="21">
        <v>5000</v>
      </c>
      <c r="I116" s="19"/>
      <c r="J116" s="20"/>
      <c r="K116" s="9">
        <f>+K115+Table2345356[[#This Row],[AMOUNT]]-Table2345356[[#This Row],[AMOUNT2]]-Table2345356[[#This Row],[AMOUNT3]]</f>
        <v>-417098</v>
      </c>
    </row>
    <row r="117" spans="1:11" hidden="1" x14ac:dyDescent="0.35">
      <c r="A117" s="30">
        <v>46160</v>
      </c>
      <c r="B117" s="30"/>
      <c r="C117" s="25"/>
      <c r="D117" s="20"/>
      <c r="E117" s="25" t="s">
        <v>47</v>
      </c>
      <c r="F117" s="25" t="s">
        <v>43</v>
      </c>
      <c r="G117" s="19" t="s">
        <v>447</v>
      </c>
      <c r="H117" s="21">
        <v>40000</v>
      </c>
      <c r="I117" s="19"/>
      <c r="J117" s="20"/>
      <c r="K117" s="9">
        <f>+K116+Table2345356[[#This Row],[AMOUNT]]-Table2345356[[#This Row],[AMOUNT2]]-Table2345356[[#This Row],[AMOUNT3]]</f>
        <v>-457098</v>
      </c>
    </row>
    <row r="118" spans="1:11" hidden="1" x14ac:dyDescent="0.35">
      <c r="A118" s="30">
        <v>46161</v>
      </c>
      <c r="B118" s="30"/>
      <c r="C118" s="25" t="s">
        <v>476</v>
      </c>
      <c r="D118" s="20">
        <v>10000</v>
      </c>
      <c r="E118" s="25" t="s">
        <v>39</v>
      </c>
      <c r="F118" s="25" t="s">
        <v>29</v>
      </c>
      <c r="G118" s="19" t="s">
        <v>361</v>
      </c>
      <c r="H118" s="69">
        <v>109</v>
      </c>
      <c r="I118" s="19"/>
      <c r="J118" s="20"/>
      <c r="K118" s="9">
        <f>+K117+Table2345356[[#This Row],[AMOUNT]]-Table2345356[[#This Row],[AMOUNT2]]-Table2345356[[#This Row],[AMOUNT3]]</f>
        <v>-447207</v>
      </c>
    </row>
    <row r="119" spans="1:11" hidden="1" x14ac:dyDescent="0.35">
      <c r="A119" s="30">
        <v>46161</v>
      </c>
      <c r="B119" s="30"/>
      <c r="C119" s="7"/>
      <c r="D119" s="20"/>
      <c r="E119" s="25" t="s">
        <v>102</v>
      </c>
      <c r="F119" s="25" t="s">
        <v>367</v>
      </c>
      <c r="G119" s="19" t="s">
        <v>437</v>
      </c>
      <c r="H119" s="21">
        <v>10000</v>
      </c>
      <c r="I119" s="19"/>
      <c r="J119" s="20"/>
      <c r="K119" s="9">
        <f>+K118+Table2345356[[#This Row],[AMOUNT]]-Table2345356[[#This Row],[AMOUNT2]]-Table2345356[[#This Row],[AMOUNT3]]</f>
        <v>-457207</v>
      </c>
    </row>
    <row r="120" spans="1:11" hidden="1" x14ac:dyDescent="0.35">
      <c r="A120" s="30">
        <v>46162</v>
      </c>
      <c r="B120" s="30"/>
      <c r="C120" s="7"/>
      <c r="D120" s="20"/>
      <c r="E120" s="7" t="s">
        <v>49</v>
      </c>
      <c r="F120" s="25" t="s">
        <v>49</v>
      </c>
      <c r="G120" s="19" t="s">
        <v>448</v>
      </c>
      <c r="H120" s="21">
        <v>2000</v>
      </c>
      <c r="I120" s="9" t="s">
        <v>46</v>
      </c>
      <c r="J120" s="42">
        <v>1000</v>
      </c>
      <c r="K120" s="9">
        <f>+K119+Table2345356[[#This Row],[AMOUNT]]-Table2345356[[#This Row],[AMOUNT2]]-Table2345356[[#This Row],[AMOUNT3]]</f>
        <v>-460207</v>
      </c>
    </row>
    <row r="121" spans="1:11" hidden="1" x14ac:dyDescent="0.35">
      <c r="A121" s="30">
        <v>46162</v>
      </c>
      <c r="B121" s="30"/>
      <c r="C121" s="25"/>
      <c r="D121" s="20"/>
      <c r="E121" s="7" t="s">
        <v>49</v>
      </c>
      <c r="F121" s="25" t="s">
        <v>49</v>
      </c>
      <c r="G121" s="19" t="s">
        <v>62</v>
      </c>
      <c r="H121" s="21">
        <v>600</v>
      </c>
      <c r="I121" s="19"/>
      <c r="J121" s="20"/>
      <c r="K121" s="9">
        <f>+K120+Table2345356[[#This Row],[AMOUNT]]-Table2345356[[#This Row],[AMOUNT2]]-Table2345356[[#This Row],[AMOUNT3]]</f>
        <v>-460807</v>
      </c>
    </row>
    <row r="122" spans="1:11" hidden="1" x14ac:dyDescent="0.35">
      <c r="A122" s="30">
        <v>46163</v>
      </c>
      <c r="B122" s="30"/>
      <c r="C122" s="7" t="s">
        <v>449</v>
      </c>
      <c r="D122" s="20">
        <v>800000</v>
      </c>
      <c r="E122" s="25" t="s">
        <v>355</v>
      </c>
      <c r="F122" s="25" t="s">
        <v>450</v>
      </c>
      <c r="G122" s="19" t="s">
        <v>532</v>
      </c>
      <c r="H122" s="21">
        <v>500000</v>
      </c>
      <c r="I122" s="19" t="s">
        <v>364</v>
      </c>
      <c r="J122" s="42">
        <v>10000</v>
      </c>
      <c r="K122" s="9">
        <f>+K121+Table2345356[[#This Row],[AMOUNT]]-Table2345356[[#This Row],[AMOUNT2]]-Table2345356[[#This Row],[AMOUNT3]]</f>
        <v>-170807</v>
      </c>
    </row>
    <row r="123" spans="1:11" hidden="1" x14ac:dyDescent="0.35">
      <c r="A123" s="30">
        <v>46163</v>
      </c>
      <c r="B123" s="30"/>
      <c r="C123" s="25" t="s">
        <v>517</v>
      </c>
      <c r="D123" s="20">
        <v>10000</v>
      </c>
      <c r="E123" s="25" t="s">
        <v>39</v>
      </c>
      <c r="F123" s="25" t="s">
        <v>20</v>
      </c>
      <c r="G123" s="19" t="s">
        <v>518</v>
      </c>
      <c r="H123" s="21">
        <v>26000</v>
      </c>
      <c r="I123" s="19" t="s">
        <v>438</v>
      </c>
      <c r="J123" s="20">
        <v>5000</v>
      </c>
      <c r="K123" s="9">
        <f>+K122+Table2345356[[#This Row],[AMOUNT]]-Table2345356[[#This Row],[AMOUNT2]]-Table2345356[[#This Row],[AMOUNT3]]</f>
        <v>-191807</v>
      </c>
    </row>
    <row r="124" spans="1:11" x14ac:dyDescent="0.35">
      <c r="A124" s="30">
        <v>46163</v>
      </c>
      <c r="B124" s="30"/>
      <c r="C124" s="25"/>
      <c r="D124" s="20"/>
      <c r="E124" s="25" t="s">
        <v>61</v>
      </c>
      <c r="F124" s="25" t="s">
        <v>85</v>
      </c>
      <c r="G124" s="19" t="s">
        <v>519</v>
      </c>
      <c r="H124" s="21">
        <v>800</v>
      </c>
      <c r="I124" s="9" t="s">
        <v>46</v>
      </c>
      <c r="J124" s="42">
        <v>5000</v>
      </c>
      <c r="K124" s="9">
        <f>+K123+Table2345356[[#This Row],[AMOUNT]]-Table2345356[[#This Row],[AMOUNT2]]-Table2345356[[#This Row],[AMOUNT3]]</f>
        <v>-197607</v>
      </c>
    </row>
    <row r="125" spans="1:11" hidden="1" x14ac:dyDescent="0.35">
      <c r="A125" s="30">
        <v>46164</v>
      </c>
      <c r="B125" s="30"/>
      <c r="C125" s="25" t="s">
        <v>517</v>
      </c>
      <c r="D125" s="20">
        <v>10000</v>
      </c>
      <c r="E125" s="7" t="s">
        <v>49</v>
      </c>
      <c r="F125" s="25" t="s">
        <v>49</v>
      </c>
      <c r="G125" s="19" t="s">
        <v>441</v>
      </c>
      <c r="H125" s="21">
        <v>10000</v>
      </c>
      <c r="I125" s="19"/>
      <c r="J125" s="20"/>
      <c r="K125" s="9">
        <f>+K124+Table2345356[[#This Row],[AMOUNT]]-Table2345356[[#This Row],[AMOUNT2]]-Table2345356[[#This Row],[AMOUNT3]]</f>
        <v>-197607</v>
      </c>
    </row>
    <row r="126" spans="1:11" hidden="1" x14ac:dyDescent="0.35">
      <c r="A126" s="30">
        <v>46164</v>
      </c>
      <c r="B126" s="30"/>
      <c r="C126" s="7" t="s">
        <v>449</v>
      </c>
      <c r="D126" s="20">
        <v>810000</v>
      </c>
      <c r="E126" s="25" t="s">
        <v>355</v>
      </c>
      <c r="F126" s="25" t="s">
        <v>450</v>
      </c>
      <c r="G126" s="19" t="s">
        <v>532</v>
      </c>
      <c r="H126" s="21">
        <v>175000</v>
      </c>
      <c r="I126" s="19"/>
      <c r="J126" s="20"/>
      <c r="K126" s="9">
        <f>+K125+Table2345356[[#This Row],[AMOUNT]]-Table2345356[[#This Row],[AMOUNT2]]-Table2345356[[#This Row],[AMOUNT3]]</f>
        <v>437393</v>
      </c>
    </row>
    <row r="127" spans="1:11" x14ac:dyDescent="0.35">
      <c r="A127" s="30">
        <v>46164</v>
      </c>
      <c r="B127" s="30"/>
      <c r="C127" s="25"/>
      <c r="D127" s="20"/>
      <c r="E127" s="25" t="s">
        <v>61</v>
      </c>
      <c r="F127" s="25" t="s">
        <v>85</v>
      </c>
      <c r="G127" s="19" t="s">
        <v>520</v>
      </c>
      <c r="H127" s="21">
        <v>16700</v>
      </c>
      <c r="I127" s="19"/>
      <c r="J127" s="20"/>
      <c r="K127" s="9">
        <f>+K126+Table2345356[[#This Row],[AMOUNT]]-Table2345356[[#This Row],[AMOUNT2]]-Table2345356[[#This Row],[AMOUNT3]]</f>
        <v>420693</v>
      </c>
    </row>
    <row r="128" spans="1:11" hidden="1" x14ac:dyDescent="0.35">
      <c r="A128" s="30">
        <v>46164</v>
      </c>
      <c r="B128" s="30"/>
      <c r="C128" s="7"/>
      <c r="D128" s="8"/>
      <c r="E128" s="7" t="s">
        <v>47</v>
      </c>
      <c r="F128" s="7" t="s">
        <v>40</v>
      </c>
      <c r="G128" s="9" t="s">
        <v>521</v>
      </c>
      <c r="H128" s="13">
        <v>542</v>
      </c>
      <c r="I128" s="9"/>
      <c r="J128" s="8"/>
      <c r="K128" s="9">
        <f>+K127+Table2345356[[#This Row],[AMOUNT]]-Table2345356[[#This Row],[AMOUNT2]]-Table2345356[[#This Row],[AMOUNT3]]</f>
        <v>420151</v>
      </c>
    </row>
    <row r="129" spans="1:11" hidden="1" x14ac:dyDescent="0.35">
      <c r="A129" s="30">
        <v>46164</v>
      </c>
      <c r="B129" s="30"/>
      <c r="C129" s="25"/>
      <c r="D129" s="8"/>
      <c r="E129" s="25" t="s">
        <v>533</v>
      </c>
      <c r="F129" s="25" t="s">
        <v>533</v>
      </c>
      <c r="G129" s="19" t="s">
        <v>534</v>
      </c>
      <c r="H129" s="13">
        <v>810000</v>
      </c>
      <c r="I129" s="9"/>
      <c r="J129" s="8"/>
      <c r="K129" s="9">
        <f>+K128+Table2345356[[#This Row],[AMOUNT]]-Table2345356[[#This Row],[AMOUNT2]]-Table2345356[[#This Row],[AMOUNT3]]</f>
        <v>-389849</v>
      </c>
    </row>
    <row r="130" spans="1:11" hidden="1" x14ac:dyDescent="0.35">
      <c r="A130" s="64">
        <v>46165</v>
      </c>
      <c r="B130" s="30"/>
      <c r="C130" s="25" t="s">
        <v>522</v>
      </c>
      <c r="D130" s="8">
        <v>5000</v>
      </c>
      <c r="E130" s="7" t="s">
        <v>49</v>
      </c>
      <c r="F130" s="7" t="s">
        <v>49</v>
      </c>
      <c r="G130" s="9" t="s">
        <v>385</v>
      </c>
      <c r="H130" s="13">
        <v>8000</v>
      </c>
      <c r="I130" s="9" t="s">
        <v>364</v>
      </c>
      <c r="J130" s="35">
        <v>5000</v>
      </c>
      <c r="K130" s="9">
        <f>+K129+Table2345356[[#This Row],[AMOUNT]]-Table2345356[[#This Row],[AMOUNT2]]-Table2345356[[#This Row],[AMOUNT3]]</f>
        <v>-397849</v>
      </c>
    </row>
    <row r="131" spans="1:11" hidden="1" x14ac:dyDescent="0.35">
      <c r="A131" s="64">
        <v>46165</v>
      </c>
      <c r="B131" s="64"/>
      <c r="C131" s="7"/>
      <c r="D131" s="8"/>
      <c r="E131" s="7"/>
      <c r="F131" s="7"/>
      <c r="G131" s="9"/>
      <c r="H131" s="13"/>
      <c r="I131" s="9" t="s">
        <v>46</v>
      </c>
      <c r="J131" s="35">
        <v>5720</v>
      </c>
      <c r="K131" s="9">
        <f>+K130+Table2345356[[#This Row],[AMOUNT]]-Table2345356[[#This Row],[AMOUNT2]]-Table2345356[[#This Row],[AMOUNT3]]</f>
        <v>-403569</v>
      </c>
    </row>
    <row r="132" spans="1:11" hidden="1" x14ac:dyDescent="0.35">
      <c r="A132" s="64">
        <v>46166</v>
      </c>
      <c r="B132" s="64"/>
      <c r="C132" s="7"/>
      <c r="D132" s="8"/>
      <c r="E132" s="7"/>
      <c r="F132" s="7"/>
      <c r="G132" s="9"/>
      <c r="H132" s="13"/>
      <c r="I132" s="9" t="s">
        <v>98</v>
      </c>
      <c r="J132" s="35">
        <v>150000</v>
      </c>
      <c r="K132" s="9">
        <f>+K131+Table2345356[[#This Row],[AMOUNT]]-Table2345356[[#This Row],[AMOUNT2]]-Table2345356[[#This Row],[AMOUNT3]]</f>
        <v>-553569</v>
      </c>
    </row>
    <row r="133" spans="1:11" hidden="1" x14ac:dyDescent="0.35">
      <c r="A133" s="64">
        <v>46167</v>
      </c>
      <c r="B133" s="64"/>
      <c r="C133" s="7"/>
      <c r="D133" s="8"/>
      <c r="E133" s="7"/>
      <c r="F133" s="7"/>
      <c r="G133" s="9"/>
      <c r="H133" s="13"/>
      <c r="I133" s="9" t="s">
        <v>438</v>
      </c>
      <c r="J133" s="8">
        <v>2500</v>
      </c>
      <c r="K133" s="9">
        <f>+K132+Table2345356[[#This Row],[AMOUNT]]-Table2345356[[#This Row],[AMOUNT2]]-Table2345356[[#This Row],[AMOUNT3]]</f>
        <v>-556069</v>
      </c>
    </row>
    <row r="134" spans="1:11" hidden="1" x14ac:dyDescent="0.35">
      <c r="A134" s="64">
        <v>46167</v>
      </c>
      <c r="B134" s="64"/>
      <c r="C134" s="7"/>
      <c r="D134" s="8"/>
      <c r="E134" s="7"/>
      <c r="F134" s="7"/>
      <c r="G134" s="9"/>
      <c r="H134" s="13"/>
      <c r="I134" s="9" t="s">
        <v>46</v>
      </c>
      <c r="J134" s="35">
        <v>7100</v>
      </c>
      <c r="K134" s="9">
        <f>+K133+Table2345356[[#This Row],[AMOUNT]]-Table2345356[[#This Row],[AMOUNT2]]-Table2345356[[#This Row],[AMOUNT3]]</f>
        <v>-563169</v>
      </c>
    </row>
    <row r="135" spans="1:11" hidden="1" x14ac:dyDescent="0.35">
      <c r="A135" s="64">
        <v>46168</v>
      </c>
      <c r="B135" s="64"/>
      <c r="C135" s="7"/>
      <c r="D135" s="8"/>
      <c r="E135" s="7" t="s">
        <v>47</v>
      </c>
      <c r="F135" s="7" t="s">
        <v>1</v>
      </c>
      <c r="G135" s="9" t="s">
        <v>356</v>
      </c>
      <c r="H135" s="13">
        <v>3000</v>
      </c>
      <c r="I135" s="9" t="s">
        <v>46</v>
      </c>
      <c r="J135" s="35">
        <v>9920</v>
      </c>
      <c r="K135" s="9">
        <f>+K134+Table2345356[[#This Row],[AMOUNT]]-Table2345356[[#This Row],[AMOUNT2]]-Table2345356[[#This Row],[AMOUNT3]]</f>
        <v>-576089</v>
      </c>
    </row>
    <row r="136" spans="1:11" hidden="1" x14ac:dyDescent="0.35">
      <c r="A136" s="64">
        <v>46168</v>
      </c>
      <c r="B136" s="64"/>
      <c r="C136" s="7"/>
      <c r="D136" s="8"/>
      <c r="E136" s="7" t="s">
        <v>39</v>
      </c>
      <c r="F136" s="7" t="s">
        <v>38</v>
      </c>
      <c r="G136" s="9" t="s">
        <v>523</v>
      </c>
      <c r="H136" s="13">
        <v>2000</v>
      </c>
      <c r="I136" s="9"/>
      <c r="J136" s="8"/>
      <c r="K136" s="9">
        <f>+K135+Table2345356[[#This Row],[AMOUNT]]-Table2345356[[#This Row],[AMOUNT2]]-Table2345356[[#This Row],[AMOUNT3]]</f>
        <v>-578089</v>
      </c>
    </row>
    <row r="137" spans="1:11" hidden="1" x14ac:dyDescent="0.35">
      <c r="A137" s="64">
        <v>46168</v>
      </c>
      <c r="B137" s="64"/>
      <c r="C137" s="7"/>
      <c r="D137" s="8"/>
      <c r="E137" s="7" t="s">
        <v>47</v>
      </c>
      <c r="F137" s="7" t="s">
        <v>40</v>
      </c>
      <c r="G137" s="9" t="s">
        <v>345</v>
      </c>
      <c r="H137" s="13">
        <v>500</v>
      </c>
      <c r="I137" s="9"/>
      <c r="J137" s="8"/>
      <c r="K137" s="9">
        <f>+K136+Table2345356[[#This Row],[AMOUNT]]-Table2345356[[#This Row],[AMOUNT2]]-Table2345356[[#This Row],[AMOUNT3]]</f>
        <v>-578589</v>
      </c>
    </row>
    <row r="138" spans="1:11" x14ac:dyDescent="0.35">
      <c r="A138" s="64">
        <v>46169</v>
      </c>
      <c r="B138" s="64"/>
      <c r="C138" s="7"/>
      <c r="D138" s="8"/>
      <c r="E138" s="7" t="s">
        <v>61</v>
      </c>
      <c r="F138" s="7" t="s">
        <v>85</v>
      </c>
      <c r="G138" s="9" t="s">
        <v>524</v>
      </c>
      <c r="H138" s="13">
        <v>1000</v>
      </c>
      <c r="I138" s="9"/>
      <c r="J138" s="8"/>
      <c r="K138" s="9">
        <f>+K137+Table2345356[[#This Row],[AMOUNT]]-Table2345356[[#This Row],[AMOUNT2]]-Table2345356[[#This Row],[AMOUNT3]]</f>
        <v>-579589</v>
      </c>
    </row>
    <row r="139" spans="1:11" hidden="1" x14ac:dyDescent="0.35">
      <c r="A139" s="64">
        <v>46169</v>
      </c>
      <c r="B139" s="64"/>
      <c r="C139" s="7"/>
      <c r="D139" s="8"/>
      <c r="E139" s="7" t="s">
        <v>102</v>
      </c>
      <c r="F139" s="7" t="s">
        <v>367</v>
      </c>
      <c r="G139" s="9" t="s">
        <v>525</v>
      </c>
      <c r="H139" s="13">
        <v>4000</v>
      </c>
      <c r="I139" s="9"/>
      <c r="J139" s="8"/>
      <c r="K139" s="9">
        <f>+K138+Table2345356[[#This Row],[AMOUNT]]-Table2345356[[#This Row],[AMOUNT2]]-Table2345356[[#This Row],[AMOUNT3]]</f>
        <v>-583589</v>
      </c>
    </row>
    <row r="140" spans="1:11" hidden="1" x14ac:dyDescent="0.35">
      <c r="A140" s="64">
        <v>46170</v>
      </c>
      <c r="B140" s="64"/>
      <c r="C140" s="7"/>
      <c r="D140" s="8"/>
      <c r="E140" s="7" t="s">
        <v>49</v>
      </c>
      <c r="F140" s="7" t="s">
        <v>49</v>
      </c>
      <c r="G140" s="9" t="s">
        <v>379</v>
      </c>
      <c r="H140" s="13">
        <v>2455</v>
      </c>
      <c r="I140" s="9"/>
      <c r="J140" s="8"/>
      <c r="K140" s="9">
        <f>+K139+Table2345356[[#This Row],[AMOUNT]]-Table2345356[[#This Row],[AMOUNT2]]-Table2345356[[#This Row],[AMOUNT3]]</f>
        <v>-586044</v>
      </c>
    </row>
    <row r="141" spans="1:11" hidden="1" x14ac:dyDescent="0.35">
      <c r="A141" s="64">
        <v>46170</v>
      </c>
      <c r="B141" s="64"/>
      <c r="C141" s="7"/>
      <c r="D141" s="8"/>
      <c r="E141" s="7" t="s">
        <v>47</v>
      </c>
      <c r="F141" s="7" t="s">
        <v>1</v>
      </c>
      <c r="G141" s="9" t="s">
        <v>356</v>
      </c>
      <c r="H141" s="13">
        <v>2000</v>
      </c>
      <c r="I141" s="9"/>
      <c r="J141" s="8"/>
      <c r="K141" s="9">
        <f>+K140+Table2345356[[#This Row],[AMOUNT]]-Table2345356[[#This Row],[AMOUNT2]]-Table2345356[[#This Row],[AMOUNT3]]</f>
        <v>-588044</v>
      </c>
    </row>
    <row r="142" spans="1:11" hidden="1" x14ac:dyDescent="0.35">
      <c r="A142" s="64">
        <v>46171</v>
      </c>
      <c r="B142" s="64"/>
      <c r="C142" s="7" t="s">
        <v>50</v>
      </c>
      <c r="D142" s="8">
        <v>10000</v>
      </c>
      <c r="E142" s="7" t="s">
        <v>49</v>
      </c>
      <c r="F142" s="7" t="s">
        <v>49</v>
      </c>
      <c r="G142" s="9" t="s">
        <v>526</v>
      </c>
      <c r="H142" s="13">
        <v>4000</v>
      </c>
      <c r="I142" s="9" t="s">
        <v>46</v>
      </c>
      <c r="J142" s="35">
        <v>2000</v>
      </c>
      <c r="K142" s="9">
        <f>+K141+Table2345356[[#This Row],[AMOUNT]]-Table2345356[[#This Row],[AMOUNT2]]-Table2345356[[#This Row],[AMOUNT3]]</f>
        <v>-584044</v>
      </c>
    </row>
    <row r="143" spans="1:11" hidden="1" x14ac:dyDescent="0.35">
      <c r="A143" s="64">
        <v>46171</v>
      </c>
      <c r="B143" s="64"/>
      <c r="C143" s="7"/>
      <c r="D143" s="8"/>
      <c r="E143" s="7"/>
      <c r="F143" s="7"/>
      <c r="G143" s="9"/>
      <c r="H143" s="13"/>
      <c r="I143" s="19" t="s">
        <v>51</v>
      </c>
      <c r="J143" s="35">
        <v>10000</v>
      </c>
      <c r="K143" s="9">
        <f>+K142+Table2345356[[#This Row],[AMOUNT]]-Table2345356[[#This Row],[AMOUNT2]]-Table2345356[[#This Row],[AMOUNT3]]</f>
        <v>-594044</v>
      </c>
    </row>
    <row r="144" spans="1:11" hidden="1" x14ac:dyDescent="0.35">
      <c r="A144" s="64">
        <v>46172</v>
      </c>
      <c r="B144" s="64"/>
      <c r="C144" s="7"/>
      <c r="D144" s="8"/>
      <c r="E144" s="7" t="s">
        <v>49</v>
      </c>
      <c r="F144" s="7" t="s">
        <v>49</v>
      </c>
      <c r="G144" s="9" t="s">
        <v>527</v>
      </c>
      <c r="H144" s="13">
        <v>5000</v>
      </c>
      <c r="I144" s="9" t="s">
        <v>46</v>
      </c>
      <c r="J144" s="35">
        <v>4000</v>
      </c>
      <c r="K144" s="9">
        <f>+K143+Table2345356[[#This Row],[AMOUNT]]-Table2345356[[#This Row],[AMOUNT2]]-Table2345356[[#This Row],[AMOUNT3]]</f>
        <v>-603044</v>
      </c>
    </row>
    <row r="145" spans="1:11" hidden="1" x14ac:dyDescent="0.35">
      <c r="A145" s="64">
        <v>46172</v>
      </c>
      <c r="B145" s="64"/>
      <c r="C145" s="7"/>
      <c r="D145" s="8"/>
      <c r="E145" s="7" t="s">
        <v>47</v>
      </c>
      <c r="F145" s="7" t="s">
        <v>40</v>
      </c>
      <c r="G145" s="9" t="s">
        <v>345</v>
      </c>
      <c r="H145" s="13">
        <v>900</v>
      </c>
      <c r="I145" s="9"/>
      <c r="J145" s="8"/>
      <c r="K145" s="9">
        <f>+K144+Table2345356[[#This Row],[AMOUNT]]-Table2345356[[#This Row],[AMOUNT2]]-Table2345356[[#This Row],[AMOUNT3]]</f>
        <v>-603944</v>
      </c>
    </row>
    <row r="146" spans="1:11" hidden="1" x14ac:dyDescent="0.35">
      <c r="A146" s="64">
        <v>46173</v>
      </c>
      <c r="B146" s="64"/>
      <c r="C146" s="7"/>
      <c r="D146" s="8"/>
      <c r="E146" s="7"/>
      <c r="F146" s="7"/>
      <c r="G146" s="9"/>
      <c r="H146" s="13"/>
      <c r="I146" s="9" t="s">
        <v>46</v>
      </c>
      <c r="J146" s="35">
        <v>24000</v>
      </c>
      <c r="K146" s="9">
        <f>+K145+Table2345356[[#This Row],[AMOUNT]]-Table2345356[[#This Row],[AMOUNT2]]-Table2345356[[#This Row],[AMOUNT3]]</f>
        <v>-627944</v>
      </c>
    </row>
    <row r="147" spans="1:11" hidden="1" x14ac:dyDescent="0.35">
      <c r="A147" s="64">
        <v>46174</v>
      </c>
      <c r="B147" s="64"/>
      <c r="C147" s="7"/>
      <c r="D147" s="8"/>
      <c r="E147" s="7"/>
      <c r="F147" s="7"/>
      <c r="G147" s="9"/>
      <c r="H147" s="13"/>
      <c r="I147" s="9" t="s">
        <v>46</v>
      </c>
      <c r="J147" s="23">
        <v>6800</v>
      </c>
      <c r="K147" s="9">
        <f>+K146+Table2345356[[#This Row],[AMOUNT]]-Table2345356[[#This Row],[AMOUNT2]]-Table2345356[[#This Row],[AMOUNT3]]</f>
        <v>-634744</v>
      </c>
    </row>
    <row r="148" spans="1:11" hidden="1" x14ac:dyDescent="0.35">
      <c r="A148" s="64">
        <v>46174</v>
      </c>
      <c r="B148" s="64"/>
      <c r="C148" s="7"/>
      <c r="D148" s="8"/>
      <c r="E148" s="7" t="s">
        <v>382</v>
      </c>
      <c r="F148" s="7" t="s">
        <v>382</v>
      </c>
      <c r="G148" s="17" t="s">
        <v>598</v>
      </c>
      <c r="H148" s="13">
        <v>23640</v>
      </c>
      <c r="I148" s="9"/>
      <c r="J148" s="8"/>
      <c r="K148" s="9">
        <f>+K147+Table2345356[[#This Row],[AMOUNT]]-Table2345356[[#This Row],[AMOUNT2]]-Table2345356[[#This Row],[AMOUNT3]]</f>
        <v>-658384</v>
      </c>
    </row>
    <row r="149" spans="1:11" hidden="1" x14ac:dyDescent="0.35">
      <c r="A149" s="64">
        <v>46174</v>
      </c>
      <c r="B149" s="64"/>
      <c r="C149" s="7"/>
      <c r="D149" s="8"/>
      <c r="E149" s="7" t="s">
        <v>47</v>
      </c>
      <c r="F149" s="7" t="s">
        <v>40</v>
      </c>
      <c r="G149" s="9" t="s">
        <v>599</v>
      </c>
      <c r="H149" s="13">
        <v>1134</v>
      </c>
      <c r="I149" s="9"/>
      <c r="J149" s="8"/>
      <c r="K149" s="9">
        <f>+K148+Table2345356[[#This Row],[AMOUNT]]-Table2345356[[#This Row],[AMOUNT2]]-Table2345356[[#This Row],[AMOUNT3]]</f>
        <v>-659518</v>
      </c>
    </row>
    <row r="150" spans="1:11" hidden="1" x14ac:dyDescent="0.35">
      <c r="A150" s="64">
        <v>46175</v>
      </c>
      <c r="B150" s="64"/>
      <c r="C150" s="7"/>
      <c r="D150" s="8"/>
      <c r="E150" s="7"/>
      <c r="F150" s="7"/>
      <c r="G150" s="9"/>
      <c r="H150" s="13"/>
      <c r="I150" s="9" t="s">
        <v>46</v>
      </c>
      <c r="J150" s="23">
        <v>4100</v>
      </c>
      <c r="K150" s="9">
        <f>+K149+Table2345356[[#This Row],[AMOUNT]]-Table2345356[[#This Row],[AMOUNT2]]-Table2345356[[#This Row],[AMOUNT3]]</f>
        <v>-663618</v>
      </c>
    </row>
    <row r="151" spans="1:11" hidden="1" x14ac:dyDescent="0.35">
      <c r="A151" s="64">
        <v>46176</v>
      </c>
      <c r="B151" s="64"/>
      <c r="C151" s="7" t="s">
        <v>97</v>
      </c>
      <c r="D151" s="8">
        <v>793000</v>
      </c>
      <c r="E151" s="7"/>
      <c r="F151" s="7"/>
      <c r="G151" s="9"/>
      <c r="H151" s="13"/>
      <c r="I151" s="9" t="s">
        <v>98</v>
      </c>
      <c r="J151" s="23">
        <v>150000</v>
      </c>
      <c r="K151" s="9">
        <f>+K150+Table2345356[[#This Row],[AMOUNT]]-Table2345356[[#This Row],[AMOUNT2]]-Table2345356[[#This Row],[AMOUNT3]]</f>
        <v>-20618</v>
      </c>
    </row>
    <row r="152" spans="1:11" hidden="1" x14ac:dyDescent="0.35">
      <c r="A152" s="64">
        <v>46176</v>
      </c>
      <c r="B152" s="64"/>
      <c r="C152" s="7" t="s">
        <v>50</v>
      </c>
      <c r="D152" s="8">
        <v>30000</v>
      </c>
      <c r="E152" s="7" t="s">
        <v>47</v>
      </c>
      <c r="F152" s="7" t="s">
        <v>749</v>
      </c>
      <c r="G152" s="9" t="s">
        <v>356</v>
      </c>
      <c r="H152" s="13">
        <v>1000</v>
      </c>
      <c r="I152" s="9" t="s">
        <v>634</v>
      </c>
      <c r="J152" s="23">
        <v>30000</v>
      </c>
      <c r="K152" s="9">
        <f>+K151+Table2345356[[#This Row],[AMOUNT]]-Table2345356[[#This Row],[AMOUNT2]]-Table2345356[[#This Row],[AMOUNT3]]</f>
        <v>-21618</v>
      </c>
    </row>
    <row r="153" spans="1:11" hidden="1" x14ac:dyDescent="0.35">
      <c r="A153" s="64">
        <v>46177</v>
      </c>
      <c r="B153" s="64"/>
      <c r="C153" s="7"/>
      <c r="D153" s="8"/>
      <c r="E153" s="7"/>
      <c r="F153" s="7"/>
      <c r="G153" s="9"/>
      <c r="H153" s="13"/>
      <c r="I153" s="9" t="s">
        <v>600</v>
      </c>
      <c r="J153" s="8">
        <v>5000</v>
      </c>
      <c r="K153" s="9">
        <f>+K152+Table2345356[[#This Row],[AMOUNT]]-Table2345356[[#This Row],[AMOUNT2]]-Table2345356[[#This Row],[AMOUNT3]]</f>
        <v>-26618</v>
      </c>
    </row>
    <row r="154" spans="1:11" hidden="1" x14ac:dyDescent="0.35">
      <c r="A154" s="64">
        <v>46177</v>
      </c>
      <c r="B154" s="64"/>
      <c r="C154" s="7"/>
      <c r="D154" s="8"/>
      <c r="E154" s="7"/>
      <c r="F154" s="7"/>
      <c r="G154" s="9"/>
      <c r="H154" s="13"/>
      <c r="I154" s="9" t="s">
        <v>364</v>
      </c>
      <c r="J154" s="23">
        <v>35000</v>
      </c>
      <c r="K154" s="9">
        <f>+K153+Table2345356[[#This Row],[AMOUNT]]-Table2345356[[#This Row],[AMOUNT2]]-Table2345356[[#This Row],[AMOUNT3]]</f>
        <v>-61618</v>
      </c>
    </row>
    <row r="155" spans="1:11" hidden="1" x14ac:dyDescent="0.35">
      <c r="A155" s="64">
        <v>46177</v>
      </c>
      <c r="B155" s="64"/>
      <c r="C155" s="7"/>
      <c r="D155" s="8"/>
      <c r="E155" s="7"/>
      <c r="F155" s="7"/>
      <c r="G155" s="9"/>
      <c r="H155" s="13"/>
      <c r="I155" s="9" t="s">
        <v>46</v>
      </c>
      <c r="J155" s="23">
        <v>2000</v>
      </c>
      <c r="K155" s="9">
        <f>+K154+Table2345356[[#This Row],[AMOUNT]]-Table2345356[[#This Row],[AMOUNT2]]-Table2345356[[#This Row],[AMOUNT3]]</f>
        <v>-63618</v>
      </c>
    </row>
    <row r="156" spans="1:11" x14ac:dyDescent="0.35">
      <c r="A156" s="64">
        <v>46178</v>
      </c>
      <c r="B156" s="64"/>
      <c r="C156" s="7"/>
      <c r="D156" s="8"/>
      <c r="E156" s="7" t="s">
        <v>61</v>
      </c>
      <c r="F156" s="7" t="s">
        <v>85</v>
      </c>
      <c r="G156" s="9" t="s">
        <v>601</v>
      </c>
      <c r="H156" s="13">
        <v>12000</v>
      </c>
      <c r="I156" s="9"/>
      <c r="J156" s="8"/>
      <c r="K156" s="9">
        <f>+K155+Table2345356[[#This Row],[AMOUNT]]-Table2345356[[#This Row],[AMOUNT2]]-Table2345356[[#This Row],[AMOUNT3]]</f>
        <v>-75618</v>
      </c>
    </row>
    <row r="157" spans="1:11" hidden="1" x14ac:dyDescent="0.35">
      <c r="A157" s="64">
        <v>46178</v>
      </c>
      <c r="B157" s="64"/>
      <c r="C157" s="7"/>
      <c r="D157" s="8"/>
      <c r="E157" s="7" t="s">
        <v>47</v>
      </c>
      <c r="F157" s="7" t="s">
        <v>749</v>
      </c>
      <c r="G157" s="9" t="s">
        <v>602</v>
      </c>
      <c r="H157" s="13">
        <v>2000</v>
      </c>
      <c r="I157" s="9"/>
      <c r="J157" s="8"/>
      <c r="K157" s="9">
        <f>+K156+Table2345356[[#This Row],[AMOUNT]]-Table2345356[[#This Row],[AMOUNT2]]-Table2345356[[#This Row],[AMOUNT3]]</f>
        <v>-77618</v>
      </c>
    </row>
    <row r="158" spans="1:11" hidden="1" x14ac:dyDescent="0.35">
      <c r="A158" s="64">
        <v>46178</v>
      </c>
      <c r="B158" s="64"/>
      <c r="C158" s="7"/>
      <c r="D158" s="8"/>
      <c r="E158" s="7" t="s">
        <v>47</v>
      </c>
      <c r="F158" s="7" t="s">
        <v>43</v>
      </c>
      <c r="G158" s="9" t="s">
        <v>603</v>
      </c>
      <c r="H158" s="13">
        <v>350</v>
      </c>
      <c r="I158" s="9" t="s">
        <v>46</v>
      </c>
      <c r="J158" s="23">
        <v>9000</v>
      </c>
      <c r="K158" s="9">
        <f>+K157+Table2345356[[#This Row],[AMOUNT]]-Table2345356[[#This Row],[AMOUNT2]]-Table2345356[[#This Row],[AMOUNT3]]</f>
        <v>-86968</v>
      </c>
    </row>
    <row r="159" spans="1:11" hidden="1" x14ac:dyDescent="0.35">
      <c r="A159" s="64">
        <v>46178</v>
      </c>
      <c r="B159" s="64"/>
      <c r="C159" s="7"/>
      <c r="D159" s="8"/>
      <c r="E159" s="7" t="s">
        <v>47</v>
      </c>
      <c r="F159" s="7" t="s">
        <v>43</v>
      </c>
      <c r="G159" s="9" t="s">
        <v>604</v>
      </c>
      <c r="H159" s="13">
        <v>6000</v>
      </c>
      <c r="I159" s="9"/>
      <c r="J159" s="8"/>
      <c r="K159" s="9">
        <f>+K158+Table2345356[[#This Row],[AMOUNT]]-Table2345356[[#This Row],[AMOUNT2]]-Table2345356[[#This Row],[AMOUNT3]]</f>
        <v>-92968</v>
      </c>
    </row>
    <row r="160" spans="1:11" hidden="1" x14ac:dyDescent="0.35">
      <c r="A160" s="64">
        <v>46179</v>
      </c>
      <c r="B160" s="64"/>
      <c r="C160" s="7"/>
      <c r="D160" s="8"/>
      <c r="E160" s="7"/>
      <c r="F160" s="7"/>
      <c r="G160" s="9"/>
      <c r="H160" s="13"/>
      <c r="I160" s="9" t="s">
        <v>46</v>
      </c>
      <c r="J160" s="23">
        <v>6800</v>
      </c>
      <c r="K160" s="9">
        <f>+K159+Table2345356[[#This Row],[AMOUNT]]-Table2345356[[#This Row],[AMOUNT2]]-Table2345356[[#This Row],[AMOUNT3]]</f>
        <v>-99768</v>
      </c>
    </row>
    <row r="161" spans="1:11" hidden="1" x14ac:dyDescent="0.35">
      <c r="A161" s="64">
        <v>46179</v>
      </c>
      <c r="B161" s="64"/>
      <c r="C161" s="7"/>
      <c r="D161" s="8"/>
      <c r="E161" s="7" t="s">
        <v>47</v>
      </c>
      <c r="F161" s="7" t="s">
        <v>40</v>
      </c>
      <c r="G161" s="9" t="s">
        <v>345</v>
      </c>
      <c r="H161" s="13">
        <v>2000</v>
      </c>
      <c r="I161" s="9"/>
      <c r="J161" s="8"/>
      <c r="K161" s="9">
        <f>+K160+Table2345356[[#This Row],[AMOUNT]]-Table2345356[[#This Row],[AMOUNT2]]-Table2345356[[#This Row],[AMOUNT3]]</f>
        <v>-101768</v>
      </c>
    </row>
    <row r="162" spans="1:11" hidden="1" x14ac:dyDescent="0.35">
      <c r="A162" s="64">
        <v>46180</v>
      </c>
      <c r="B162" s="64"/>
      <c r="C162" s="7" t="s">
        <v>50</v>
      </c>
      <c r="D162" s="8">
        <v>10000</v>
      </c>
      <c r="E162" s="7"/>
      <c r="F162" s="7"/>
      <c r="G162" s="9"/>
      <c r="H162" s="13"/>
      <c r="I162" s="9" t="s">
        <v>634</v>
      </c>
      <c r="J162" s="23">
        <v>10000</v>
      </c>
      <c r="K162" s="9">
        <f>+K161+Table2345356[[#This Row],[AMOUNT]]-Table2345356[[#This Row],[AMOUNT2]]-Table2345356[[#This Row],[AMOUNT3]]</f>
        <v>-101768</v>
      </c>
    </row>
    <row r="163" spans="1:11" hidden="1" x14ac:dyDescent="0.35">
      <c r="A163" s="64">
        <v>46181</v>
      </c>
      <c r="B163" s="64"/>
      <c r="C163" s="7"/>
      <c r="D163" s="8"/>
      <c r="E163" s="7"/>
      <c r="F163" s="7"/>
      <c r="G163" s="9"/>
      <c r="H163" s="13"/>
      <c r="I163" s="9" t="s">
        <v>46</v>
      </c>
      <c r="J163" s="23">
        <v>14100</v>
      </c>
      <c r="K163" s="9">
        <f>+K162+Table2345356[[#This Row],[AMOUNT]]-Table2345356[[#This Row],[AMOUNT2]]-Table2345356[[#This Row],[AMOUNT3]]</f>
        <v>-115868</v>
      </c>
    </row>
    <row r="164" spans="1:11" hidden="1" x14ac:dyDescent="0.35">
      <c r="A164" s="64">
        <v>46181</v>
      </c>
      <c r="B164" s="64"/>
      <c r="C164" s="7"/>
      <c r="D164" s="8"/>
      <c r="E164" s="7" t="s">
        <v>355</v>
      </c>
      <c r="F164" s="7" t="s">
        <v>40</v>
      </c>
      <c r="G164" s="9" t="s">
        <v>345</v>
      </c>
      <c r="H164" s="13">
        <v>293</v>
      </c>
      <c r="I164" s="9"/>
      <c r="J164" s="8"/>
      <c r="K164" s="9">
        <f>+K163+Table2345356[[#This Row],[AMOUNT]]-Table2345356[[#This Row],[AMOUNT2]]-Table2345356[[#This Row],[AMOUNT3]]</f>
        <v>-116161</v>
      </c>
    </row>
    <row r="165" spans="1:11" hidden="1" x14ac:dyDescent="0.35">
      <c r="A165" s="64">
        <v>46182</v>
      </c>
      <c r="B165" s="64"/>
      <c r="C165" s="7"/>
      <c r="D165" s="8"/>
      <c r="E165" s="7"/>
      <c r="F165" s="7"/>
      <c r="G165" s="9"/>
      <c r="H165" s="13"/>
      <c r="I165" s="9" t="s">
        <v>605</v>
      </c>
      <c r="J165" s="23">
        <v>3000</v>
      </c>
      <c r="K165" s="9">
        <f>+K164+Table2345356[[#This Row],[AMOUNT]]-Table2345356[[#This Row],[AMOUNT2]]-Table2345356[[#This Row],[AMOUNT3]]</f>
        <v>-119161</v>
      </c>
    </row>
    <row r="166" spans="1:11" hidden="1" x14ac:dyDescent="0.35">
      <c r="A166" s="64">
        <v>46182</v>
      </c>
      <c r="B166" s="64"/>
      <c r="C166" s="7"/>
      <c r="D166" s="8"/>
      <c r="E166" s="7"/>
      <c r="F166" s="7"/>
      <c r="G166" s="9"/>
      <c r="H166" s="13"/>
      <c r="I166" s="9" t="s">
        <v>46</v>
      </c>
      <c r="J166" s="23">
        <v>33000</v>
      </c>
      <c r="K166" s="9">
        <f>+K165+Table2345356[[#This Row],[AMOUNT]]-Table2345356[[#This Row],[AMOUNT2]]-Table2345356[[#This Row],[AMOUNT3]]</f>
        <v>-152161</v>
      </c>
    </row>
    <row r="167" spans="1:11" hidden="1" x14ac:dyDescent="0.35">
      <c r="A167" s="64">
        <v>46182</v>
      </c>
      <c r="B167" s="64"/>
      <c r="C167" s="7"/>
      <c r="D167" s="8"/>
      <c r="E167" s="7" t="s">
        <v>355</v>
      </c>
      <c r="F167" s="7" t="s">
        <v>40</v>
      </c>
      <c r="G167" s="9" t="s">
        <v>345</v>
      </c>
      <c r="H167" s="13">
        <v>923</v>
      </c>
      <c r="I167" s="9"/>
      <c r="J167" s="8"/>
      <c r="K167" s="9">
        <f>+K166+Table2345356[[#This Row],[AMOUNT]]-Table2345356[[#This Row],[AMOUNT2]]-Table2345356[[#This Row],[AMOUNT3]]</f>
        <v>-153084</v>
      </c>
    </row>
    <row r="168" spans="1:11" hidden="1" x14ac:dyDescent="0.35">
      <c r="A168" s="64">
        <v>46183</v>
      </c>
      <c r="B168" s="64"/>
      <c r="C168" s="7"/>
      <c r="D168" s="8"/>
      <c r="E168" s="7"/>
      <c r="F168" s="7"/>
      <c r="G168" s="9"/>
      <c r="H168" s="13"/>
      <c r="I168" s="9" t="s">
        <v>605</v>
      </c>
      <c r="J168" s="23">
        <v>150000</v>
      </c>
      <c r="K168" s="9">
        <f>+K167+Table2345356[[#This Row],[AMOUNT]]-Table2345356[[#This Row],[AMOUNT2]]-Table2345356[[#This Row],[AMOUNT3]]</f>
        <v>-303084</v>
      </c>
    </row>
    <row r="169" spans="1:11" hidden="1" x14ac:dyDescent="0.35">
      <c r="A169" s="64">
        <v>46183</v>
      </c>
      <c r="B169" s="64"/>
      <c r="C169" s="7"/>
      <c r="D169" s="8"/>
      <c r="E169" s="7" t="s">
        <v>355</v>
      </c>
      <c r="F169" s="7" t="s">
        <v>43</v>
      </c>
      <c r="G169" s="9" t="s">
        <v>606</v>
      </c>
      <c r="H169" s="13">
        <v>6400</v>
      </c>
      <c r="I169" s="9"/>
      <c r="J169" s="8"/>
      <c r="K169" s="9">
        <f>+K168+Table2345356[[#This Row],[AMOUNT]]-Table2345356[[#This Row],[AMOUNT2]]-Table2345356[[#This Row],[AMOUNT3]]</f>
        <v>-309484</v>
      </c>
    </row>
    <row r="170" spans="1:11" hidden="1" x14ac:dyDescent="0.35">
      <c r="A170" s="64">
        <v>46184</v>
      </c>
      <c r="B170" s="64"/>
      <c r="C170" s="7" t="s">
        <v>449</v>
      </c>
      <c r="D170" s="8">
        <v>300000</v>
      </c>
      <c r="E170" s="7" t="s">
        <v>355</v>
      </c>
      <c r="F170" s="7" t="s">
        <v>450</v>
      </c>
      <c r="G170" s="19" t="s">
        <v>532</v>
      </c>
      <c r="H170" s="13">
        <v>300000</v>
      </c>
      <c r="I170" s="9"/>
      <c r="J170" s="8"/>
      <c r="K170" s="9">
        <f>+K169+Table2345356[[#This Row],[AMOUNT]]-Table2345356[[#This Row],[AMOUNT2]]-Table2345356[[#This Row],[AMOUNT3]]</f>
        <v>-309484</v>
      </c>
    </row>
    <row r="171" spans="1:11" x14ac:dyDescent="0.35">
      <c r="A171" s="64">
        <v>46184</v>
      </c>
      <c r="B171" s="64"/>
      <c r="C171" s="7" t="s">
        <v>449</v>
      </c>
      <c r="D171" s="8">
        <v>150000</v>
      </c>
      <c r="E171" s="7" t="s">
        <v>61</v>
      </c>
      <c r="F171" s="7" t="s">
        <v>85</v>
      </c>
      <c r="G171" s="9" t="s">
        <v>607</v>
      </c>
      <c r="H171" s="13">
        <v>3000</v>
      </c>
      <c r="I171" s="9" t="s">
        <v>46</v>
      </c>
      <c r="J171" s="23">
        <v>2400</v>
      </c>
      <c r="K171" s="9">
        <f>+K170+Table2345356[[#This Row],[AMOUNT]]-Table2345356[[#This Row],[AMOUNT2]]-Table2345356[[#This Row],[AMOUNT3]]</f>
        <v>-164884</v>
      </c>
    </row>
    <row r="172" spans="1:11" hidden="1" x14ac:dyDescent="0.35">
      <c r="A172" s="64">
        <v>46184</v>
      </c>
      <c r="B172" s="64"/>
      <c r="C172" s="7"/>
      <c r="D172" s="8"/>
      <c r="E172" s="7" t="s">
        <v>39</v>
      </c>
      <c r="F172" s="7" t="s">
        <v>20</v>
      </c>
      <c r="G172" s="9" t="s">
        <v>608</v>
      </c>
      <c r="H172" s="13">
        <v>30000</v>
      </c>
      <c r="I172" s="9"/>
      <c r="J172" s="8"/>
      <c r="K172" s="9">
        <f>+K171+Table2345356[[#This Row],[AMOUNT]]-Table2345356[[#This Row],[AMOUNT2]]-Table2345356[[#This Row],[AMOUNT3]]</f>
        <v>-194884</v>
      </c>
    </row>
    <row r="173" spans="1:11" hidden="1" x14ac:dyDescent="0.35">
      <c r="A173" s="64">
        <v>46185</v>
      </c>
      <c r="B173" s="64"/>
      <c r="C173" s="7"/>
      <c r="D173" s="8"/>
      <c r="E173" s="7" t="s">
        <v>39</v>
      </c>
      <c r="F173" s="7" t="s">
        <v>38</v>
      </c>
      <c r="G173" s="17" t="s">
        <v>609</v>
      </c>
      <c r="H173" s="13">
        <v>9000</v>
      </c>
      <c r="I173" s="9"/>
      <c r="J173" s="8"/>
      <c r="K173" s="9">
        <f>+K172+Table2345356[[#This Row],[AMOUNT]]-Table2345356[[#This Row],[AMOUNT2]]-Table2345356[[#This Row],[AMOUNT3]]</f>
        <v>-203884</v>
      </c>
    </row>
    <row r="174" spans="1:11" hidden="1" x14ac:dyDescent="0.35">
      <c r="A174" s="64">
        <v>46185</v>
      </c>
      <c r="B174" s="64"/>
      <c r="C174" s="7"/>
      <c r="D174" s="8"/>
      <c r="E174" s="7" t="s">
        <v>47</v>
      </c>
      <c r="F174" s="7" t="s">
        <v>640</v>
      </c>
      <c r="G174" s="9" t="s">
        <v>610</v>
      </c>
      <c r="H174" s="13">
        <v>54000</v>
      </c>
      <c r="I174" s="9" t="s">
        <v>605</v>
      </c>
      <c r="J174" s="23">
        <v>20000</v>
      </c>
      <c r="K174" s="9">
        <f>+K173+Table2345356[[#This Row],[AMOUNT]]-Table2345356[[#This Row],[AMOUNT2]]-Table2345356[[#This Row],[AMOUNT3]]</f>
        <v>-277884</v>
      </c>
    </row>
    <row r="175" spans="1:11" hidden="1" x14ac:dyDescent="0.35">
      <c r="A175" s="64">
        <v>46185</v>
      </c>
      <c r="B175" s="64"/>
      <c r="C175" s="7"/>
      <c r="D175" s="8"/>
      <c r="E175" s="7"/>
      <c r="F175" s="7"/>
      <c r="G175" s="9"/>
      <c r="H175" s="13"/>
      <c r="I175" s="9" t="s">
        <v>46</v>
      </c>
      <c r="J175" s="23">
        <v>38000</v>
      </c>
      <c r="K175" s="9">
        <f>+K174+Table2345356[[#This Row],[AMOUNT]]-Table2345356[[#This Row],[AMOUNT2]]-Table2345356[[#This Row],[AMOUNT3]]</f>
        <v>-315884</v>
      </c>
    </row>
    <row r="176" spans="1:11" hidden="1" x14ac:dyDescent="0.35">
      <c r="A176" s="64">
        <v>46185</v>
      </c>
      <c r="B176" s="64"/>
      <c r="C176" s="7"/>
      <c r="D176" s="8"/>
      <c r="E176" s="7" t="s">
        <v>49</v>
      </c>
      <c r="F176" s="7" t="s">
        <v>49</v>
      </c>
      <c r="G176" s="9" t="s">
        <v>611</v>
      </c>
      <c r="H176" s="13">
        <v>2000</v>
      </c>
      <c r="I176" s="9"/>
      <c r="J176" s="8"/>
      <c r="K176" s="9">
        <f>+K175+Table2345356[[#This Row],[AMOUNT]]-Table2345356[[#This Row],[AMOUNT2]]-Table2345356[[#This Row],[AMOUNT3]]</f>
        <v>-317884</v>
      </c>
    </row>
    <row r="177" spans="1:12" hidden="1" x14ac:dyDescent="0.35">
      <c r="A177" s="64">
        <v>46185</v>
      </c>
      <c r="B177" s="64"/>
      <c r="C177" s="7"/>
      <c r="D177" s="8"/>
      <c r="E177" s="7" t="s">
        <v>47</v>
      </c>
      <c r="F177" s="7" t="s">
        <v>43</v>
      </c>
      <c r="G177" s="9" t="s">
        <v>612</v>
      </c>
      <c r="H177" s="13">
        <v>2944</v>
      </c>
      <c r="I177" s="9"/>
      <c r="J177" s="8"/>
      <c r="K177" s="9">
        <f>+K176+Table2345356[[#This Row],[AMOUNT]]-Table2345356[[#This Row],[AMOUNT2]]-Table2345356[[#This Row],[AMOUNT3]]</f>
        <v>-320828</v>
      </c>
    </row>
    <row r="178" spans="1:12" hidden="1" x14ac:dyDescent="0.35">
      <c r="A178" s="64">
        <v>46186</v>
      </c>
      <c r="B178" s="64"/>
      <c r="C178" s="7" t="s">
        <v>50</v>
      </c>
      <c r="D178" s="8">
        <v>20000</v>
      </c>
      <c r="E178" s="7" t="s">
        <v>355</v>
      </c>
      <c r="F178" s="7" t="s">
        <v>40</v>
      </c>
      <c r="G178" s="9" t="s">
        <v>599</v>
      </c>
      <c r="H178" s="13">
        <v>1000</v>
      </c>
      <c r="I178" s="9"/>
      <c r="J178" s="8"/>
      <c r="K178" s="9">
        <f>+K177+Table2345356[[#This Row],[AMOUNT]]-Table2345356[[#This Row],[AMOUNT2]]-Table2345356[[#This Row],[AMOUNT3]]</f>
        <v>-301828</v>
      </c>
    </row>
    <row r="179" spans="1:12" hidden="1" x14ac:dyDescent="0.35">
      <c r="A179" s="64">
        <v>46186</v>
      </c>
      <c r="B179" s="64"/>
      <c r="C179" s="7"/>
      <c r="D179" s="8"/>
      <c r="E179" s="7" t="s">
        <v>47</v>
      </c>
      <c r="F179" s="7" t="s">
        <v>43</v>
      </c>
      <c r="G179" s="9" t="s">
        <v>613</v>
      </c>
      <c r="H179" s="13">
        <v>6000</v>
      </c>
      <c r="I179" s="9" t="s">
        <v>634</v>
      </c>
      <c r="J179" s="23">
        <v>20000</v>
      </c>
      <c r="K179" s="9">
        <f>+K178+Table2345356[[#This Row],[AMOUNT]]-Table2345356[[#This Row],[AMOUNT2]]-Table2345356[[#This Row],[AMOUNT3]]</f>
        <v>-327828</v>
      </c>
    </row>
    <row r="180" spans="1:12" hidden="1" x14ac:dyDescent="0.35">
      <c r="A180" s="64">
        <v>46187</v>
      </c>
      <c r="B180" s="64"/>
      <c r="C180" s="7"/>
      <c r="D180" s="8"/>
      <c r="E180" s="7" t="s">
        <v>355</v>
      </c>
      <c r="F180" s="7" t="s">
        <v>40</v>
      </c>
      <c r="G180" s="9" t="s">
        <v>599</v>
      </c>
      <c r="H180" s="13">
        <v>500</v>
      </c>
      <c r="I180" s="9"/>
      <c r="J180" s="8"/>
      <c r="K180" s="9">
        <f>+K179+Table2345356[[#This Row],[AMOUNT]]-Table2345356[[#This Row],[AMOUNT2]]-Table2345356[[#This Row],[AMOUNT3]]</f>
        <v>-328328</v>
      </c>
    </row>
    <row r="181" spans="1:12" hidden="1" x14ac:dyDescent="0.35">
      <c r="A181" s="64">
        <v>46187</v>
      </c>
      <c r="B181" s="64"/>
      <c r="C181" s="7"/>
      <c r="D181" s="8"/>
      <c r="E181" s="7" t="s">
        <v>49</v>
      </c>
      <c r="F181" s="7" t="s">
        <v>49</v>
      </c>
      <c r="G181" s="9" t="s">
        <v>614</v>
      </c>
      <c r="H181" s="13">
        <v>1300</v>
      </c>
      <c r="I181" s="9"/>
      <c r="J181" s="8"/>
      <c r="K181" s="9">
        <f>+K180+Table2345356[[#This Row],[AMOUNT]]-Table2345356[[#This Row],[AMOUNT2]]-Table2345356[[#This Row],[AMOUNT3]]</f>
        <v>-329628</v>
      </c>
    </row>
    <row r="182" spans="1:12" hidden="1" x14ac:dyDescent="0.35">
      <c r="A182" s="64">
        <v>46188</v>
      </c>
      <c r="B182" s="64"/>
      <c r="C182" s="7"/>
      <c r="D182" s="8"/>
      <c r="E182" s="7" t="s">
        <v>49</v>
      </c>
      <c r="F182" s="7" t="s">
        <v>49</v>
      </c>
      <c r="G182" s="9" t="s">
        <v>615</v>
      </c>
      <c r="H182" s="13">
        <v>30000</v>
      </c>
      <c r="I182" s="9"/>
      <c r="J182" s="8"/>
      <c r="K182" s="9">
        <f>+K181+Table2345356[[#This Row],[AMOUNT]]-Table2345356[[#This Row],[AMOUNT2]]-Table2345356[[#This Row],[AMOUNT3]]</f>
        <v>-359628</v>
      </c>
    </row>
    <row r="183" spans="1:12" hidden="1" x14ac:dyDescent="0.35">
      <c r="A183" s="64">
        <v>46188</v>
      </c>
      <c r="B183" s="64"/>
      <c r="C183" s="7"/>
      <c r="D183" s="8"/>
      <c r="E183" s="109" t="s">
        <v>815</v>
      </c>
      <c r="F183" s="109" t="s">
        <v>764</v>
      </c>
      <c r="G183" s="34" t="s">
        <v>616</v>
      </c>
      <c r="H183" s="83">
        <v>150000</v>
      </c>
      <c r="I183" s="9"/>
      <c r="J183" s="8"/>
      <c r="K183" s="9">
        <f>+K182+Table2345356[[#This Row],[AMOUNT]]-Table2345356[[#This Row],[AMOUNT2]]-Table2345356[[#This Row],[AMOUNT3]]</f>
        <v>-509628</v>
      </c>
    </row>
    <row r="184" spans="1:12" hidden="1" x14ac:dyDescent="0.35">
      <c r="A184" s="64">
        <v>46188</v>
      </c>
      <c r="B184" s="64"/>
      <c r="C184" s="7"/>
      <c r="D184" s="8"/>
      <c r="E184" s="7" t="s">
        <v>47</v>
      </c>
      <c r="F184" s="7" t="s">
        <v>40</v>
      </c>
      <c r="G184" s="9" t="s">
        <v>599</v>
      </c>
      <c r="H184" s="13">
        <v>300</v>
      </c>
      <c r="I184" s="9"/>
      <c r="J184" s="8"/>
      <c r="K184" s="9">
        <f>+K183+Table2345356[[#This Row],[AMOUNT]]-Table2345356[[#This Row],[AMOUNT2]]-Table2345356[[#This Row],[AMOUNT3]]</f>
        <v>-509928</v>
      </c>
      <c r="L184" t="s">
        <v>625</v>
      </c>
    </row>
    <row r="185" spans="1:12" hidden="1" x14ac:dyDescent="0.35">
      <c r="A185" s="64">
        <v>46189</v>
      </c>
      <c r="B185" s="64"/>
      <c r="C185" s="7"/>
      <c r="D185" s="8"/>
      <c r="E185" s="7"/>
      <c r="F185" s="7"/>
      <c r="G185" s="9"/>
      <c r="H185" s="13"/>
      <c r="I185" s="9" t="s">
        <v>46</v>
      </c>
      <c r="J185" s="23">
        <v>7800</v>
      </c>
      <c r="K185" s="9">
        <f>+K184+Table2345356[[#This Row],[AMOUNT]]-Table2345356[[#This Row],[AMOUNT2]]-Table2345356[[#This Row],[AMOUNT3]]</f>
        <v>-517728</v>
      </c>
    </row>
    <row r="186" spans="1:12" hidden="1" x14ac:dyDescent="0.35">
      <c r="A186" s="64">
        <v>46189</v>
      </c>
      <c r="B186" s="64"/>
      <c r="C186" s="7" t="s">
        <v>50</v>
      </c>
      <c r="D186" s="8">
        <v>30000</v>
      </c>
      <c r="E186" s="7" t="s">
        <v>47</v>
      </c>
      <c r="F186" s="7" t="s">
        <v>0</v>
      </c>
      <c r="G186" s="9" t="s">
        <v>617</v>
      </c>
      <c r="H186" s="13">
        <v>4000</v>
      </c>
      <c r="I186" s="9"/>
      <c r="J186" s="8"/>
      <c r="K186" s="9">
        <f>+K185+Table2345356[[#This Row],[AMOUNT]]-Table2345356[[#This Row],[AMOUNT2]]-Table2345356[[#This Row],[AMOUNT3]]</f>
        <v>-491728</v>
      </c>
    </row>
    <row r="187" spans="1:12" hidden="1" x14ac:dyDescent="0.35">
      <c r="A187" s="64">
        <v>46189</v>
      </c>
      <c r="B187" s="64"/>
      <c r="C187" s="7"/>
      <c r="D187" s="8"/>
      <c r="E187" s="7" t="s">
        <v>49</v>
      </c>
      <c r="F187" s="7" t="s">
        <v>49</v>
      </c>
      <c r="G187" s="9" t="s">
        <v>379</v>
      </c>
      <c r="H187" s="13">
        <v>1394</v>
      </c>
      <c r="I187" s="9"/>
      <c r="J187" s="8"/>
      <c r="K187" s="9">
        <f>+K186+Table2345356[[#This Row],[AMOUNT]]-Table2345356[[#This Row],[AMOUNT2]]-Table2345356[[#This Row],[AMOUNT3]]</f>
        <v>-493122</v>
      </c>
    </row>
    <row r="188" spans="1:12" x14ac:dyDescent="0.35">
      <c r="A188" s="64">
        <v>46189</v>
      </c>
      <c r="B188" s="64"/>
      <c r="C188" s="7"/>
      <c r="D188" s="8"/>
      <c r="E188" s="7" t="s">
        <v>61</v>
      </c>
      <c r="F188" s="7" t="s">
        <v>85</v>
      </c>
      <c r="G188" s="9" t="s">
        <v>744</v>
      </c>
      <c r="H188" s="13">
        <v>200</v>
      </c>
      <c r="I188" s="9" t="s">
        <v>634</v>
      </c>
      <c r="J188" s="23">
        <v>30000</v>
      </c>
      <c r="K188" s="9">
        <f>+K187+Table2345356[[#This Row],[AMOUNT]]-Table2345356[[#This Row],[AMOUNT2]]-Table2345356[[#This Row],[AMOUNT3]]</f>
        <v>-523322</v>
      </c>
    </row>
    <row r="189" spans="1:12" hidden="1" x14ac:dyDescent="0.35">
      <c r="A189" s="64">
        <v>46190</v>
      </c>
      <c r="B189" s="64"/>
      <c r="C189" s="7" t="s">
        <v>449</v>
      </c>
      <c r="D189" s="8">
        <v>200000</v>
      </c>
      <c r="E189" s="7" t="s">
        <v>47</v>
      </c>
      <c r="F189" s="7" t="s">
        <v>749</v>
      </c>
      <c r="G189" s="9" t="s">
        <v>356</v>
      </c>
      <c r="H189" s="13">
        <v>2000</v>
      </c>
      <c r="I189" s="9"/>
      <c r="J189" s="8"/>
      <c r="K189" s="9">
        <f>+K188+Table2345356[[#This Row],[AMOUNT]]-Table2345356[[#This Row],[AMOUNT2]]-Table2345356[[#This Row],[AMOUNT3]]</f>
        <v>-325322</v>
      </c>
    </row>
    <row r="190" spans="1:12" hidden="1" x14ac:dyDescent="0.35">
      <c r="A190" s="64">
        <v>46190</v>
      </c>
      <c r="B190" s="64"/>
      <c r="C190" s="7"/>
      <c r="D190" s="8"/>
      <c r="E190" s="7" t="s">
        <v>39</v>
      </c>
      <c r="F190" s="7" t="s">
        <v>20</v>
      </c>
      <c r="G190" s="9" t="s">
        <v>745</v>
      </c>
      <c r="H190" s="13">
        <v>20000</v>
      </c>
      <c r="I190" s="9"/>
      <c r="J190" s="8"/>
      <c r="K190" s="9">
        <f>+K189+Table2345356[[#This Row],[AMOUNT]]-Table2345356[[#This Row],[AMOUNT2]]-Table2345356[[#This Row],[AMOUNT3]]</f>
        <v>-345322</v>
      </c>
    </row>
    <row r="191" spans="1:12" hidden="1" x14ac:dyDescent="0.35">
      <c r="A191" s="64">
        <v>46191</v>
      </c>
      <c r="B191" s="64"/>
      <c r="C191" s="7"/>
      <c r="D191" s="8"/>
      <c r="E191" s="7" t="s">
        <v>49</v>
      </c>
      <c r="F191" s="7" t="s">
        <v>49</v>
      </c>
      <c r="G191" s="19" t="s">
        <v>819</v>
      </c>
      <c r="H191" s="13">
        <v>8430</v>
      </c>
      <c r="I191" s="9" t="s">
        <v>98</v>
      </c>
      <c r="J191" s="23">
        <v>200000</v>
      </c>
      <c r="K191" s="9">
        <f>+K190+Table2345356[[#This Row],[AMOUNT]]-Table2345356[[#This Row],[AMOUNT2]]-Table2345356[[#This Row],[AMOUNT3]]</f>
        <v>-553752</v>
      </c>
    </row>
    <row r="192" spans="1:12" hidden="1" x14ac:dyDescent="0.35">
      <c r="A192" s="64">
        <v>46191</v>
      </c>
      <c r="B192" s="64"/>
      <c r="C192" s="7"/>
      <c r="D192" s="8"/>
      <c r="E192" s="7"/>
      <c r="F192" s="7" t="s">
        <v>816</v>
      </c>
      <c r="G192" s="19" t="s">
        <v>817</v>
      </c>
      <c r="H192" s="13">
        <v>11970</v>
      </c>
      <c r="I192" s="9"/>
      <c r="J192" s="23"/>
      <c r="K192" s="9">
        <f>+K191+Table2345356[[#This Row],[AMOUNT]]-Table2345356[[#This Row],[AMOUNT2]]-Table2345356[[#This Row],[AMOUNT3]]</f>
        <v>-565722</v>
      </c>
    </row>
    <row r="193" spans="1:11" hidden="1" x14ac:dyDescent="0.35">
      <c r="A193" s="64">
        <v>46191</v>
      </c>
      <c r="B193" s="64"/>
      <c r="C193" s="7"/>
      <c r="D193" s="8"/>
      <c r="E193" s="7"/>
      <c r="F193" s="7" t="s">
        <v>816</v>
      </c>
      <c r="G193" s="19" t="s">
        <v>818</v>
      </c>
      <c r="H193" s="13">
        <v>13660</v>
      </c>
      <c r="I193" s="9" t="s">
        <v>46</v>
      </c>
      <c r="J193" s="23">
        <v>56100</v>
      </c>
      <c r="K193" s="9">
        <f>+K192+Table2345356[[#This Row],[AMOUNT]]-Table2345356[[#This Row],[AMOUNT2]]-Table2345356[[#This Row],[AMOUNT3]]</f>
        <v>-635482</v>
      </c>
    </row>
    <row r="194" spans="1:11" hidden="1" x14ac:dyDescent="0.35">
      <c r="A194" s="64">
        <v>46191</v>
      </c>
      <c r="B194" s="64"/>
      <c r="C194" s="7"/>
      <c r="D194" s="8"/>
      <c r="E194" s="7" t="s">
        <v>39</v>
      </c>
      <c r="F194" s="7" t="s">
        <v>29</v>
      </c>
      <c r="G194" s="9" t="s">
        <v>361</v>
      </c>
      <c r="H194" s="13">
        <v>68</v>
      </c>
      <c r="I194" s="9"/>
      <c r="J194" s="8"/>
      <c r="K194" s="9">
        <f>+K193+Table2345356[[#This Row],[AMOUNT]]-Table2345356[[#This Row],[AMOUNT2]]-Table2345356[[#This Row],[AMOUNT3]]</f>
        <v>-635550</v>
      </c>
    </row>
    <row r="195" spans="1:11" hidden="1" x14ac:dyDescent="0.35">
      <c r="A195" s="64">
        <v>46191</v>
      </c>
      <c r="B195" s="64"/>
      <c r="C195" s="7"/>
      <c r="D195" s="8"/>
      <c r="E195" s="7" t="s">
        <v>49</v>
      </c>
      <c r="F195" s="7" t="s">
        <v>49</v>
      </c>
      <c r="G195" s="9" t="s">
        <v>746</v>
      </c>
      <c r="H195" s="13">
        <v>1200</v>
      </c>
      <c r="I195" s="9"/>
      <c r="J195" s="8"/>
      <c r="K195" s="9">
        <f>+K194+Table2345356[[#This Row],[AMOUNT]]-Table2345356[[#This Row],[AMOUNT2]]-Table2345356[[#This Row],[AMOUNT3]]</f>
        <v>-636750</v>
      </c>
    </row>
    <row r="196" spans="1:11" x14ac:dyDescent="0.35">
      <c r="A196" s="64">
        <v>46192</v>
      </c>
      <c r="B196" s="64"/>
      <c r="C196" s="7"/>
      <c r="D196" s="8"/>
      <c r="E196" s="7" t="s">
        <v>61</v>
      </c>
      <c r="F196" s="7" t="s">
        <v>85</v>
      </c>
      <c r="G196" s="9" t="s">
        <v>747</v>
      </c>
      <c r="H196" s="13">
        <v>150</v>
      </c>
      <c r="I196" s="9"/>
      <c r="J196" s="8"/>
      <c r="K196" s="9">
        <f>+K195+Table2345356[[#This Row],[AMOUNT]]-Table2345356[[#This Row],[AMOUNT2]]-Table2345356[[#This Row],[AMOUNT3]]</f>
        <v>-636900</v>
      </c>
    </row>
    <row r="197" spans="1:11" hidden="1" x14ac:dyDescent="0.35">
      <c r="A197" s="64">
        <v>46192</v>
      </c>
      <c r="B197" s="64"/>
      <c r="C197" s="7"/>
      <c r="D197" s="8"/>
      <c r="E197" s="7" t="s">
        <v>355</v>
      </c>
      <c r="F197" s="7" t="s">
        <v>40</v>
      </c>
      <c r="G197" s="9" t="s">
        <v>599</v>
      </c>
      <c r="H197" s="13">
        <v>1800</v>
      </c>
      <c r="I197" s="9" t="s">
        <v>46</v>
      </c>
      <c r="J197" s="23">
        <v>10000</v>
      </c>
      <c r="K197" s="9">
        <f>+K196+Table2345356[[#This Row],[AMOUNT]]-Table2345356[[#This Row],[AMOUNT2]]-Table2345356[[#This Row],[AMOUNT3]]</f>
        <v>-648700</v>
      </c>
    </row>
    <row r="198" spans="1:11" hidden="1" x14ac:dyDescent="0.35">
      <c r="A198" s="64">
        <v>46195</v>
      </c>
      <c r="B198" s="64"/>
      <c r="C198" s="7" t="s">
        <v>748</v>
      </c>
      <c r="D198" s="8">
        <v>20000</v>
      </c>
      <c r="E198" s="7"/>
      <c r="F198" s="7"/>
      <c r="G198" s="9"/>
      <c r="H198" s="13"/>
      <c r="I198" s="9" t="s">
        <v>605</v>
      </c>
      <c r="J198" s="23">
        <v>20000</v>
      </c>
      <c r="K198" s="9">
        <f>+K197+Table2345356[[#This Row],[AMOUNT]]-Table2345356[[#This Row],[AMOUNT2]]-Table2345356[[#This Row],[AMOUNT3]]</f>
        <v>-648700</v>
      </c>
    </row>
    <row r="199" spans="1:11" hidden="1" x14ac:dyDescent="0.35">
      <c r="A199" s="64">
        <v>46196</v>
      </c>
      <c r="B199" s="64"/>
      <c r="C199" s="7" t="s">
        <v>50</v>
      </c>
      <c r="D199" s="8">
        <v>30000</v>
      </c>
      <c r="E199" s="7"/>
      <c r="F199" s="7"/>
      <c r="G199" s="9"/>
      <c r="H199" s="13"/>
      <c r="I199" s="9" t="s">
        <v>634</v>
      </c>
      <c r="J199" s="23">
        <v>30000</v>
      </c>
      <c r="K199" s="9">
        <f>+K198+Table2345356[[#This Row],[AMOUNT]]-Table2345356[[#This Row],[AMOUNT2]]-Table2345356[[#This Row],[AMOUNT3]]</f>
        <v>-648700</v>
      </c>
    </row>
    <row r="200" spans="1:11" hidden="1" x14ac:dyDescent="0.35">
      <c r="A200" s="64">
        <v>46197</v>
      </c>
      <c r="B200" s="64"/>
      <c r="C200" s="7" t="s">
        <v>50</v>
      </c>
      <c r="D200" s="8">
        <v>20000</v>
      </c>
      <c r="E200" s="7"/>
      <c r="F200" s="7"/>
      <c r="G200" s="9"/>
      <c r="H200" s="13"/>
      <c r="I200" s="9" t="s">
        <v>634</v>
      </c>
      <c r="J200" s="23">
        <v>20000</v>
      </c>
      <c r="K200" s="9">
        <f>+K199+Table2345356[[#This Row],[AMOUNT]]-Table2345356[[#This Row],[AMOUNT2]]-Table2345356[[#This Row],[AMOUNT3]]</f>
        <v>-648700</v>
      </c>
    </row>
    <row r="201" spans="1:11" hidden="1" x14ac:dyDescent="0.35">
      <c r="A201" s="64">
        <v>46200</v>
      </c>
      <c r="B201" s="64"/>
      <c r="C201" s="7" t="s">
        <v>50</v>
      </c>
      <c r="D201" s="8">
        <v>40000</v>
      </c>
      <c r="E201" s="7"/>
      <c r="F201" s="7"/>
      <c r="G201" s="9"/>
      <c r="H201" s="13"/>
      <c r="I201" s="9" t="s">
        <v>46</v>
      </c>
      <c r="J201" s="23">
        <v>11200</v>
      </c>
      <c r="K201" s="9">
        <f>+K200+Table2345356[[#This Row],[AMOUNT]]-Table2345356[[#This Row],[AMOUNT2]]-Table2345356[[#This Row],[AMOUNT3]]</f>
        <v>-619900</v>
      </c>
    </row>
    <row r="202" spans="1:11" hidden="1" x14ac:dyDescent="0.35">
      <c r="A202" s="64">
        <v>46200</v>
      </c>
      <c r="B202" s="64"/>
      <c r="C202" s="7"/>
      <c r="D202" s="8"/>
      <c r="E202" s="7"/>
      <c r="F202" s="7"/>
      <c r="G202" s="9"/>
      <c r="H202" s="13"/>
      <c r="I202" s="9" t="s">
        <v>634</v>
      </c>
      <c r="J202" s="23">
        <v>40000</v>
      </c>
      <c r="K202" s="9">
        <f>+K201+Table2345356[[#This Row],[AMOUNT]]-Table2345356[[#This Row],[AMOUNT2]]-Table2345356[[#This Row],[AMOUNT3]]</f>
        <v>-659900</v>
      </c>
    </row>
    <row r="203" spans="1:11" hidden="1" x14ac:dyDescent="0.35">
      <c r="A203" s="64">
        <v>46202</v>
      </c>
      <c r="B203" s="64"/>
      <c r="C203" s="7" t="s">
        <v>50</v>
      </c>
      <c r="D203" s="8">
        <v>20000</v>
      </c>
      <c r="E203" s="97"/>
      <c r="F203" s="97"/>
      <c r="G203" s="96"/>
      <c r="H203" s="107"/>
      <c r="I203" s="9"/>
      <c r="J203" s="8"/>
      <c r="K203" s="9">
        <f>+K202+Table2345356[[#This Row],[AMOUNT]]-Table2345356[[#This Row],[AMOUNT2]]-Table2345356[[#This Row],[AMOUNT3]]</f>
        <v>-639900</v>
      </c>
    </row>
    <row r="204" spans="1:11" hidden="1" x14ac:dyDescent="0.35">
      <c r="A204" s="64">
        <v>46202</v>
      </c>
      <c r="B204" s="64"/>
      <c r="C204" s="7"/>
      <c r="D204" s="8"/>
      <c r="E204" s="97" t="s">
        <v>47</v>
      </c>
      <c r="F204" s="97" t="s">
        <v>0</v>
      </c>
      <c r="G204" s="96" t="s">
        <v>753</v>
      </c>
      <c r="H204" s="107">
        <v>6000</v>
      </c>
      <c r="I204" s="9" t="s">
        <v>634</v>
      </c>
      <c r="J204" s="23">
        <v>20000</v>
      </c>
      <c r="K204" s="9">
        <f>+K203+Table2345356[[#This Row],[AMOUNT]]-Table2345356[[#This Row],[AMOUNT2]]-Table2345356[[#This Row],[AMOUNT3]]</f>
        <v>-665900</v>
      </c>
    </row>
    <row r="205" spans="1:11" x14ac:dyDescent="0.35">
      <c r="A205" s="64">
        <v>46203</v>
      </c>
      <c r="B205" s="64"/>
      <c r="C205" s="7" t="s">
        <v>50</v>
      </c>
      <c r="D205" s="8">
        <v>20000</v>
      </c>
      <c r="E205" s="7" t="s">
        <v>61</v>
      </c>
      <c r="F205" s="7" t="s">
        <v>85</v>
      </c>
      <c r="G205" s="9" t="s">
        <v>524</v>
      </c>
      <c r="H205" s="13">
        <v>1000</v>
      </c>
      <c r="I205" s="9"/>
      <c r="J205" s="8"/>
      <c r="K205" s="9">
        <f>+K204+Table2345356[[#This Row],[AMOUNT]]-Table2345356[[#This Row],[AMOUNT2]]-Table2345356[[#This Row],[AMOUNT3]]</f>
        <v>-646900</v>
      </c>
    </row>
    <row r="206" spans="1:11" hidden="1" x14ac:dyDescent="0.35">
      <c r="A206" s="127">
        <v>46203</v>
      </c>
      <c r="B206" s="127"/>
      <c r="C206" s="73"/>
      <c r="D206" s="74"/>
      <c r="E206" s="73" t="s">
        <v>49</v>
      </c>
      <c r="F206" s="73" t="s">
        <v>49</v>
      </c>
      <c r="G206" s="75" t="s">
        <v>746</v>
      </c>
      <c r="H206" s="66">
        <v>1000</v>
      </c>
      <c r="I206" s="75" t="s">
        <v>634</v>
      </c>
      <c r="J206" s="74">
        <v>20000</v>
      </c>
      <c r="K206" s="75">
        <f>+K205+Table2345356[[#This Row],[AMOUNT]]-Table2345356[[#This Row],[AMOUNT2]]-Table2345356[[#This Row],[AMOUNT3]]</f>
        <v>-667900</v>
      </c>
    </row>
    <row r="207" spans="1:11" hidden="1" x14ac:dyDescent="0.35">
      <c r="A207" s="64">
        <v>46204</v>
      </c>
      <c r="B207" s="64"/>
      <c r="C207" s="7" t="s">
        <v>449</v>
      </c>
      <c r="D207" s="8">
        <v>150000</v>
      </c>
      <c r="E207" s="7" t="s">
        <v>39</v>
      </c>
      <c r="F207" s="7" t="s">
        <v>750</v>
      </c>
      <c r="G207" s="9" t="s">
        <v>820</v>
      </c>
      <c r="H207" s="13">
        <v>5000</v>
      </c>
      <c r="I207" s="9"/>
      <c r="J207" s="8"/>
      <c r="K207" s="9">
        <f>+K206+Table2345356[[#This Row],[AMOUNT]]-Table2345356[[#This Row],[AMOUNT2]]-Table2345356[[#This Row],[AMOUNT3]]</f>
        <v>-522900</v>
      </c>
    </row>
    <row r="208" spans="1:11" hidden="1" x14ac:dyDescent="0.35">
      <c r="A208" s="64">
        <v>46204</v>
      </c>
      <c r="B208" s="64"/>
      <c r="C208" s="7"/>
      <c r="D208" s="8"/>
      <c r="E208" s="7" t="s">
        <v>39</v>
      </c>
      <c r="F208" s="7" t="s">
        <v>367</v>
      </c>
      <c r="G208" s="9" t="s">
        <v>751</v>
      </c>
      <c r="H208" s="13">
        <v>20000</v>
      </c>
      <c r="I208" s="9" t="s">
        <v>46</v>
      </c>
      <c r="J208" s="23">
        <v>10000</v>
      </c>
      <c r="K208" s="9">
        <f>+K207+Table2345356[[#This Row],[AMOUNT]]-Table2345356[[#This Row],[AMOUNT2]]-Table2345356[[#This Row],[AMOUNT3]]</f>
        <v>-552900</v>
      </c>
    </row>
    <row r="209" spans="1:11" hidden="1" x14ac:dyDescent="0.35">
      <c r="A209" s="64">
        <v>46205</v>
      </c>
      <c r="B209" s="64"/>
      <c r="C209" s="7"/>
      <c r="D209" s="8"/>
      <c r="E209" s="7"/>
      <c r="F209" s="7"/>
      <c r="G209" s="9"/>
      <c r="H209" s="13"/>
      <c r="I209" s="9" t="s">
        <v>600</v>
      </c>
      <c r="J209" s="8">
        <v>3000</v>
      </c>
      <c r="K209" s="9">
        <f>+K208+Table2345356[[#This Row],[AMOUNT]]-Table2345356[[#This Row],[AMOUNT2]]-Table2345356[[#This Row],[AMOUNT3]]</f>
        <v>-555900</v>
      </c>
    </row>
    <row r="210" spans="1:11" hidden="1" x14ac:dyDescent="0.35">
      <c r="A210" s="64">
        <v>46205</v>
      </c>
      <c r="B210" s="64"/>
      <c r="C210" s="7"/>
      <c r="D210" s="8"/>
      <c r="E210" s="97" t="s">
        <v>47</v>
      </c>
      <c r="F210" s="97" t="s">
        <v>40</v>
      </c>
      <c r="G210" s="96" t="s">
        <v>345</v>
      </c>
      <c r="H210" s="107">
        <v>500</v>
      </c>
      <c r="I210" s="9"/>
      <c r="J210" s="8"/>
      <c r="K210" s="9">
        <f>+K209+Table2345356[[#This Row],[AMOUNT]]-Table2345356[[#This Row],[AMOUNT2]]-Table2345356[[#This Row],[AMOUNT3]]</f>
        <v>-556400</v>
      </c>
    </row>
    <row r="211" spans="1:11" hidden="1" x14ac:dyDescent="0.35">
      <c r="A211" s="64">
        <v>46206</v>
      </c>
      <c r="B211" s="64"/>
      <c r="C211" s="7"/>
      <c r="D211" s="8"/>
      <c r="E211" s="97" t="s">
        <v>47</v>
      </c>
      <c r="F211" s="97" t="s">
        <v>43</v>
      </c>
      <c r="G211" s="96" t="s">
        <v>752</v>
      </c>
      <c r="H211" s="107">
        <v>3500</v>
      </c>
      <c r="I211" s="9"/>
      <c r="J211" s="8"/>
      <c r="K211" s="9">
        <f>+K210+Table2345356[[#This Row],[AMOUNT]]-Table2345356[[#This Row],[AMOUNT2]]-Table2345356[[#This Row],[AMOUNT3]]</f>
        <v>-559900</v>
      </c>
    </row>
    <row r="212" spans="1:11" hidden="1" x14ac:dyDescent="0.35">
      <c r="A212" s="64">
        <v>46206</v>
      </c>
      <c r="B212" s="64"/>
      <c r="C212" s="7"/>
      <c r="D212" s="8"/>
      <c r="E212" s="97" t="s">
        <v>47</v>
      </c>
      <c r="F212" s="97" t="s">
        <v>0</v>
      </c>
      <c r="G212" s="96" t="s">
        <v>756</v>
      </c>
      <c r="H212" s="107">
        <v>6000</v>
      </c>
      <c r="I212" s="9"/>
      <c r="J212" s="8"/>
      <c r="K212" s="9">
        <f>+K211+Table2345356[[#This Row],[AMOUNT]]-Table2345356[[#This Row],[AMOUNT2]]-Table2345356[[#This Row],[AMOUNT3]]</f>
        <v>-565900</v>
      </c>
    </row>
    <row r="213" spans="1:11" hidden="1" x14ac:dyDescent="0.35">
      <c r="A213" s="64">
        <v>46206</v>
      </c>
      <c r="B213" s="64"/>
      <c r="C213" s="7"/>
      <c r="D213" s="8"/>
      <c r="E213" s="97" t="s">
        <v>47</v>
      </c>
      <c r="F213" s="97" t="s">
        <v>40</v>
      </c>
      <c r="G213" s="96" t="s">
        <v>754</v>
      </c>
      <c r="H213" s="107">
        <v>5000</v>
      </c>
      <c r="I213" s="9"/>
      <c r="J213" s="8"/>
      <c r="K213" s="9">
        <f>+K212+Table2345356[[#This Row],[AMOUNT]]-Table2345356[[#This Row],[AMOUNT2]]-Table2345356[[#This Row],[AMOUNT3]]</f>
        <v>-570900</v>
      </c>
    </row>
    <row r="214" spans="1:11" hidden="1" x14ac:dyDescent="0.35">
      <c r="A214" s="64">
        <v>46206</v>
      </c>
      <c r="B214" s="64"/>
      <c r="C214" s="7"/>
      <c r="D214" s="8"/>
      <c r="E214" s="97" t="s">
        <v>372</v>
      </c>
      <c r="F214" s="97" t="s">
        <v>821</v>
      </c>
      <c r="G214" s="96" t="s">
        <v>755</v>
      </c>
      <c r="H214" s="107">
        <v>100000</v>
      </c>
      <c r="I214" s="9"/>
      <c r="J214" s="8"/>
      <c r="K214" s="9">
        <f>+K213+Table2345356[[#This Row],[AMOUNT]]-Table2345356[[#This Row],[AMOUNT2]]-Table2345356[[#This Row],[AMOUNT3]]</f>
        <v>-670900</v>
      </c>
    </row>
    <row r="215" spans="1:11" hidden="1" x14ac:dyDescent="0.35">
      <c r="A215" s="64">
        <v>46207</v>
      </c>
      <c r="B215" s="64"/>
      <c r="C215" s="7" t="s">
        <v>50</v>
      </c>
      <c r="D215" s="8">
        <v>20000</v>
      </c>
      <c r="E215" s="7" t="s">
        <v>757</v>
      </c>
      <c r="F215" s="7" t="s">
        <v>757</v>
      </c>
      <c r="G215" s="9" t="s">
        <v>758</v>
      </c>
      <c r="H215" s="13">
        <v>4200</v>
      </c>
      <c r="I215" s="9" t="s">
        <v>46</v>
      </c>
      <c r="J215" s="23">
        <v>20000</v>
      </c>
      <c r="K215" s="9">
        <f>+K214+Table2345356[[#This Row],[AMOUNT]]-Table2345356[[#This Row],[AMOUNT2]]-Table2345356[[#This Row],[AMOUNT3]]</f>
        <v>-675100</v>
      </c>
    </row>
    <row r="216" spans="1:11" hidden="1" x14ac:dyDescent="0.35">
      <c r="A216" s="64">
        <v>46208</v>
      </c>
      <c r="B216" s="64"/>
      <c r="C216" s="7"/>
      <c r="D216" s="8"/>
      <c r="E216" s="7" t="s">
        <v>757</v>
      </c>
      <c r="F216" s="7" t="s">
        <v>43</v>
      </c>
      <c r="G216" s="9" t="s">
        <v>599</v>
      </c>
      <c r="H216" s="13">
        <v>450</v>
      </c>
      <c r="I216" s="9"/>
      <c r="J216" s="8"/>
      <c r="K216" s="9">
        <f>+K215+Table2345356[[#This Row],[AMOUNT]]-Table2345356[[#This Row],[AMOUNT2]]-Table2345356[[#This Row],[AMOUNT3]]</f>
        <v>-675550</v>
      </c>
    </row>
    <row r="217" spans="1:11" hidden="1" x14ac:dyDescent="0.35">
      <c r="A217" s="64">
        <v>46209</v>
      </c>
      <c r="B217" s="64"/>
      <c r="C217" s="7"/>
      <c r="D217" s="8"/>
      <c r="E217" s="7" t="s">
        <v>47</v>
      </c>
      <c r="F217" s="7" t="s">
        <v>822</v>
      </c>
      <c r="G217" s="9" t="s">
        <v>441</v>
      </c>
      <c r="H217" s="13">
        <v>15000</v>
      </c>
      <c r="I217" s="9"/>
      <c r="J217" s="8"/>
      <c r="K217" s="9">
        <f>+K216+Table2345356[[#This Row],[AMOUNT]]-Table2345356[[#This Row],[AMOUNT2]]-Table2345356[[#This Row],[AMOUNT3]]</f>
        <v>-690550</v>
      </c>
    </row>
    <row r="218" spans="1:11" x14ac:dyDescent="0.35">
      <c r="A218" s="64">
        <v>46209</v>
      </c>
      <c r="B218" s="64"/>
      <c r="C218" s="7"/>
      <c r="D218" s="8"/>
      <c r="E218" s="7" t="s">
        <v>61</v>
      </c>
      <c r="F218" s="7" t="s">
        <v>85</v>
      </c>
      <c r="G218" s="9" t="s">
        <v>759</v>
      </c>
      <c r="H218" s="13">
        <v>300</v>
      </c>
      <c r="I218" s="9" t="s">
        <v>46</v>
      </c>
      <c r="J218" s="23">
        <v>10000</v>
      </c>
      <c r="K218" s="9">
        <f>+K217+Table2345356[[#This Row],[AMOUNT]]-Table2345356[[#This Row],[AMOUNT2]]-Table2345356[[#This Row],[AMOUNT3]]</f>
        <v>-700850</v>
      </c>
    </row>
    <row r="219" spans="1:11" hidden="1" x14ac:dyDescent="0.35">
      <c r="A219" s="64">
        <v>46209</v>
      </c>
      <c r="B219" s="64"/>
      <c r="C219" s="7"/>
      <c r="D219" s="8"/>
      <c r="E219" s="7" t="s">
        <v>47</v>
      </c>
      <c r="F219" s="7" t="s">
        <v>749</v>
      </c>
      <c r="G219" s="9" t="s">
        <v>52</v>
      </c>
      <c r="H219" s="13">
        <v>1000</v>
      </c>
      <c r="I219" s="9"/>
      <c r="J219" s="8"/>
      <c r="K219" s="9">
        <f>+K218+Table2345356[[#This Row],[AMOUNT]]-Table2345356[[#This Row],[AMOUNT2]]-Table2345356[[#This Row],[AMOUNT3]]</f>
        <v>-701850</v>
      </c>
    </row>
    <row r="220" spans="1:11" hidden="1" x14ac:dyDescent="0.35">
      <c r="A220" s="64">
        <v>46209</v>
      </c>
      <c r="B220" s="64"/>
      <c r="C220" s="7"/>
      <c r="D220" s="8"/>
      <c r="E220" s="7" t="s">
        <v>99</v>
      </c>
      <c r="F220" s="7" t="s">
        <v>49</v>
      </c>
      <c r="G220" s="9" t="s">
        <v>344</v>
      </c>
      <c r="H220" s="13">
        <v>15133</v>
      </c>
      <c r="I220" s="9"/>
      <c r="J220" s="8"/>
      <c r="K220" s="9">
        <f>+K219+Table2345356[[#This Row],[AMOUNT]]-Table2345356[[#This Row],[AMOUNT2]]-Table2345356[[#This Row],[AMOUNT3]]</f>
        <v>-716983</v>
      </c>
    </row>
    <row r="221" spans="1:11" hidden="1" x14ac:dyDescent="0.35">
      <c r="A221" s="64">
        <v>46209</v>
      </c>
      <c r="B221" s="64"/>
      <c r="C221" s="7"/>
      <c r="D221" s="8"/>
      <c r="E221" s="97" t="s">
        <v>47</v>
      </c>
      <c r="F221" s="97" t="s">
        <v>40</v>
      </c>
      <c r="G221" s="96" t="s">
        <v>521</v>
      </c>
      <c r="H221" s="107">
        <v>555</v>
      </c>
      <c r="I221" s="9"/>
      <c r="J221" s="8"/>
      <c r="K221" s="9">
        <f>+K220+Table2345356[[#This Row],[AMOUNT]]-Table2345356[[#This Row],[AMOUNT2]]-Table2345356[[#This Row],[AMOUNT3]]</f>
        <v>-717538</v>
      </c>
    </row>
    <row r="222" spans="1:11" hidden="1" x14ac:dyDescent="0.35">
      <c r="A222" s="64">
        <v>46210</v>
      </c>
      <c r="B222" s="64"/>
      <c r="C222" s="7" t="s">
        <v>760</v>
      </c>
      <c r="D222" s="8">
        <v>80000</v>
      </c>
      <c r="E222" s="97"/>
      <c r="F222" s="97"/>
      <c r="G222" s="96"/>
      <c r="H222" s="107"/>
      <c r="I222" s="9" t="s">
        <v>605</v>
      </c>
      <c r="J222" s="23">
        <v>10000</v>
      </c>
      <c r="K222" s="9">
        <f>+K221+Table2345356[[#This Row],[AMOUNT]]-Table2345356[[#This Row],[AMOUNT2]]-Table2345356[[#This Row],[AMOUNT3]]</f>
        <v>-647538</v>
      </c>
    </row>
    <row r="223" spans="1:11" hidden="1" x14ac:dyDescent="0.35">
      <c r="A223" s="64">
        <v>46210</v>
      </c>
      <c r="B223" s="64"/>
      <c r="C223" s="7"/>
      <c r="D223" s="8"/>
      <c r="E223" s="97" t="s">
        <v>47</v>
      </c>
      <c r="F223" s="97" t="s">
        <v>749</v>
      </c>
      <c r="G223" s="96" t="s">
        <v>761</v>
      </c>
      <c r="H223" s="107">
        <v>1000</v>
      </c>
      <c r="I223" s="9"/>
      <c r="J223" s="8"/>
      <c r="K223" s="9">
        <f>+K222+Table2345356[[#This Row],[AMOUNT]]-Table2345356[[#This Row],[AMOUNT2]]-Table2345356[[#This Row],[AMOUNT3]]</f>
        <v>-648538</v>
      </c>
    </row>
    <row r="224" spans="1:11" hidden="1" x14ac:dyDescent="0.35">
      <c r="A224" s="64">
        <v>46210</v>
      </c>
      <c r="B224" s="64"/>
      <c r="C224" s="7"/>
      <c r="D224" s="8"/>
      <c r="E224" s="97" t="s">
        <v>99</v>
      </c>
      <c r="F224" s="97" t="s">
        <v>49</v>
      </c>
      <c r="G224" s="96" t="s">
        <v>762</v>
      </c>
      <c r="H224" s="107">
        <v>4933</v>
      </c>
      <c r="I224" s="9"/>
      <c r="J224" s="8"/>
      <c r="K224" s="9">
        <f>+K223+Table2345356[[#This Row],[AMOUNT]]-Table2345356[[#This Row],[AMOUNT2]]-Table2345356[[#This Row],[AMOUNT3]]</f>
        <v>-653471</v>
      </c>
    </row>
    <row r="225" spans="1:11" hidden="1" x14ac:dyDescent="0.35">
      <c r="A225" s="64">
        <v>46210</v>
      </c>
      <c r="B225" s="64"/>
      <c r="C225" s="7"/>
      <c r="D225" s="8"/>
      <c r="E225" s="97" t="s">
        <v>47</v>
      </c>
      <c r="F225" s="97" t="s">
        <v>40</v>
      </c>
      <c r="G225" s="96" t="s">
        <v>521</v>
      </c>
      <c r="H225" s="107">
        <v>461</v>
      </c>
      <c r="I225" s="9"/>
      <c r="J225" s="8"/>
      <c r="K225" s="9">
        <f>+K224+Table2345356[[#This Row],[AMOUNT]]-Table2345356[[#This Row],[AMOUNT2]]-Table2345356[[#This Row],[AMOUNT3]]</f>
        <v>-653932</v>
      </c>
    </row>
    <row r="226" spans="1:11" hidden="1" x14ac:dyDescent="0.35">
      <c r="A226" s="64">
        <v>46211</v>
      </c>
      <c r="B226" s="64"/>
      <c r="C226" s="7" t="s">
        <v>449</v>
      </c>
      <c r="D226" s="8">
        <v>150000</v>
      </c>
      <c r="E226" s="97" t="s">
        <v>47</v>
      </c>
      <c r="F226" s="97" t="s">
        <v>43</v>
      </c>
      <c r="G226" s="96" t="s">
        <v>887</v>
      </c>
      <c r="H226" s="107">
        <v>7000</v>
      </c>
      <c r="I226" s="9"/>
      <c r="J226" s="8"/>
      <c r="K226" s="9">
        <f>+K225+Table2345356[[#This Row],[AMOUNT]]-Table2345356[[#This Row],[AMOUNT2]]-Table2345356[[#This Row],[AMOUNT3]]</f>
        <v>-510932</v>
      </c>
    </row>
    <row r="227" spans="1:11" hidden="1" x14ac:dyDescent="0.35">
      <c r="A227" s="64">
        <v>46211</v>
      </c>
      <c r="B227" s="64"/>
      <c r="C227" s="7"/>
      <c r="D227" s="8"/>
      <c r="E227" s="97" t="s">
        <v>47</v>
      </c>
      <c r="F227" s="97" t="s">
        <v>43</v>
      </c>
      <c r="G227" s="96" t="s">
        <v>888</v>
      </c>
      <c r="H227" s="13">
        <v>448</v>
      </c>
      <c r="I227" s="9"/>
      <c r="J227" s="8"/>
      <c r="K227" s="9">
        <f>+K226+Table2345356[[#This Row],[AMOUNT]]-Table2345356[[#This Row],[AMOUNT2]]-Table2345356[[#This Row],[AMOUNT3]]</f>
        <v>-511380</v>
      </c>
    </row>
    <row r="228" spans="1:11" hidden="1" x14ac:dyDescent="0.35">
      <c r="A228" s="64">
        <v>46211</v>
      </c>
      <c r="B228" s="64"/>
      <c r="C228" s="7"/>
      <c r="D228" s="8"/>
      <c r="E228" s="97" t="s">
        <v>39</v>
      </c>
      <c r="F228" s="97" t="s">
        <v>750</v>
      </c>
      <c r="G228" s="96" t="s">
        <v>820</v>
      </c>
      <c r="H228" s="13">
        <v>5000</v>
      </c>
      <c r="I228" s="9"/>
      <c r="J228" s="8"/>
      <c r="K228" s="9">
        <f>+K227+Table2345356[[#This Row],[AMOUNT]]-Table2345356[[#This Row],[AMOUNT2]]-Table2345356[[#This Row],[AMOUNT3]]</f>
        <v>-516380</v>
      </c>
    </row>
    <row r="229" spans="1:11" x14ac:dyDescent="0.35">
      <c r="A229" s="64">
        <v>46211</v>
      </c>
      <c r="B229" s="64"/>
      <c r="C229" s="7"/>
      <c r="D229" s="8"/>
      <c r="E229" s="97" t="s">
        <v>61</v>
      </c>
      <c r="F229" s="97" t="s">
        <v>85</v>
      </c>
      <c r="G229" s="96" t="s">
        <v>889</v>
      </c>
      <c r="H229" s="13">
        <v>80</v>
      </c>
      <c r="I229" s="9"/>
      <c r="J229" s="8"/>
      <c r="K229" s="9">
        <f>+K228+Table2345356[[#This Row],[AMOUNT]]-Table2345356[[#This Row],[AMOUNT2]]-Table2345356[[#This Row],[AMOUNT3]]</f>
        <v>-516460</v>
      </c>
    </row>
    <row r="230" spans="1:11" hidden="1" x14ac:dyDescent="0.35">
      <c r="A230" s="64">
        <v>46211</v>
      </c>
      <c r="B230" s="64"/>
      <c r="C230" s="7"/>
      <c r="D230" s="8"/>
      <c r="E230" s="97" t="s">
        <v>47</v>
      </c>
      <c r="F230" s="97" t="s">
        <v>40</v>
      </c>
      <c r="G230" s="96" t="s">
        <v>599</v>
      </c>
      <c r="H230" s="13">
        <v>550</v>
      </c>
      <c r="I230" s="9"/>
      <c r="J230" s="8"/>
      <c r="K230" s="9">
        <f>+K229+Table2345356[[#This Row],[AMOUNT]]-Table2345356[[#This Row],[AMOUNT2]]-Table2345356[[#This Row],[AMOUNT3]]</f>
        <v>-517010</v>
      </c>
    </row>
    <row r="231" spans="1:11" hidden="1" x14ac:dyDescent="0.35">
      <c r="A231" s="64">
        <v>46212</v>
      </c>
      <c r="B231" s="64"/>
      <c r="C231" s="7"/>
      <c r="D231" s="8"/>
      <c r="E231" s="97"/>
      <c r="F231" s="97"/>
      <c r="G231" s="96"/>
      <c r="H231" s="13"/>
      <c r="I231" s="9" t="s">
        <v>46</v>
      </c>
      <c r="J231" s="23">
        <v>8000</v>
      </c>
      <c r="K231" s="9">
        <f>+K230+Table2345356[[#This Row],[AMOUNT]]-Table2345356[[#This Row],[AMOUNT2]]-Table2345356[[#This Row],[AMOUNT3]]</f>
        <v>-525010</v>
      </c>
    </row>
    <row r="232" spans="1:11" hidden="1" x14ac:dyDescent="0.35">
      <c r="A232" s="64">
        <v>46212</v>
      </c>
      <c r="B232" s="64"/>
      <c r="C232" s="7"/>
      <c r="D232" s="8"/>
      <c r="E232" s="97"/>
      <c r="F232" s="97"/>
      <c r="G232" s="96" t="s">
        <v>890</v>
      </c>
      <c r="H232" s="13">
        <v>500</v>
      </c>
      <c r="I232" s="9"/>
      <c r="J232" s="8"/>
      <c r="K232" s="9">
        <f>+K231+Table2345356[[#This Row],[AMOUNT]]-Table2345356[[#This Row],[AMOUNT2]]-Table2345356[[#This Row],[AMOUNT3]]</f>
        <v>-525510</v>
      </c>
    </row>
    <row r="233" spans="1:11" hidden="1" x14ac:dyDescent="0.35">
      <c r="A233" s="64">
        <v>46212</v>
      </c>
      <c r="B233" s="64"/>
      <c r="C233" s="7"/>
      <c r="D233" s="8"/>
      <c r="E233" s="97" t="s">
        <v>49</v>
      </c>
      <c r="F233" s="97" t="s">
        <v>99</v>
      </c>
      <c r="G233" s="96" t="s">
        <v>448</v>
      </c>
      <c r="H233" s="13">
        <v>25930</v>
      </c>
      <c r="I233" s="9"/>
      <c r="J233" s="8"/>
      <c r="K233" s="9">
        <f>+K232+Table2345356[[#This Row],[AMOUNT]]-Table2345356[[#This Row],[AMOUNT2]]-Table2345356[[#This Row],[AMOUNT3]]</f>
        <v>-551440</v>
      </c>
    </row>
    <row r="234" spans="1:11" hidden="1" x14ac:dyDescent="0.35">
      <c r="A234" s="64">
        <v>46213</v>
      </c>
      <c r="B234" s="64"/>
      <c r="C234" s="7" t="s">
        <v>50</v>
      </c>
      <c r="D234" s="8">
        <v>10000</v>
      </c>
      <c r="E234" s="97" t="s">
        <v>49</v>
      </c>
      <c r="F234" s="97" t="s">
        <v>49</v>
      </c>
      <c r="G234" s="96" t="s">
        <v>441</v>
      </c>
      <c r="H234" s="13">
        <v>9600</v>
      </c>
      <c r="I234" s="9"/>
      <c r="J234" s="8"/>
      <c r="K234" s="9">
        <f>+K233+Table2345356[[#This Row],[AMOUNT]]-Table2345356[[#This Row],[AMOUNT2]]-Table2345356[[#This Row],[AMOUNT3]]</f>
        <v>-551040</v>
      </c>
    </row>
    <row r="235" spans="1:11" hidden="1" x14ac:dyDescent="0.35">
      <c r="A235" s="64">
        <v>46213</v>
      </c>
      <c r="B235" s="64"/>
      <c r="C235" s="7"/>
      <c r="D235" s="8"/>
      <c r="E235" s="97" t="s">
        <v>39</v>
      </c>
      <c r="F235" s="97" t="s">
        <v>896</v>
      </c>
      <c r="G235" s="96" t="s">
        <v>891</v>
      </c>
      <c r="H235" s="13">
        <v>50000</v>
      </c>
      <c r="I235" s="9" t="s">
        <v>634</v>
      </c>
      <c r="J235" s="23">
        <v>10000</v>
      </c>
      <c r="K235" s="9">
        <f>+K234+Table2345356[[#This Row],[AMOUNT]]-Table2345356[[#This Row],[AMOUNT2]]-Table2345356[[#This Row],[AMOUNT3]]</f>
        <v>-611040</v>
      </c>
    </row>
    <row r="236" spans="1:11" hidden="1" x14ac:dyDescent="0.35">
      <c r="A236" s="64">
        <v>46214</v>
      </c>
      <c r="B236" s="64"/>
      <c r="C236" s="7"/>
      <c r="D236" s="8"/>
      <c r="E236" s="97"/>
      <c r="F236" s="97"/>
      <c r="G236" s="96"/>
      <c r="H236" s="13"/>
      <c r="I236" s="9" t="s">
        <v>364</v>
      </c>
      <c r="J236" s="23">
        <v>9500</v>
      </c>
      <c r="K236" s="9">
        <f>+K235+Table2345356[[#This Row],[AMOUNT]]-Table2345356[[#This Row],[AMOUNT2]]-Table2345356[[#This Row],[AMOUNT3]]</f>
        <v>-620540</v>
      </c>
    </row>
    <row r="237" spans="1:11" hidden="1" x14ac:dyDescent="0.35">
      <c r="A237" s="64">
        <v>46214</v>
      </c>
      <c r="B237" s="64"/>
      <c r="C237" s="7"/>
      <c r="D237" s="8"/>
      <c r="E237" s="97" t="s">
        <v>355</v>
      </c>
      <c r="F237" s="97" t="s">
        <v>40</v>
      </c>
      <c r="G237" s="96" t="s">
        <v>892</v>
      </c>
      <c r="H237" s="13">
        <v>7200</v>
      </c>
      <c r="I237" s="9"/>
      <c r="J237" s="8"/>
      <c r="K237" s="9">
        <f>+K236+Table2345356[[#This Row],[AMOUNT]]-Table2345356[[#This Row],[AMOUNT2]]-Table2345356[[#This Row],[AMOUNT3]]</f>
        <v>-627740</v>
      </c>
    </row>
    <row r="238" spans="1:11" hidden="1" x14ac:dyDescent="0.35">
      <c r="A238" s="64">
        <v>46215</v>
      </c>
      <c r="B238" s="64"/>
      <c r="C238" s="7"/>
      <c r="D238" s="8"/>
      <c r="E238" s="97"/>
      <c r="F238" s="97"/>
      <c r="G238" s="96"/>
      <c r="H238" s="13"/>
      <c r="I238" s="9" t="s">
        <v>46</v>
      </c>
      <c r="J238" s="23">
        <v>17000</v>
      </c>
      <c r="K238" s="9">
        <f>+K237+Table2345356[[#This Row],[AMOUNT]]-Table2345356[[#This Row],[AMOUNT2]]-Table2345356[[#This Row],[AMOUNT3]]</f>
        <v>-644740</v>
      </c>
    </row>
    <row r="239" spans="1:11" hidden="1" x14ac:dyDescent="0.35">
      <c r="A239" s="64">
        <v>46215</v>
      </c>
      <c r="B239" s="64"/>
      <c r="C239" s="7"/>
      <c r="D239" s="8"/>
      <c r="E239" s="97" t="s">
        <v>355</v>
      </c>
      <c r="F239" s="97" t="s">
        <v>40</v>
      </c>
      <c r="G239" s="96" t="s">
        <v>599</v>
      </c>
      <c r="H239" s="13">
        <v>1657</v>
      </c>
      <c r="I239" s="9"/>
      <c r="J239" s="8"/>
      <c r="K239" s="9">
        <f>+K238+Table2345356[[#This Row],[AMOUNT]]-Table2345356[[#This Row],[AMOUNT2]]-Table2345356[[#This Row],[AMOUNT3]]</f>
        <v>-646397</v>
      </c>
    </row>
    <row r="240" spans="1:11" hidden="1" x14ac:dyDescent="0.35">
      <c r="A240" s="64">
        <v>46216</v>
      </c>
      <c r="B240" s="64"/>
      <c r="C240" s="7" t="s">
        <v>893</v>
      </c>
      <c r="D240" s="8">
        <v>25000</v>
      </c>
      <c r="E240" s="97"/>
      <c r="F240" s="97"/>
      <c r="G240" s="96"/>
      <c r="H240" s="13"/>
      <c r="I240" s="9" t="s">
        <v>605</v>
      </c>
      <c r="J240" s="23">
        <v>25000</v>
      </c>
      <c r="K240" s="9">
        <f>+K239+Table2345356[[#This Row],[AMOUNT]]-Table2345356[[#This Row],[AMOUNT2]]-Table2345356[[#This Row],[AMOUNT3]]</f>
        <v>-646397</v>
      </c>
    </row>
    <row r="241" spans="1:12" hidden="1" x14ac:dyDescent="0.35">
      <c r="A241" s="64">
        <v>46216</v>
      </c>
      <c r="B241" s="64"/>
      <c r="C241" s="7"/>
      <c r="D241" s="8"/>
      <c r="E241" s="97"/>
      <c r="F241" s="97"/>
      <c r="G241" s="96"/>
      <c r="H241" s="13"/>
      <c r="I241" s="9" t="s">
        <v>438</v>
      </c>
      <c r="J241" s="8">
        <v>5000</v>
      </c>
      <c r="K241" s="9">
        <f>+K240+Table2345356[[#This Row],[AMOUNT]]-Table2345356[[#This Row],[AMOUNT2]]-Table2345356[[#This Row],[AMOUNT3]]</f>
        <v>-651397</v>
      </c>
    </row>
    <row r="242" spans="1:12" hidden="1" x14ac:dyDescent="0.35">
      <c r="A242" s="64">
        <v>46216</v>
      </c>
      <c r="B242" s="64"/>
      <c r="C242" s="7"/>
      <c r="D242" s="8"/>
      <c r="E242" s="97" t="s">
        <v>372</v>
      </c>
      <c r="F242" s="97" t="s">
        <v>0</v>
      </c>
      <c r="G242" s="96" t="s">
        <v>894</v>
      </c>
      <c r="H242" s="13">
        <v>17753</v>
      </c>
      <c r="I242" s="9"/>
      <c r="J242" s="8"/>
      <c r="K242" s="9">
        <f>+K241+Table2345356[[#This Row],[AMOUNT]]-Table2345356[[#This Row],[AMOUNT2]]-Table2345356[[#This Row],[AMOUNT3]]</f>
        <v>-669150</v>
      </c>
    </row>
    <row r="243" spans="1:12" hidden="1" x14ac:dyDescent="0.35">
      <c r="A243" s="64">
        <v>46216</v>
      </c>
      <c r="B243" s="64"/>
      <c r="C243" s="7"/>
      <c r="D243" s="8"/>
      <c r="E243" s="97" t="s">
        <v>355</v>
      </c>
      <c r="F243" s="97" t="s">
        <v>40</v>
      </c>
      <c r="G243" s="96" t="s">
        <v>599</v>
      </c>
      <c r="H243" s="13">
        <v>1030</v>
      </c>
      <c r="I243" s="9"/>
      <c r="J243" s="8"/>
      <c r="K243" s="9">
        <f>+K242+Table2345356[[#This Row],[AMOUNT]]-Table2345356[[#This Row],[AMOUNT2]]-Table2345356[[#This Row],[AMOUNT3]]</f>
        <v>-670180</v>
      </c>
    </row>
    <row r="244" spans="1:12" hidden="1" x14ac:dyDescent="0.35">
      <c r="A244" s="64">
        <v>46217</v>
      </c>
      <c r="B244" s="64"/>
      <c r="C244" s="7"/>
      <c r="D244" s="8"/>
      <c r="E244" s="97"/>
      <c r="F244" s="97"/>
      <c r="G244" s="96"/>
      <c r="H244" s="13"/>
      <c r="I244" s="9" t="s">
        <v>98</v>
      </c>
      <c r="J244" s="8">
        <v>200000</v>
      </c>
      <c r="K244" s="9">
        <f>+K243+Table2345356[[#This Row],[AMOUNT]]-Table2345356[[#This Row],[AMOUNT2]]-Table2345356[[#This Row],[AMOUNT3]]</f>
        <v>-870180</v>
      </c>
    </row>
    <row r="245" spans="1:12" hidden="1" x14ac:dyDescent="0.35">
      <c r="A245" s="64">
        <v>46217</v>
      </c>
      <c r="B245" s="64"/>
      <c r="C245" s="7"/>
      <c r="D245" s="8"/>
      <c r="E245" s="97"/>
      <c r="F245" s="97"/>
      <c r="G245" s="96"/>
      <c r="H245" s="13"/>
      <c r="I245" s="9" t="s">
        <v>605</v>
      </c>
      <c r="J245" s="23">
        <v>30000</v>
      </c>
      <c r="K245" s="9">
        <f>+K244+Table2345356[[#This Row],[AMOUNT]]-Table2345356[[#This Row],[AMOUNT2]]-Table2345356[[#This Row],[AMOUNT3]]</f>
        <v>-900180</v>
      </c>
    </row>
    <row r="246" spans="1:12" hidden="1" x14ac:dyDescent="0.35">
      <c r="A246" s="64">
        <v>46217</v>
      </c>
      <c r="B246" s="64"/>
      <c r="C246" s="7"/>
      <c r="D246" s="8"/>
      <c r="E246" s="7"/>
      <c r="F246" s="7"/>
      <c r="G246" s="9"/>
      <c r="H246" s="13"/>
      <c r="I246" s="9" t="s">
        <v>46</v>
      </c>
      <c r="J246" s="23">
        <v>5000</v>
      </c>
      <c r="K246" s="9">
        <f>+K245+Table2345356[[#This Row],[AMOUNT]]-Table2345356[[#This Row],[AMOUNT2]]-Table2345356[[#This Row],[AMOUNT3]]</f>
        <v>-905180</v>
      </c>
    </row>
    <row r="247" spans="1:12" hidden="1" x14ac:dyDescent="0.35">
      <c r="A247" s="64">
        <v>46217</v>
      </c>
      <c r="B247" s="64"/>
      <c r="C247" s="7"/>
      <c r="D247" s="8"/>
      <c r="E247" s="7" t="s">
        <v>47</v>
      </c>
      <c r="F247" s="7" t="s">
        <v>749</v>
      </c>
      <c r="G247" s="9" t="s">
        <v>356</v>
      </c>
      <c r="H247" s="13">
        <v>2000</v>
      </c>
      <c r="I247" s="9"/>
      <c r="J247" s="8"/>
      <c r="K247" s="9">
        <f>+K246+Table2345356[[#This Row],[AMOUNT]]-Table2345356[[#This Row],[AMOUNT2]]-Table2345356[[#This Row],[AMOUNT3]]</f>
        <v>-907180</v>
      </c>
    </row>
    <row r="248" spans="1:12" hidden="1" x14ac:dyDescent="0.35">
      <c r="A248" s="64">
        <v>46218</v>
      </c>
      <c r="B248" s="64"/>
      <c r="C248" s="7"/>
      <c r="D248" s="8"/>
      <c r="E248" s="7" t="s">
        <v>49</v>
      </c>
      <c r="F248" s="7" t="s">
        <v>49</v>
      </c>
      <c r="G248" s="9" t="s">
        <v>895</v>
      </c>
      <c r="H248" s="13">
        <v>3125</v>
      </c>
      <c r="I248" s="9"/>
      <c r="J248" s="8"/>
      <c r="K248" s="9">
        <f>+K247+Table2345356[[#This Row],[AMOUNT]]-Table2345356[[#This Row],[AMOUNT2]]-Table2345356[[#This Row],[AMOUNT3]]</f>
        <v>-910305</v>
      </c>
    </row>
    <row r="249" spans="1:12" hidden="1" x14ac:dyDescent="0.35">
      <c r="A249" s="64">
        <v>46218</v>
      </c>
      <c r="B249" s="64"/>
      <c r="C249" s="7"/>
      <c r="D249" s="8"/>
      <c r="E249" s="7" t="s">
        <v>355</v>
      </c>
      <c r="F249" s="7" t="s">
        <v>40</v>
      </c>
      <c r="G249" s="9" t="s">
        <v>899</v>
      </c>
      <c r="H249" s="13">
        <v>768</v>
      </c>
      <c r="I249" s="9"/>
      <c r="J249" s="8"/>
      <c r="K249" s="9">
        <f>+K248+Table2345356[[#This Row],[AMOUNT]]-Table2345356[[#This Row],[AMOUNT2]]-Table2345356[[#This Row],[AMOUNT3]]</f>
        <v>-911073</v>
      </c>
      <c r="L249" t="s">
        <v>901</v>
      </c>
    </row>
    <row r="250" spans="1:12" hidden="1" x14ac:dyDescent="0.35">
      <c r="A250" s="64">
        <v>46219</v>
      </c>
      <c r="B250" s="64"/>
      <c r="C250" s="7" t="s">
        <v>449</v>
      </c>
      <c r="D250" s="8">
        <v>500000</v>
      </c>
      <c r="E250" s="7" t="s">
        <v>450</v>
      </c>
      <c r="F250" s="7" t="s">
        <v>450</v>
      </c>
      <c r="G250" s="9" t="s">
        <v>897</v>
      </c>
      <c r="H250" s="13">
        <v>500000</v>
      </c>
      <c r="I250" s="9"/>
      <c r="J250" s="8"/>
      <c r="K250" s="9">
        <f>+K249+Table2345356[[#This Row],[AMOUNT]]-Table2345356[[#This Row],[AMOUNT2]]-Table2345356[[#This Row],[AMOUNT3]]</f>
        <v>-911073</v>
      </c>
    </row>
    <row r="251" spans="1:12" hidden="1" x14ac:dyDescent="0.35">
      <c r="A251" s="64">
        <v>46219</v>
      </c>
      <c r="B251" s="64"/>
      <c r="C251" s="7"/>
      <c r="D251" s="8"/>
      <c r="E251" s="7" t="s">
        <v>49</v>
      </c>
      <c r="F251" s="7" t="s">
        <v>49</v>
      </c>
      <c r="G251" s="9" t="s">
        <v>898</v>
      </c>
      <c r="H251" s="13">
        <v>5100</v>
      </c>
      <c r="I251" s="9"/>
      <c r="J251" s="8"/>
      <c r="K251" s="9">
        <f>+K250+Table2345356[[#This Row],[AMOUNT]]-Table2345356[[#This Row],[AMOUNT2]]-Table2345356[[#This Row],[AMOUNT3]]</f>
        <v>-916173</v>
      </c>
    </row>
    <row r="252" spans="1:12" hidden="1" x14ac:dyDescent="0.35">
      <c r="A252" s="64">
        <v>46219</v>
      </c>
      <c r="B252" s="64"/>
      <c r="C252" s="7"/>
      <c r="D252" s="8"/>
      <c r="E252" s="7" t="s">
        <v>355</v>
      </c>
      <c r="F252" s="7" t="s">
        <v>40</v>
      </c>
      <c r="G252" s="9" t="s">
        <v>40</v>
      </c>
      <c r="H252" s="13">
        <v>500</v>
      </c>
      <c r="I252" s="9"/>
      <c r="J252" s="8"/>
      <c r="K252" s="9">
        <f>+K251+Table2345356[[#This Row],[AMOUNT]]-Table2345356[[#This Row],[AMOUNT2]]-Table2345356[[#This Row],[AMOUNT3]]</f>
        <v>-916673</v>
      </c>
    </row>
    <row r="253" spans="1:12" hidden="1" x14ac:dyDescent="0.35">
      <c r="A253" s="64">
        <v>46220</v>
      </c>
      <c r="B253" s="64"/>
      <c r="C253" s="7"/>
      <c r="D253" s="8"/>
      <c r="E253" s="7"/>
      <c r="F253" s="7"/>
      <c r="G253" s="9"/>
      <c r="H253" s="13"/>
      <c r="I253" s="9" t="s">
        <v>605</v>
      </c>
      <c r="J253" s="8">
        <v>10000</v>
      </c>
      <c r="K253" s="9">
        <f>+K252+Table2345356[[#This Row],[AMOUNT]]-Table2345356[[#This Row],[AMOUNT2]]-Table2345356[[#This Row],[AMOUNT3]]</f>
        <v>-926673</v>
      </c>
    </row>
    <row r="254" spans="1:12" hidden="1" x14ac:dyDescent="0.35">
      <c r="A254" s="64">
        <v>46220</v>
      </c>
      <c r="B254" s="64"/>
      <c r="C254" s="7"/>
      <c r="D254" s="8"/>
      <c r="E254" s="7"/>
      <c r="F254" s="7"/>
      <c r="G254" s="9"/>
      <c r="H254" s="13"/>
      <c r="I254" s="9" t="s">
        <v>46</v>
      </c>
      <c r="J254" s="8">
        <v>15100</v>
      </c>
      <c r="K254" s="9">
        <f>+K253+Table2345356[[#This Row],[AMOUNT]]-Table2345356[[#This Row],[AMOUNT2]]-Table2345356[[#This Row],[AMOUNT3]]</f>
        <v>-941773</v>
      </c>
    </row>
    <row r="255" spans="1:12" x14ac:dyDescent="0.35">
      <c r="A255" s="64">
        <v>46220</v>
      </c>
      <c r="B255" s="64"/>
      <c r="C255" s="7"/>
      <c r="D255" s="8"/>
      <c r="E255" s="7" t="s">
        <v>61</v>
      </c>
      <c r="F255" s="7" t="s">
        <v>85</v>
      </c>
      <c r="G255" s="9" t="s">
        <v>900</v>
      </c>
      <c r="H255" s="13">
        <v>1000</v>
      </c>
      <c r="I255" s="9"/>
      <c r="J255" s="8"/>
      <c r="K255" s="9">
        <f>+K254+Table2345356[[#This Row],[AMOUNT]]-Table2345356[[#This Row],[AMOUNT2]]-Table2345356[[#This Row],[AMOUNT3]]</f>
        <v>-942773</v>
      </c>
    </row>
    <row r="256" spans="1:12" hidden="1" x14ac:dyDescent="0.35">
      <c r="A256" s="64">
        <v>46220</v>
      </c>
      <c r="B256" s="64"/>
      <c r="C256" s="7"/>
      <c r="D256" s="8"/>
      <c r="E256" s="7" t="s">
        <v>355</v>
      </c>
      <c r="F256" s="7" t="s">
        <v>40</v>
      </c>
      <c r="G256" s="9" t="s">
        <v>345</v>
      </c>
      <c r="H256" s="13">
        <v>637</v>
      </c>
      <c r="I256" s="9"/>
      <c r="J256" s="8"/>
      <c r="K256" s="9">
        <f>+K255+Table2345356[[#This Row],[AMOUNT]]-Table2345356[[#This Row],[AMOUNT2]]-Table2345356[[#This Row],[AMOUNT3]]</f>
        <v>-943410</v>
      </c>
    </row>
    <row r="257" spans="1:11" hidden="1" x14ac:dyDescent="0.35">
      <c r="A257" s="64">
        <v>46221</v>
      </c>
      <c r="B257" s="64"/>
      <c r="C257" s="7"/>
      <c r="D257" s="8"/>
      <c r="E257" s="7"/>
      <c r="F257" s="7"/>
      <c r="G257" s="9"/>
      <c r="H257" s="13"/>
      <c r="I257" s="9" t="s">
        <v>46</v>
      </c>
      <c r="J257" s="8">
        <v>10600</v>
      </c>
      <c r="K257" s="9">
        <f>+K256+Table2345356[[#This Row],[AMOUNT]]-Table2345356[[#This Row],[AMOUNT2]]-Table2345356[[#This Row],[AMOUNT3]]</f>
        <v>-954010</v>
      </c>
    </row>
    <row r="258" spans="1:11" x14ac:dyDescent="0.35">
      <c r="A258" s="64">
        <v>46221</v>
      </c>
      <c r="B258" s="64"/>
      <c r="C258" s="7"/>
      <c r="D258" s="8"/>
      <c r="E258" s="7" t="s">
        <v>61</v>
      </c>
      <c r="F258" s="7" t="s">
        <v>85</v>
      </c>
      <c r="G258" s="9" t="s">
        <v>889</v>
      </c>
      <c r="H258" s="13">
        <v>600</v>
      </c>
      <c r="I258" s="9"/>
      <c r="J258" s="8"/>
      <c r="K258" s="9">
        <f>+K257+Table2345356[[#This Row],[AMOUNT]]-Table2345356[[#This Row],[AMOUNT2]]-Table2345356[[#This Row],[AMOUNT3]]</f>
        <v>-954610</v>
      </c>
    </row>
    <row r="259" spans="1:11" hidden="1" x14ac:dyDescent="0.35">
      <c r="A259" s="64">
        <v>46221</v>
      </c>
      <c r="B259" s="64"/>
      <c r="C259" s="7"/>
      <c r="D259" s="8"/>
      <c r="E259" s="7" t="s">
        <v>355</v>
      </c>
      <c r="F259" s="7" t="s">
        <v>40</v>
      </c>
      <c r="G259" s="9" t="s">
        <v>599</v>
      </c>
      <c r="H259" s="13">
        <v>3100</v>
      </c>
      <c r="I259" s="9"/>
      <c r="J259" s="8"/>
      <c r="K259" s="9">
        <f>+K258+Table2345356[[#This Row],[AMOUNT]]-Table2345356[[#This Row],[AMOUNT2]]-Table2345356[[#This Row],[AMOUNT3]]</f>
        <v>-957710</v>
      </c>
    </row>
    <row r="260" spans="1:11" hidden="1" x14ac:dyDescent="0.35">
      <c r="A260" s="64">
        <v>46222</v>
      </c>
      <c r="B260" s="64"/>
      <c r="C260" s="7" t="s">
        <v>50</v>
      </c>
      <c r="D260" s="8">
        <v>20000</v>
      </c>
      <c r="E260" s="7"/>
      <c r="F260" s="7"/>
      <c r="G260" s="9"/>
      <c r="H260" s="13"/>
      <c r="I260" s="9" t="s">
        <v>46</v>
      </c>
      <c r="J260" s="8">
        <v>7000</v>
      </c>
      <c r="K260" s="9">
        <f>+K259+Table2345356[[#This Row],[AMOUNT]]-Table2345356[[#This Row],[AMOUNT2]]-Table2345356[[#This Row],[AMOUNT3]]</f>
        <v>-944710</v>
      </c>
    </row>
    <row r="261" spans="1:11" hidden="1" x14ac:dyDescent="0.35">
      <c r="A261" s="64">
        <v>46222</v>
      </c>
      <c r="B261" s="64"/>
      <c r="C261" s="7"/>
      <c r="D261" s="8"/>
      <c r="E261" s="7" t="s">
        <v>47</v>
      </c>
      <c r="F261" s="7" t="s">
        <v>43</v>
      </c>
      <c r="G261" s="9" t="s">
        <v>990</v>
      </c>
      <c r="H261" s="13">
        <v>207</v>
      </c>
      <c r="I261" s="9" t="s">
        <v>991</v>
      </c>
      <c r="J261" s="8">
        <v>20000</v>
      </c>
      <c r="K261" s="9">
        <f>+K260+Table2345356[[#This Row],[AMOUNT]]-Table2345356[[#This Row],[AMOUNT2]]-Table2345356[[#This Row],[AMOUNT3]]</f>
        <v>-964917</v>
      </c>
    </row>
    <row r="262" spans="1:11" hidden="1" x14ac:dyDescent="0.35">
      <c r="A262" s="64">
        <v>46223</v>
      </c>
      <c r="B262" s="64"/>
      <c r="C262" s="7" t="s">
        <v>97</v>
      </c>
      <c r="D262" s="8">
        <v>500000</v>
      </c>
      <c r="E262" s="7"/>
      <c r="F262" s="7"/>
      <c r="G262" s="9"/>
      <c r="H262" s="13">
        <v>0</v>
      </c>
      <c r="I262" s="9" t="s">
        <v>98</v>
      </c>
      <c r="J262" s="8">
        <v>200000</v>
      </c>
      <c r="K262" s="9">
        <f>+K261+Table2345356[[#This Row],[AMOUNT]]-Table2345356[[#This Row],[AMOUNT2]]-Table2345356[[#This Row],[AMOUNT3]]</f>
        <v>-664917</v>
      </c>
    </row>
    <row r="263" spans="1:11" hidden="1" x14ac:dyDescent="0.35">
      <c r="A263" s="64">
        <v>46223</v>
      </c>
      <c r="B263" s="64"/>
      <c r="C263" s="7"/>
      <c r="D263" s="8"/>
      <c r="E263" s="7" t="s">
        <v>39</v>
      </c>
      <c r="F263" s="7" t="s">
        <v>992</v>
      </c>
      <c r="G263" s="9" t="s">
        <v>993</v>
      </c>
      <c r="H263" s="13">
        <v>50000</v>
      </c>
      <c r="I263" s="9"/>
      <c r="J263" s="8"/>
      <c r="K263" s="9">
        <f>+K262+Table2345356[[#This Row],[AMOUNT]]-Table2345356[[#This Row],[AMOUNT2]]-Table2345356[[#This Row],[AMOUNT3]]</f>
        <v>-714917</v>
      </c>
    </row>
    <row r="264" spans="1:11" hidden="1" x14ac:dyDescent="0.35">
      <c r="A264" s="64">
        <v>46223</v>
      </c>
      <c r="B264" s="64"/>
      <c r="C264" s="7"/>
      <c r="D264" s="8"/>
      <c r="E264" s="7" t="s">
        <v>47</v>
      </c>
      <c r="F264" s="7" t="s">
        <v>823</v>
      </c>
      <c r="G264" s="9" t="s">
        <v>994</v>
      </c>
      <c r="H264" s="13">
        <v>25500</v>
      </c>
      <c r="I264" s="9"/>
      <c r="J264" s="8"/>
      <c r="K264" s="9">
        <f>+K263+Table2345356[[#This Row],[AMOUNT]]-Table2345356[[#This Row],[AMOUNT2]]-Table2345356[[#This Row],[AMOUNT3]]</f>
        <v>-740417</v>
      </c>
    </row>
    <row r="265" spans="1:11" hidden="1" x14ac:dyDescent="0.35">
      <c r="A265" s="64">
        <v>46223</v>
      </c>
      <c r="B265" s="64"/>
      <c r="C265" s="7"/>
      <c r="D265" s="8"/>
      <c r="E265" s="7" t="s">
        <v>39</v>
      </c>
      <c r="F265" s="7" t="s">
        <v>992</v>
      </c>
      <c r="G265" s="9" t="s">
        <v>993</v>
      </c>
      <c r="H265" s="13">
        <v>50000</v>
      </c>
      <c r="I265" s="9"/>
      <c r="J265" s="8"/>
      <c r="K265" s="9">
        <f>+K264+Table2345356[[#This Row],[AMOUNT]]-Table2345356[[#This Row],[AMOUNT2]]-Table2345356[[#This Row],[AMOUNT3]]</f>
        <v>-790417</v>
      </c>
    </row>
    <row r="266" spans="1:11" x14ac:dyDescent="0.35">
      <c r="A266" s="64">
        <v>46223</v>
      </c>
      <c r="B266" s="64"/>
      <c r="C266" s="7"/>
      <c r="D266" s="8"/>
      <c r="E266" s="7" t="s">
        <v>61</v>
      </c>
      <c r="F266" s="7" t="s">
        <v>85</v>
      </c>
      <c r="G266" s="9" t="s">
        <v>995</v>
      </c>
      <c r="H266" s="13">
        <v>200</v>
      </c>
      <c r="I266" s="9"/>
      <c r="J266" s="8"/>
      <c r="K266" s="9">
        <f>+K265+Table2345356[[#This Row],[AMOUNT]]-Table2345356[[#This Row],[AMOUNT2]]-Table2345356[[#This Row],[AMOUNT3]]</f>
        <v>-790617</v>
      </c>
    </row>
    <row r="267" spans="1:11" hidden="1" x14ac:dyDescent="0.35">
      <c r="A267" s="64">
        <v>46224</v>
      </c>
      <c r="B267" s="64"/>
      <c r="C267" s="7"/>
      <c r="D267" s="8"/>
      <c r="E267" s="7" t="s">
        <v>47</v>
      </c>
      <c r="F267" s="7" t="s">
        <v>40</v>
      </c>
      <c r="G267" s="9" t="s">
        <v>996</v>
      </c>
      <c r="H267" s="13">
        <v>1500</v>
      </c>
      <c r="I267" s="9"/>
      <c r="J267" s="8"/>
      <c r="K267" s="9">
        <f>+K266+Table2345356[[#This Row],[AMOUNT]]-Table2345356[[#This Row],[AMOUNT2]]-Table2345356[[#This Row],[AMOUNT3]]</f>
        <v>-792117</v>
      </c>
    </row>
    <row r="268" spans="1:11" x14ac:dyDescent="0.35">
      <c r="A268" s="64">
        <v>46226</v>
      </c>
      <c r="B268" s="64"/>
      <c r="C268" s="7"/>
      <c r="D268" s="8"/>
      <c r="E268" s="7" t="s">
        <v>61</v>
      </c>
      <c r="F268" s="7" t="s">
        <v>85</v>
      </c>
      <c r="G268" s="9" t="s">
        <v>997</v>
      </c>
      <c r="H268" s="13">
        <v>200</v>
      </c>
      <c r="I268" s="9"/>
      <c r="J268" s="8"/>
      <c r="K268" s="9">
        <f>+K267+Table2345356[[#This Row],[AMOUNT]]-Table2345356[[#This Row],[AMOUNT2]]-Table2345356[[#This Row],[AMOUNT3]]</f>
        <v>-792317</v>
      </c>
    </row>
    <row r="269" spans="1:11" hidden="1" x14ac:dyDescent="0.35">
      <c r="A269" s="64">
        <v>46226</v>
      </c>
      <c r="B269" s="64"/>
      <c r="C269" s="7"/>
      <c r="D269" s="8"/>
      <c r="E269" s="7"/>
      <c r="F269" s="7"/>
      <c r="G269" s="9"/>
      <c r="H269" s="13">
        <v>0</v>
      </c>
      <c r="I269" s="9" t="s">
        <v>998</v>
      </c>
      <c r="J269" s="8">
        <v>6000</v>
      </c>
      <c r="K269" s="9">
        <f>+K268+Table2345356[[#This Row],[AMOUNT]]-Table2345356[[#This Row],[AMOUNT2]]-Table2345356[[#This Row],[AMOUNT3]]</f>
        <v>-798317</v>
      </c>
    </row>
    <row r="270" spans="1:11" hidden="1" x14ac:dyDescent="0.35">
      <c r="A270" s="64">
        <v>46226</v>
      </c>
      <c r="B270" s="64"/>
      <c r="C270" s="7"/>
      <c r="D270" s="8"/>
      <c r="E270" s="7" t="s">
        <v>355</v>
      </c>
      <c r="F270" s="7" t="s">
        <v>40</v>
      </c>
      <c r="G270" s="9" t="s">
        <v>999</v>
      </c>
      <c r="H270" s="13">
        <v>865</v>
      </c>
      <c r="I270" s="9"/>
      <c r="J270" s="8"/>
      <c r="K270" s="9">
        <f>+K269+Table2345356[[#This Row],[AMOUNT]]-Table2345356[[#This Row],[AMOUNT2]]-Table2345356[[#This Row],[AMOUNT3]]</f>
        <v>-799182</v>
      </c>
    </row>
    <row r="271" spans="1:11" hidden="1" x14ac:dyDescent="0.35">
      <c r="A271" s="64">
        <v>46227</v>
      </c>
      <c r="B271" s="64"/>
      <c r="C271" s="7"/>
      <c r="D271" s="8"/>
      <c r="E271" s="7"/>
      <c r="F271" s="7"/>
      <c r="G271" s="9"/>
      <c r="H271" s="13">
        <v>0</v>
      </c>
      <c r="I271" s="9" t="s">
        <v>605</v>
      </c>
      <c r="J271" s="8">
        <v>40000</v>
      </c>
      <c r="K271" s="9">
        <f>+K270+Table2345356[[#This Row],[AMOUNT]]-Table2345356[[#This Row],[AMOUNT2]]-Table2345356[[#This Row],[AMOUNT3]]</f>
        <v>-839182</v>
      </c>
    </row>
    <row r="272" spans="1:11" hidden="1" x14ac:dyDescent="0.35">
      <c r="A272" s="64">
        <v>46227</v>
      </c>
      <c r="B272" s="64"/>
      <c r="C272" s="7"/>
      <c r="D272" s="8"/>
      <c r="E272" s="7" t="s">
        <v>355</v>
      </c>
      <c r="F272" s="7" t="s">
        <v>40</v>
      </c>
      <c r="G272" s="9" t="s">
        <v>1001</v>
      </c>
      <c r="H272" s="13">
        <v>3100</v>
      </c>
      <c r="I272" s="9"/>
      <c r="J272" s="8"/>
      <c r="K272" s="9">
        <f>+K271+Table2345356[[#This Row],[AMOUNT]]-Table2345356[[#This Row],[AMOUNT2]]-Table2345356[[#This Row],[AMOUNT3]]</f>
        <v>-842282</v>
      </c>
    </row>
    <row r="273" spans="1:11" hidden="1" x14ac:dyDescent="0.35">
      <c r="A273" s="64">
        <v>46228</v>
      </c>
      <c r="B273" s="64"/>
      <c r="C273" s="7"/>
      <c r="D273" s="8"/>
      <c r="E273" s="7"/>
      <c r="F273" s="7"/>
      <c r="G273" s="9"/>
      <c r="H273" s="13">
        <v>0</v>
      </c>
      <c r="I273" s="9" t="s">
        <v>1002</v>
      </c>
      <c r="J273" s="8">
        <v>3000</v>
      </c>
      <c r="K273" s="9">
        <f>+K272+Table2345356[[#This Row],[AMOUNT]]-Table2345356[[#This Row],[AMOUNT2]]-Table2345356[[#This Row],[AMOUNT3]]</f>
        <v>-845282</v>
      </c>
    </row>
    <row r="274" spans="1:11" hidden="1" x14ac:dyDescent="0.35">
      <c r="A274" s="64">
        <v>46228</v>
      </c>
      <c r="B274" s="64"/>
      <c r="C274" s="7"/>
      <c r="D274" s="8"/>
      <c r="E274" s="7"/>
      <c r="F274" s="7"/>
      <c r="G274" s="9"/>
      <c r="H274" s="13">
        <v>0</v>
      </c>
      <c r="I274" s="9" t="s">
        <v>1003</v>
      </c>
      <c r="J274" s="8">
        <v>2000</v>
      </c>
      <c r="K274" s="9">
        <f>+K273+Table2345356[[#This Row],[AMOUNT]]-Table2345356[[#This Row],[AMOUNT2]]-Table2345356[[#This Row],[AMOUNT3]]</f>
        <v>-847282</v>
      </c>
    </row>
    <row r="275" spans="1:11" hidden="1" x14ac:dyDescent="0.35">
      <c r="A275" s="64">
        <v>46228</v>
      </c>
      <c r="B275" s="64"/>
      <c r="C275" s="7"/>
      <c r="D275" s="8"/>
      <c r="E275" s="97" t="s">
        <v>372</v>
      </c>
      <c r="F275" s="97" t="s">
        <v>821</v>
      </c>
      <c r="G275" s="96" t="s">
        <v>1004</v>
      </c>
      <c r="H275" s="13">
        <v>2000</v>
      </c>
      <c r="I275" s="9"/>
      <c r="J275" s="8"/>
      <c r="K275" s="9">
        <f>+K274+Table2345356[[#This Row],[AMOUNT]]-Table2345356[[#This Row],[AMOUNT2]]-Table2345356[[#This Row],[AMOUNT3]]</f>
        <v>-849282</v>
      </c>
    </row>
    <row r="276" spans="1:11" hidden="1" x14ac:dyDescent="0.35">
      <c r="A276" s="64">
        <v>46230</v>
      </c>
      <c r="B276" s="64"/>
      <c r="C276" s="7" t="s">
        <v>449</v>
      </c>
      <c r="D276" s="8">
        <v>200000</v>
      </c>
      <c r="E276" s="7"/>
      <c r="F276" s="7"/>
      <c r="G276" s="9"/>
      <c r="H276" s="13">
        <v>0</v>
      </c>
      <c r="I276" s="9" t="s">
        <v>46</v>
      </c>
      <c r="J276" s="8">
        <v>18100</v>
      </c>
      <c r="K276" s="9">
        <f>+K275+Table2345356[[#This Row],[AMOUNT]]-Table2345356[[#This Row],[AMOUNT2]]-Table2345356[[#This Row],[AMOUNT3]]</f>
        <v>-667382</v>
      </c>
    </row>
    <row r="277" spans="1:11" hidden="1" x14ac:dyDescent="0.35">
      <c r="A277" s="64">
        <v>46230</v>
      </c>
      <c r="B277" s="64"/>
      <c r="C277" s="7"/>
      <c r="D277" s="8"/>
      <c r="E277" s="7" t="s">
        <v>47</v>
      </c>
      <c r="F277" s="7" t="s">
        <v>749</v>
      </c>
      <c r="G277" s="9" t="s">
        <v>52</v>
      </c>
      <c r="H277" s="13">
        <v>2000</v>
      </c>
      <c r="I277" s="9"/>
      <c r="J277" s="8"/>
      <c r="K277" s="9">
        <f>+K276+Table2345356[[#This Row],[AMOUNT]]-Table2345356[[#This Row],[AMOUNT2]]-Table2345356[[#This Row],[AMOUNT3]]</f>
        <v>-669382</v>
      </c>
    </row>
    <row r="278" spans="1:11" hidden="1" x14ac:dyDescent="0.35">
      <c r="A278" s="64">
        <v>46230</v>
      </c>
      <c r="B278" s="64"/>
      <c r="C278" s="7"/>
      <c r="D278" s="8"/>
      <c r="E278" s="7" t="s">
        <v>757</v>
      </c>
      <c r="F278" s="7" t="s">
        <v>757</v>
      </c>
      <c r="G278" s="9" t="s">
        <v>1005</v>
      </c>
      <c r="H278" s="13">
        <v>33000</v>
      </c>
      <c r="I278" s="9"/>
      <c r="J278" s="8"/>
      <c r="K278" s="9">
        <f>+K277+Table2345356[[#This Row],[AMOUNT]]-Table2345356[[#This Row],[AMOUNT2]]-Table2345356[[#This Row],[AMOUNT3]]</f>
        <v>-702382</v>
      </c>
    </row>
    <row r="279" spans="1:11" hidden="1" x14ac:dyDescent="0.35">
      <c r="A279" s="64">
        <v>46230</v>
      </c>
      <c r="B279" s="64"/>
      <c r="C279" s="7"/>
      <c r="D279" s="8"/>
      <c r="E279" s="7" t="s">
        <v>39</v>
      </c>
      <c r="F279" s="7" t="s">
        <v>29</v>
      </c>
      <c r="G279" s="9" t="s">
        <v>1006</v>
      </c>
      <c r="H279" s="13">
        <v>68</v>
      </c>
      <c r="I279" s="9"/>
      <c r="J279" s="8"/>
      <c r="K279" s="9">
        <f>+K278+Table2345356[[#This Row],[AMOUNT]]-Table2345356[[#This Row],[AMOUNT2]]-Table2345356[[#This Row],[AMOUNT3]]</f>
        <v>-702450</v>
      </c>
    </row>
    <row r="280" spans="1:11" hidden="1" x14ac:dyDescent="0.35">
      <c r="A280" s="64">
        <v>46230</v>
      </c>
      <c r="B280" s="64"/>
      <c r="C280" s="7"/>
      <c r="D280" s="8"/>
      <c r="E280" s="7" t="s">
        <v>47</v>
      </c>
      <c r="F280" s="7" t="s">
        <v>40</v>
      </c>
      <c r="G280" s="9" t="s">
        <v>1000</v>
      </c>
      <c r="H280" s="13">
        <v>1000</v>
      </c>
      <c r="I280" s="9"/>
      <c r="J280" s="8"/>
      <c r="K280" s="9">
        <f>+K279+Table2345356[[#This Row],[AMOUNT]]-Table2345356[[#This Row],[AMOUNT2]]-Table2345356[[#This Row],[AMOUNT3]]</f>
        <v>-703450</v>
      </c>
    </row>
    <row r="281" spans="1:11" hidden="1" x14ac:dyDescent="0.35">
      <c r="A281" s="64">
        <v>46231</v>
      </c>
      <c r="B281" s="64"/>
      <c r="C281" s="7" t="s">
        <v>449</v>
      </c>
      <c r="D281" s="8">
        <v>400000</v>
      </c>
      <c r="E281" s="128" t="s">
        <v>815</v>
      </c>
      <c r="F281" s="128" t="s">
        <v>1008</v>
      </c>
      <c r="G281" s="129" t="s">
        <v>78</v>
      </c>
      <c r="H281" s="130">
        <v>20000</v>
      </c>
      <c r="I281" s="9"/>
      <c r="J281" s="8"/>
      <c r="K281" s="9">
        <f>+K280+Table2345356[[#This Row],[AMOUNT]]-Table2345356[[#This Row],[AMOUNT2]]-Table2345356[[#This Row],[AMOUNT3]]</f>
        <v>-323450</v>
      </c>
    </row>
    <row r="282" spans="1:11" hidden="1" x14ac:dyDescent="0.35">
      <c r="A282" s="64">
        <v>46231</v>
      </c>
      <c r="B282" s="64"/>
      <c r="C282" s="7"/>
      <c r="D282" s="8"/>
      <c r="E282" s="7"/>
      <c r="F282" s="7"/>
      <c r="G282" s="9"/>
      <c r="H282" s="13">
        <v>0</v>
      </c>
      <c r="I282" s="9" t="s">
        <v>1007</v>
      </c>
      <c r="J282" s="8">
        <v>15000</v>
      </c>
      <c r="K282" s="9">
        <f>+K281+Table2345356[[#This Row],[AMOUNT]]-Table2345356[[#This Row],[AMOUNT2]]-Table2345356[[#This Row],[AMOUNT3]]</f>
        <v>-338450</v>
      </c>
    </row>
    <row r="283" spans="1:11" hidden="1" x14ac:dyDescent="0.35">
      <c r="A283" s="64">
        <v>46231</v>
      </c>
      <c r="B283" s="64"/>
      <c r="C283" s="7"/>
      <c r="D283" s="8"/>
      <c r="E283" s="7"/>
      <c r="F283" s="7"/>
      <c r="G283" s="9"/>
      <c r="H283" s="13">
        <v>0</v>
      </c>
      <c r="I283" s="9" t="s">
        <v>46</v>
      </c>
      <c r="J283" s="8">
        <v>3000</v>
      </c>
      <c r="K283" s="9">
        <f>+K282+Table2345356[[#This Row],[AMOUNT]]-Table2345356[[#This Row],[AMOUNT2]]-Table2345356[[#This Row],[AMOUNT3]]</f>
        <v>-341450</v>
      </c>
    </row>
    <row r="284" spans="1:11" hidden="1" x14ac:dyDescent="0.35">
      <c r="A284" s="64">
        <v>46231</v>
      </c>
      <c r="B284" s="64"/>
      <c r="C284" s="7"/>
      <c r="D284" s="8"/>
      <c r="E284" s="128" t="s">
        <v>815</v>
      </c>
      <c r="F284" s="128" t="s">
        <v>1008</v>
      </c>
      <c r="G284" s="129" t="s">
        <v>354</v>
      </c>
      <c r="H284" s="130">
        <v>50000</v>
      </c>
      <c r="I284" s="9"/>
      <c r="J284" s="8"/>
      <c r="K284" s="9">
        <f>+K283+Table2345356[[#This Row],[AMOUNT]]-Table2345356[[#This Row],[AMOUNT2]]-Table2345356[[#This Row],[AMOUNT3]]</f>
        <v>-391450</v>
      </c>
    </row>
    <row r="285" spans="1:11" hidden="1" x14ac:dyDescent="0.35">
      <c r="A285" s="64">
        <v>46231</v>
      </c>
      <c r="B285" s="64"/>
      <c r="C285" s="7"/>
      <c r="D285" s="8"/>
      <c r="E285" s="128" t="s">
        <v>815</v>
      </c>
      <c r="F285" s="128" t="s">
        <v>1008</v>
      </c>
      <c r="G285" s="129" t="s">
        <v>1009</v>
      </c>
      <c r="H285" s="130">
        <v>2000</v>
      </c>
      <c r="I285" s="9"/>
      <c r="J285" s="8"/>
      <c r="K285" s="9">
        <f>+K284+Table2345356[[#This Row],[AMOUNT]]-Table2345356[[#This Row],[AMOUNT2]]-Table2345356[[#This Row],[AMOUNT3]]</f>
        <v>-393450</v>
      </c>
    </row>
    <row r="286" spans="1:11" hidden="1" x14ac:dyDescent="0.35">
      <c r="A286" s="64">
        <v>46231</v>
      </c>
      <c r="B286" s="64"/>
      <c r="C286" s="7"/>
      <c r="D286" s="8"/>
      <c r="E286" s="7" t="s">
        <v>355</v>
      </c>
      <c r="F286" s="7" t="s">
        <v>450</v>
      </c>
      <c r="G286" s="9" t="s">
        <v>1010</v>
      </c>
      <c r="H286" s="13">
        <v>300000</v>
      </c>
      <c r="I286" s="9"/>
      <c r="J286" s="8"/>
      <c r="K286" s="9">
        <f>+K285+Table2345356[[#This Row],[AMOUNT]]-Table2345356[[#This Row],[AMOUNT2]]-Table2345356[[#This Row],[AMOUNT3]]</f>
        <v>-693450</v>
      </c>
    </row>
    <row r="287" spans="1:11" hidden="1" x14ac:dyDescent="0.35">
      <c r="A287" s="64">
        <v>46232</v>
      </c>
      <c r="B287" s="64"/>
      <c r="C287" s="7"/>
      <c r="D287" s="8"/>
      <c r="E287" s="7"/>
      <c r="F287" s="7"/>
      <c r="G287" s="9"/>
      <c r="H287" s="13">
        <v>0</v>
      </c>
      <c r="I287" s="9" t="s">
        <v>46</v>
      </c>
      <c r="J287" s="8">
        <v>25500</v>
      </c>
      <c r="K287" s="9">
        <f>+K286+Table2345356[[#This Row],[AMOUNT]]-Table2345356[[#This Row],[AMOUNT2]]-Table2345356[[#This Row],[AMOUNT3]]</f>
        <v>-718950</v>
      </c>
    </row>
    <row r="288" spans="1:11" hidden="1" x14ac:dyDescent="0.35">
      <c r="A288" s="64">
        <v>46232</v>
      </c>
      <c r="B288" s="64"/>
      <c r="C288" s="7"/>
      <c r="D288" s="8"/>
      <c r="E288" s="7" t="s">
        <v>47</v>
      </c>
      <c r="F288" s="7" t="s">
        <v>40</v>
      </c>
      <c r="G288" s="9" t="s">
        <v>1000</v>
      </c>
      <c r="H288" s="13">
        <v>600</v>
      </c>
      <c r="I288" s="9"/>
      <c r="J288" s="8"/>
      <c r="K288" s="9">
        <f>+K287+Table2345356[[#This Row],[AMOUNT]]-Table2345356[[#This Row],[AMOUNT2]]-Table2345356[[#This Row],[AMOUNT3]]</f>
        <v>-719550</v>
      </c>
    </row>
    <row r="289" spans="1:11" x14ac:dyDescent="0.35">
      <c r="A289" s="64">
        <v>46233</v>
      </c>
      <c r="B289" s="64"/>
      <c r="C289" s="7"/>
      <c r="D289" s="8"/>
      <c r="E289" s="7" t="s">
        <v>61</v>
      </c>
      <c r="F289" s="7" t="s">
        <v>85</v>
      </c>
      <c r="G289" s="9" t="s">
        <v>1011</v>
      </c>
      <c r="H289" s="13">
        <v>1800</v>
      </c>
      <c r="I289" s="9"/>
      <c r="J289" s="8"/>
      <c r="K289" s="9">
        <f>+K288+Table2345356[[#This Row],[AMOUNT]]-Table2345356[[#This Row],[AMOUNT2]]-Table2345356[[#This Row],[AMOUNT3]]</f>
        <v>-721350</v>
      </c>
    </row>
    <row r="290" spans="1:11" hidden="1" x14ac:dyDescent="0.35">
      <c r="A290" s="64">
        <v>46233</v>
      </c>
      <c r="B290" s="64"/>
      <c r="C290" s="7"/>
      <c r="D290" s="8"/>
      <c r="E290" s="7" t="s">
        <v>355</v>
      </c>
      <c r="F290" s="7" t="s">
        <v>40</v>
      </c>
      <c r="G290" s="9" t="s">
        <v>1000</v>
      </c>
      <c r="H290" s="13">
        <v>450</v>
      </c>
      <c r="I290" s="9" t="s">
        <v>46</v>
      </c>
      <c r="J290" s="8">
        <v>31000</v>
      </c>
      <c r="K290" s="9">
        <f>+K289+Table2345356[[#This Row],[AMOUNT]]-Table2345356[[#This Row],[AMOUNT2]]-Table2345356[[#This Row],[AMOUNT3]]</f>
        <v>-752800</v>
      </c>
    </row>
    <row r="291" spans="1:11" hidden="1" x14ac:dyDescent="0.35">
      <c r="A291" s="64">
        <v>46233</v>
      </c>
      <c r="B291" s="64"/>
      <c r="C291" s="7"/>
      <c r="D291" s="8"/>
      <c r="E291" s="7"/>
      <c r="F291" s="7"/>
      <c r="G291" s="9"/>
      <c r="H291" s="13"/>
      <c r="I291" s="9" t="s">
        <v>1007</v>
      </c>
      <c r="J291" s="8">
        <v>10000</v>
      </c>
      <c r="K291" s="9">
        <f>+K290+Table2345356[[#This Row],[AMOUNT]]-Table2345356[[#This Row],[AMOUNT2]]-Table2345356[[#This Row],[AMOUNT3]]</f>
        <v>-762800</v>
      </c>
    </row>
    <row r="292" spans="1:11" hidden="1" x14ac:dyDescent="0.35">
      <c r="A292" s="64">
        <v>46234</v>
      </c>
      <c r="B292" s="64"/>
      <c r="C292" s="7"/>
      <c r="D292" s="8"/>
      <c r="E292" s="7" t="s">
        <v>47</v>
      </c>
      <c r="F292" s="7" t="s">
        <v>40</v>
      </c>
      <c r="G292" s="9" t="s">
        <v>1000</v>
      </c>
      <c r="H292" s="13">
        <v>400</v>
      </c>
      <c r="I292" s="9"/>
      <c r="J292" s="8"/>
      <c r="K292" s="9">
        <f>+K291+Table2345356[[#This Row],[AMOUNT]]-Table2345356[[#This Row],[AMOUNT2]]-Table2345356[[#This Row],[AMOUNT3]]</f>
        <v>-763200</v>
      </c>
    </row>
    <row r="293" spans="1:11" hidden="1" x14ac:dyDescent="0.35">
      <c r="A293" s="64">
        <v>46234</v>
      </c>
      <c r="B293" s="64"/>
      <c r="C293" s="7"/>
      <c r="D293" s="8"/>
      <c r="E293" s="7" t="s">
        <v>355</v>
      </c>
      <c r="F293" s="7" t="s">
        <v>40</v>
      </c>
      <c r="G293" s="9" t="s">
        <v>1000</v>
      </c>
      <c r="H293" s="13">
        <v>760</v>
      </c>
      <c r="I293" s="13"/>
      <c r="J293" s="8"/>
      <c r="K293" s="9">
        <f>+K292+Table2345356[[#This Row],[AMOUNT]]-Table2345356[[#This Row],[AMOUNT2]]-Table2345356[[#This Row],[AMOUNT3]]</f>
        <v>-763960</v>
      </c>
    </row>
    <row r="294" spans="1:11" hidden="1" x14ac:dyDescent="0.35">
      <c r="A294" s="64">
        <v>46235</v>
      </c>
      <c r="B294" s="64"/>
      <c r="C294" s="7"/>
      <c r="D294" s="8"/>
      <c r="E294" s="7"/>
      <c r="F294" s="7"/>
      <c r="G294" s="9"/>
      <c r="H294" s="13">
        <v>0</v>
      </c>
      <c r="I294" s="9" t="s">
        <v>1007</v>
      </c>
      <c r="J294" s="8">
        <v>20000</v>
      </c>
      <c r="K294" s="9">
        <f>+K293+Table2345356[[#This Row],[AMOUNT]]-Table2345356[[#This Row],[AMOUNT2]]-Table2345356[[#This Row],[AMOUNT3]]</f>
        <v>-783960</v>
      </c>
    </row>
    <row r="295" spans="1:11" hidden="1" x14ac:dyDescent="0.35">
      <c r="A295" s="64">
        <v>46235</v>
      </c>
      <c r="B295" s="64"/>
      <c r="C295" s="7"/>
      <c r="D295" s="8"/>
      <c r="E295" s="7"/>
      <c r="F295" s="7"/>
      <c r="G295" s="9"/>
      <c r="H295" s="13">
        <v>0</v>
      </c>
      <c r="I295" s="9" t="s">
        <v>1002</v>
      </c>
      <c r="J295" s="8">
        <v>5000</v>
      </c>
      <c r="K295" s="9">
        <f>+K294+Table2345356[[#This Row],[AMOUNT]]-Table2345356[[#This Row],[AMOUNT2]]-Table2345356[[#This Row],[AMOUNT3]]</f>
        <v>-788960</v>
      </c>
    </row>
    <row r="296" spans="1:11" hidden="1" x14ac:dyDescent="0.35">
      <c r="A296" s="64">
        <v>46235</v>
      </c>
      <c r="B296" s="64"/>
      <c r="C296" s="7"/>
      <c r="D296" s="8"/>
      <c r="E296" s="7" t="s">
        <v>47</v>
      </c>
      <c r="F296" s="7" t="s">
        <v>1012</v>
      </c>
      <c r="G296" s="9" t="s">
        <v>1013</v>
      </c>
      <c r="H296" s="13">
        <v>7500</v>
      </c>
      <c r="I296" s="13"/>
      <c r="J296" s="8"/>
      <c r="K296" s="9">
        <f>+K295+Table2345356[[#This Row],[AMOUNT]]-Table2345356[[#This Row],[AMOUNT2]]-Table2345356[[#This Row],[AMOUNT3]]</f>
        <v>-796460</v>
      </c>
    </row>
    <row r="297" spans="1:11" hidden="1" x14ac:dyDescent="0.35">
      <c r="A297" s="64">
        <v>46235</v>
      </c>
      <c r="B297" s="64"/>
      <c r="C297" s="7"/>
      <c r="D297" s="8"/>
      <c r="E297" s="7" t="s">
        <v>355</v>
      </c>
      <c r="F297" s="7" t="s">
        <v>40</v>
      </c>
      <c r="G297" s="9" t="s">
        <v>1000</v>
      </c>
      <c r="H297" s="13">
        <v>2008</v>
      </c>
      <c r="I297" s="13"/>
      <c r="J297" s="8"/>
      <c r="K297" s="9">
        <f>+K296+Table2345356[[#This Row],[AMOUNT]]-Table2345356[[#This Row],[AMOUNT2]]-Table2345356[[#This Row],[AMOUNT3]]</f>
        <v>-798468</v>
      </c>
    </row>
    <row r="298" spans="1:11" hidden="1" x14ac:dyDescent="0.35">
      <c r="A298" s="64">
        <v>46236</v>
      </c>
      <c r="B298" s="64"/>
      <c r="C298" s="7"/>
      <c r="D298" s="8"/>
      <c r="E298" s="7" t="s">
        <v>39</v>
      </c>
      <c r="F298" s="7" t="s">
        <v>29</v>
      </c>
      <c r="G298" s="9" t="s">
        <v>1014</v>
      </c>
      <c r="H298" s="13">
        <v>109</v>
      </c>
      <c r="I298" s="9"/>
      <c r="J298" s="8"/>
      <c r="K298" s="9">
        <f>+K297+Table2345356[[#This Row],[AMOUNT]]-Table2345356[[#This Row],[AMOUNT2]]-Table2345356[[#This Row],[AMOUNT3]]</f>
        <v>-798577</v>
      </c>
    </row>
    <row r="299" spans="1:11" hidden="1" x14ac:dyDescent="0.35">
      <c r="A299" s="64">
        <v>46236</v>
      </c>
      <c r="B299" s="64"/>
      <c r="C299" s="7"/>
      <c r="D299" s="8"/>
      <c r="E299" s="7" t="s">
        <v>355</v>
      </c>
      <c r="F299" s="7" t="s">
        <v>40</v>
      </c>
      <c r="G299" s="9" t="s">
        <v>1000</v>
      </c>
      <c r="H299" s="13">
        <v>1030</v>
      </c>
      <c r="I299" s="9"/>
      <c r="J299" s="8"/>
      <c r="K299" s="9">
        <f>+K298+Table2345356[[#This Row],[AMOUNT]]-Table2345356[[#This Row],[AMOUNT2]]-Table2345356[[#This Row],[AMOUNT3]]</f>
        <v>-799607</v>
      </c>
    </row>
    <row r="300" spans="1:11" hidden="1" x14ac:dyDescent="0.35">
      <c r="A300" s="64">
        <v>46236</v>
      </c>
      <c r="B300" s="64"/>
      <c r="C300" s="7"/>
      <c r="D300" s="8"/>
      <c r="E300" s="128" t="s">
        <v>815</v>
      </c>
      <c r="F300" s="128" t="s">
        <v>1008</v>
      </c>
      <c r="G300" s="129" t="s">
        <v>1015</v>
      </c>
      <c r="H300" s="13">
        <v>20408</v>
      </c>
      <c r="I300" s="9"/>
      <c r="J300" s="8"/>
      <c r="K300" s="9">
        <f>+K299+Table2345356[[#This Row],[AMOUNT]]-Table2345356[[#This Row],[AMOUNT2]]-Table2345356[[#This Row],[AMOUNT3]]</f>
        <v>-820015</v>
      </c>
    </row>
    <row r="301" spans="1:11" hidden="1" x14ac:dyDescent="0.35">
      <c r="A301" s="64">
        <v>46236</v>
      </c>
      <c r="B301" s="64"/>
      <c r="C301" s="7"/>
      <c r="D301" s="8"/>
      <c r="E301" s="128" t="s">
        <v>815</v>
      </c>
      <c r="F301" s="128" t="s">
        <v>1008</v>
      </c>
      <c r="G301" s="129" t="s">
        <v>1015</v>
      </c>
      <c r="H301" s="13">
        <v>10139</v>
      </c>
      <c r="I301" s="9"/>
      <c r="J301" s="8"/>
      <c r="K301" s="9">
        <f>+K300+Table2345356[[#This Row],[AMOUNT]]-Table2345356[[#This Row],[AMOUNT2]]-Table2345356[[#This Row],[AMOUNT3]]</f>
        <v>-830154</v>
      </c>
    </row>
    <row r="302" spans="1:11" hidden="1" x14ac:dyDescent="0.35">
      <c r="A302" s="64">
        <v>46237</v>
      </c>
      <c r="B302" s="64"/>
      <c r="C302" s="7"/>
      <c r="D302" s="8"/>
      <c r="E302" s="7" t="s">
        <v>47</v>
      </c>
      <c r="F302" s="7" t="s">
        <v>822</v>
      </c>
      <c r="G302" s="9" t="s">
        <v>441</v>
      </c>
      <c r="H302" s="13">
        <v>20000</v>
      </c>
      <c r="I302" s="9"/>
      <c r="J302" s="8"/>
      <c r="K302" s="9">
        <f>+K301+Table2345356[[#This Row],[AMOUNT]]-Table2345356[[#This Row],[AMOUNT2]]-Table2345356[[#This Row],[AMOUNT3]]</f>
        <v>-850154</v>
      </c>
    </row>
    <row r="303" spans="1:11" hidden="1" x14ac:dyDescent="0.35">
      <c r="A303" s="64">
        <v>46237</v>
      </c>
      <c r="B303" s="64"/>
      <c r="C303" s="7"/>
      <c r="D303" s="8"/>
      <c r="E303" s="7"/>
      <c r="F303" s="7"/>
      <c r="G303" s="9"/>
      <c r="H303" s="13"/>
      <c r="I303" s="9" t="s">
        <v>46</v>
      </c>
      <c r="J303" s="8">
        <v>20000</v>
      </c>
      <c r="K303" s="9">
        <f>+K302+Table2345356[[#This Row],[AMOUNT]]-Table2345356[[#This Row],[AMOUNT2]]-Table2345356[[#This Row],[AMOUNT3]]</f>
        <v>-870154</v>
      </c>
    </row>
    <row r="304" spans="1:11" hidden="1" x14ac:dyDescent="0.35">
      <c r="A304" s="64">
        <v>46237</v>
      </c>
      <c r="B304" s="64"/>
      <c r="C304" s="7"/>
      <c r="D304" s="8"/>
      <c r="E304" s="7"/>
      <c r="F304" s="7"/>
      <c r="G304" s="9"/>
      <c r="H304" s="13"/>
      <c r="I304" s="9" t="s">
        <v>1007</v>
      </c>
      <c r="J304" s="8">
        <v>14500</v>
      </c>
      <c r="K304" s="9">
        <f>+K303+Table2345356[[#This Row],[AMOUNT]]-Table2345356[[#This Row],[AMOUNT2]]-Table2345356[[#This Row],[AMOUNT3]]</f>
        <v>-884654</v>
      </c>
    </row>
    <row r="305" spans="1:11" hidden="1" x14ac:dyDescent="0.35">
      <c r="A305" s="64">
        <v>46237</v>
      </c>
      <c r="B305" s="64"/>
      <c r="C305" s="7"/>
      <c r="D305" s="8"/>
      <c r="E305" s="7" t="s">
        <v>355</v>
      </c>
      <c r="F305" s="7" t="s">
        <v>40</v>
      </c>
      <c r="G305" s="9" t="s">
        <v>1000</v>
      </c>
      <c r="H305" s="13">
        <v>515</v>
      </c>
      <c r="I305" s="9"/>
      <c r="J305" s="8"/>
      <c r="K305" s="9">
        <f>+K304+Table2345356[[#This Row],[AMOUNT]]-Table2345356[[#This Row],[AMOUNT2]]-Table2345356[[#This Row],[AMOUNT3]]</f>
        <v>-885169</v>
      </c>
    </row>
    <row r="306" spans="1:11" hidden="1" x14ac:dyDescent="0.35">
      <c r="A306" s="64">
        <v>46238</v>
      </c>
      <c r="B306" s="64"/>
      <c r="C306" s="7"/>
      <c r="D306" s="8"/>
      <c r="E306" s="7" t="s">
        <v>47</v>
      </c>
      <c r="F306" s="7" t="s">
        <v>749</v>
      </c>
      <c r="G306" s="9" t="s">
        <v>52</v>
      </c>
      <c r="H306" s="13">
        <v>2000</v>
      </c>
      <c r="I306" s="9"/>
      <c r="J306" s="8"/>
      <c r="K306" s="9">
        <f>+K305+Table2345356[[#This Row],[AMOUNT]]-Table2345356[[#This Row],[AMOUNT2]]-Table2345356[[#This Row],[AMOUNT3]]</f>
        <v>-887169</v>
      </c>
    </row>
    <row r="307" spans="1:11" hidden="1" x14ac:dyDescent="0.35">
      <c r="A307" s="64">
        <v>46238</v>
      </c>
      <c r="B307" s="64"/>
      <c r="C307" s="7"/>
      <c r="D307" s="8"/>
      <c r="E307" s="7"/>
      <c r="F307" s="7"/>
      <c r="G307" s="9" t="s">
        <v>1016</v>
      </c>
      <c r="H307" s="13">
        <v>1704</v>
      </c>
      <c r="I307" s="9"/>
      <c r="J307" s="8"/>
      <c r="K307" s="9">
        <f>+K306+Table2345356[[#This Row],[AMOUNT]]-Table2345356[[#This Row],[AMOUNT2]]-Table2345356[[#This Row],[AMOUNT3]]</f>
        <v>-888873</v>
      </c>
    </row>
    <row r="308" spans="1:11" hidden="1" x14ac:dyDescent="0.35">
      <c r="A308" s="64">
        <v>46239</v>
      </c>
      <c r="B308" s="64"/>
      <c r="C308" s="7" t="s">
        <v>50</v>
      </c>
      <c r="D308" s="8">
        <v>10000</v>
      </c>
      <c r="E308" s="7"/>
      <c r="F308" s="7"/>
      <c r="G308" s="9"/>
      <c r="H308" s="13"/>
      <c r="I308" s="9" t="s">
        <v>998</v>
      </c>
      <c r="J308" s="8">
        <v>5000</v>
      </c>
      <c r="K308" s="9">
        <f>+K307+Table2345356[[#This Row],[AMOUNT]]-Table2345356[[#This Row],[AMOUNT2]]-Table2345356[[#This Row],[AMOUNT3]]</f>
        <v>-883873</v>
      </c>
    </row>
    <row r="309" spans="1:11" hidden="1" x14ac:dyDescent="0.35">
      <c r="A309" s="64">
        <v>46239</v>
      </c>
      <c r="B309" s="64"/>
      <c r="C309" s="7"/>
      <c r="D309" s="8"/>
      <c r="E309" s="7"/>
      <c r="F309" s="7"/>
      <c r="G309" s="9"/>
      <c r="H309" s="13"/>
      <c r="I309" s="9" t="s">
        <v>46</v>
      </c>
      <c r="J309" s="8">
        <v>5000</v>
      </c>
      <c r="K309" s="9">
        <f>+K308+Table2345356[[#This Row],[AMOUNT]]-Table2345356[[#This Row],[AMOUNT2]]-Table2345356[[#This Row],[AMOUNT3]]</f>
        <v>-888873</v>
      </c>
    </row>
    <row r="310" spans="1:11" hidden="1" x14ac:dyDescent="0.35">
      <c r="A310" s="64">
        <v>46239</v>
      </c>
      <c r="B310" s="64"/>
      <c r="C310" s="7"/>
      <c r="D310" s="8"/>
      <c r="E310" s="7"/>
      <c r="F310" s="7"/>
      <c r="G310" s="9"/>
      <c r="H310" s="13"/>
      <c r="I310" s="9" t="s">
        <v>46</v>
      </c>
      <c r="J310" s="8">
        <v>2000</v>
      </c>
      <c r="K310" s="9">
        <f>+K309+Table2345356[[#This Row],[AMOUNT]]-Table2345356[[#This Row],[AMOUNT2]]-Table2345356[[#This Row],[AMOUNT3]]</f>
        <v>-890873</v>
      </c>
    </row>
    <row r="311" spans="1:11" hidden="1" x14ac:dyDescent="0.35">
      <c r="A311" s="64">
        <v>46239</v>
      </c>
      <c r="B311" s="64"/>
      <c r="C311" s="7"/>
      <c r="D311" s="8"/>
      <c r="E311" s="7"/>
      <c r="F311" s="7"/>
      <c r="G311" s="9"/>
      <c r="H311" s="13"/>
      <c r="I311" s="9" t="s">
        <v>1148</v>
      </c>
      <c r="J311" s="8">
        <v>10000</v>
      </c>
      <c r="K311" s="9">
        <f>+K310+Table2345356[[#This Row],[AMOUNT]]-Table2345356[[#This Row],[AMOUNT2]]-Table2345356[[#This Row],[AMOUNT3]]</f>
        <v>-900873</v>
      </c>
    </row>
    <row r="312" spans="1:11" hidden="1" x14ac:dyDescent="0.35">
      <c r="A312" s="64">
        <v>46240</v>
      </c>
      <c r="B312" s="64"/>
      <c r="C312" s="7"/>
      <c r="D312" s="8"/>
      <c r="E312" s="7" t="s">
        <v>47</v>
      </c>
      <c r="F312" s="7" t="s">
        <v>20</v>
      </c>
      <c r="G312" s="9" t="s">
        <v>1133</v>
      </c>
      <c r="H312" s="13">
        <v>24950</v>
      </c>
      <c r="I312" s="9"/>
      <c r="J312" s="8"/>
      <c r="K312" s="9">
        <f>+K311+Table2345356[[#This Row],[AMOUNT]]-Table2345356[[#This Row],[AMOUNT2]]-Table2345356[[#This Row],[AMOUNT3]]</f>
        <v>-925823</v>
      </c>
    </row>
    <row r="313" spans="1:11" hidden="1" x14ac:dyDescent="0.35">
      <c r="A313" s="64">
        <v>46240</v>
      </c>
      <c r="B313" s="64"/>
      <c r="C313" s="7"/>
      <c r="D313" s="8"/>
      <c r="E313" s="7" t="s">
        <v>47</v>
      </c>
      <c r="F313" s="7" t="s">
        <v>0</v>
      </c>
      <c r="G313" s="9" t="s">
        <v>1134</v>
      </c>
      <c r="H313" s="13">
        <v>340</v>
      </c>
      <c r="I313" s="9" t="s">
        <v>46</v>
      </c>
      <c r="J313" s="8">
        <v>3450</v>
      </c>
      <c r="K313" s="9">
        <f>+K312+Table2345356[[#This Row],[AMOUNT]]-Table2345356[[#This Row],[AMOUNT2]]-Table2345356[[#This Row],[AMOUNT3]]</f>
        <v>-929613</v>
      </c>
    </row>
    <row r="314" spans="1:11" hidden="1" x14ac:dyDescent="0.35">
      <c r="A314" s="64">
        <v>46240</v>
      </c>
      <c r="B314" s="64"/>
      <c r="C314" s="7"/>
      <c r="D314" s="8"/>
      <c r="E314" s="7" t="s">
        <v>99</v>
      </c>
      <c r="F314" s="7" t="s">
        <v>49</v>
      </c>
      <c r="G314" s="9" t="s">
        <v>1135</v>
      </c>
      <c r="H314" s="13">
        <v>30000</v>
      </c>
      <c r="I314" s="9"/>
      <c r="J314" s="8"/>
      <c r="K314" s="9">
        <f>+K313+Table2345356[[#This Row],[AMOUNT]]-Table2345356[[#This Row],[AMOUNT2]]-Table2345356[[#This Row],[AMOUNT3]]</f>
        <v>-959613</v>
      </c>
    </row>
    <row r="315" spans="1:11" hidden="1" x14ac:dyDescent="0.35">
      <c r="A315" s="64">
        <v>46241</v>
      </c>
      <c r="B315" s="64"/>
      <c r="C315" s="7" t="s">
        <v>449</v>
      </c>
      <c r="D315" s="8">
        <v>200000</v>
      </c>
      <c r="E315" s="7"/>
      <c r="F315" s="7"/>
      <c r="G315" s="9"/>
      <c r="H315" s="13"/>
      <c r="I315" s="9"/>
      <c r="J315" s="8"/>
      <c r="K315" s="9">
        <f>+K314+Table2345356[[#This Row],[AMOUNT]]-Table2345356[[#This Row],[AMOUNT2]]-Table2345356[[#This Row],[AMOUNT3]]</f>
        <v>-759613</v>
      </c>
    </row>
    <row r="316" spans="1:11" hidden="1" x14ac:dyDescent="0.35">
      <c r="A316" s="64">
        <v>46241</v>
      </c>
      <c r="B316" s="64"/>
      <c r="C316" s="7"/>
      <c r="D316" s="8"/>
      <c r="E316" s="128" t="s">
        <v>815</v>
      </c>
      <c r="F316" s="128" t="s">
        <v>1008</v>
      </c>
      <c r="G316" s="129" t="s">
        <v>1137</v>
      </c>
      <c r="H316" s="13">
        <v>21186</v>
      </c>
      <c r="I316" s="9"/>
      <c r="J316" s="8"/>
      <c r="K316" s="9">
        <f>+K315+Table2345356[[#This Row],[AMOUNT]]-Table2345356[[#This Row],[AMOUNT2]]-Table2345356[[#This Row],[AMOUNT3]]</f>
        <v>-780799</v>
      </c>
    </row>
    <row r="317" spans="1:11" hidden="1" x14ac:dyDescent="0.35">
      <c r="A317" s="64">
        <v>46241</v>
      </c>
      <c r="B317" s="64"/>
      <c r="C317" s="7"/>
      <c r="D317" s="8"/>
      <c r="E317" s="128" t="s">
        <v>815</v>
      </c>
      <c r="F317" s="128" t="s">
        <v>1008</v>
      </c>
      <c r="G317" s="129" t="s">
        <v>1137</v>
      </c>
      <c r="H317" s="13">
        <v>11404</v>
      </c>
      <c r="I317" s="9"/>
      <c r="J317" s="8"/>
      <c r="K317" s="9">
        <f>+K316+Table2345356[[#This Row],[AMOUNT]]-Table2345356[[#This Row],[AMOUNT2]]-Table2345356[[#This Row],[AMOUNT3]]</f>
        <v>-792203</v>
      </c>
    </row>
    <row r="318" spans="1:11" hidden="1" x14ac:dyDescent="0.35">
      <c r="A318" s="64">
        <v>46241</v>
      </c>
      <c r="B318" s="64"/>
      <c r="C318" s="7"/>
      <c r="D318" s="8"/>
      <c r="E318" s="128"/>
      <c r="F318" s="128"/>
      <c r="G318" s="129" t="s">
        <v>1136</v>
      </c>
      <c r="H318" s="13">
        <v>1704</v>
      </c>
      <c r="I318" s="9" t="s">
        <v>46</v>
      </c>
      <c r="J318" s="8">
        <v>4000</v>
      </c>
      <c r="K318" s="9">
        <f>+K317+Table2345356[[#This Row],[AMOUNT]]-Table2345356[[#This Row],[AMOUNT2]]-Table2345356[[#This Row],[AMOUNT3]]</f>
        <v>-797907</v>
      </c>
    </row>
    <row r="319" spans="1:11" hidden="1" x14ac:dyDescent="0.35">
      <c r="A319" s="64">
        <v>46241</v>
      </c>
      <c r="B319" s="64"/>
      <c r="C319" s="7"/>
      <c r="D319" s="8"/>
      <c r="E319" s="128"/>
      <c r="F319" s="128"/>
      <c r="G319" s="129"/>
      <c r="H319" s="13"/>
      <c r="I319" s="9" t="s">
        <v>998</v>
      </c>
      <c r="J319" s="8">
        <v>7000</v>
      </c>
      <c r="K319" s="9">
        <f>+K318+Table2345356[[#This Row],[AMOUNT]]-Table2345356[[#This Row],[AMOUNT2]]-Table2345356[[#This Row],[AMOUNT3]]</f>
        <v>-804907</v>
      </c>
    </row>
    <row r="320" spans="1:11" hidden="1" x14ac:dyDescent="0.35">
      <c r="A320" s="64">
        <v>46242</v>
      </c>
      <c r="B320" s="64"/>
      <c r="C320" s="7"/>
      <c r="D320" s="8"/>
      <c r="E320" s="7" t="s">
        <v>47</v>
      </c>
      <c r="F320" s="7" t="s">
        <v>40</v>
      </c>
      <c r="G320" s="9" t="s">
        <v>1000</v>
      </c>
      <c r="H320" s="13">
        <v>2000</v>
      </c>
      <c r="I320" s="9"/>
      <c r="J320" s="8"/>
      <c r="K320" s="9">
        <f>+K319+Table2345356[[#This Row],[AMOUNT]]-Table2345356[[#This Row],[AMOUNT2]]-Table2345356[[#This Row],[AMOUNT3]]</f>
        <v>-806907</v>
      </c>
    </row>
    <row r="321" spans="1:11" hidden="1" x14ac:dyDescent="0.35">
      <c r="A321" s="64">
        <v>46242</v>
      </c>
      <c r="B321" s="64"/>
      <c r="C321" s="7"/>
      <c r="D321" s="8"/>
      <c r="E321" s="25" t="s">
        <v>47</v>
      </c>
      <c r="F321" s="25" t="s">
        <v>749</v>
      </c>
      <c r="G321" s="19" t="s">
        <v>356</v>
      </c>
      <c r="H321" s="21">
        <v>1000</v>
      </c>
      <c r="I321" s="9"/>
      <c r="J321" s="8"/>
      <c r="K321" s="9">
        <f>+K320+Table2345356[[#This Row],[AMOUNT]]-Table2345356[[#This Row],[AMOUNT2]]-Table2345356[[#This Row],[AMOUNT3]]</f>
        <v>-807907</v>
      </c>
    </row>
    <row r="322" spans="1:11" hidden="1" x14ac:dyDescent="0.35">
      <c r="A322" s="64">
        <v>46242</v>
      </c>
      <c r="B322" s="64"/>
      <c r="C322" s="7"/>
      <c r="D322" s="8"/>
      <c r="E322" s="25"/>
      <c r="F322" s="25"/>
      <c r="G322" s="19"/>
      <c r="H322" s="21"/>
      <c r="I322" s="9" t="s">
        <v>1138</v>
      </c>
      <c r="J322" s="8">
        <v>8000</v>
      </c>
      <c r="K322" s="9">
        <f>+K321+Table2345356[[#This Row],[AMOUNT]]-Table2345356[[#This Row],[AMOUNT2]]-Table2345356[[#This Row],[AMOUNT3]]</f>
        <v>-815907</v>
      </c>
    </row>
    <row r="323" spans="1:11" hidden="1" x14ac:dyDescent="0.35">
      <c r="A323" s="64">
        <v>46242</v>
      </c>
      <c r="B323" s="64"/>
      <c r="C323" s="7"/>
      <c r="D323" s="8"/>
      <c r="E323" s="25"/>
      <c r="F323" s="25"/>
      <c r="G323" s="19"/>
      <c r="H323" s="21"/>
      <c r="I323" s="9" t="s">
        <v>46</v>
      </c>
      <c r="J323" s="8">
        <v>5900</v>
      </c>
      <c r="K323" s="9">
        <f>+K322+Table2345356[[#This Row],[AMOUNT]]-Table2345356[[#This Row],[AMOUNT2]]-Table2345356[[#This Row],[AMOUNT3]]</f>
        <v>-821807</v>
      </c>
    </row>
    <row r="324" spans="1:11" hidden="1" x14ac:dyDescent="0.35">
      <c r="A324" s="64">
        <v>46243</v>
      </c>
      <c r="B324" s="64"/>
      <c r="C324" s="7"/>
      <c r="D324" s="8"/>
      <c r="E324" s="7" t="s">
        <v>47</v>
      </c>
      <c r="F324" s="7" t="s">
        <v>0</v>
      </c>
      <c r="G324" s="9" t="s">
        <v>1134</v>
      </c>
      <c r="H324" s="13">
        <v>721</v>
      </c>
      <c r="I324" s="9"/>
      <c r="J324" s="8"/>
      <c r="K324" s="9">
        <f>+K323+Table2345356[[#This Row],[AMOUNT]]-Table2345356[[#This Row],[AMOUNT2]]-Table2345356[[#This Row],[AMOUNT3]]</f>
        <v>-822528</v>
      </c>
    </row>
    <row r="325" spans="1:11" hidden="1" x14ac:dyDescent="0.35">
      <c r="A325" s="64">
        <v>46243</v>
      </c>
      <c r="B325" s="64"/>
      <c r="C325" s="7"/>
      <c r="D325" s="8"/>
      <c r="E325" s="7" t="s">
        <v>47</v>
      </c>
      <c r="F325" s="7" t="s">
        <v>40</v>
      </c>
      <c r="G325" s="9" t="s">
        <v>1000</v>
      </c>
      <c r="H325" s="13">
        <v>1721</v>
      </c>
      <c r="I325" s="9"/>
      <c r="J325" s="8"/>
      <c r="K325" s="9">
        <f>+K324+Table2345356[[#This Row],[AMOUNT]]-Table2345356[[#This Row],[AMOUNT2]]-Table2345356[[#This Row],[AMOUNT3]]</f>
        <v>-824249</v>
      </c>
    </row>
    <row r="326" spans="1:11" hidden="1" x14ac:dyDescent="0.35">
      <c r="A326" s="64">
        <v>46244</v>
      </c>
      <c r="B326" s="64"/>
      <c r="C326" s="7"/>
      <c r="D326" s="8"/>
      <c r="E326" s="25" t="s">
        <v>49</v>
      </c>
      <c r="F326" s="25" t="s">
        <v>49</v>
      </c>
      <c r="G326" s="19" t="s">
        <v>1139</v>
      </c>
      <c r="H326" s="21">
        <v>10120</v>
      </c>
      <c r="I326" s="9" t="s">
        <v>46</v>
      </c>
      <c r="J326" s="8">
        <v>5000</v>
      </c>
      <c r="K326" s="9">
        <f>+K325+Table2345356[[#This Row],[AMOUNT]]-Table2345356[[#This Row],[AMOUNT2]]-Table2345356[[#This Row],[AMOUNT3]]</f>
        <v>-839369</v>
      </c>
    </row>
    <row r="327" spans="1:11" hidden="1" x14ac:dyDescent="0.35">
      <c r="A327" s="64">
        <v>46244</v>
      </c>
      <c r="B327" s="64"/>
      <c r="C327" s="7"/>
      <c r="D327" s="8"/>
      <c r="E327" s="7" t="s">
        <v>47</v>
      </c>
      <c r="F327" s="25" t="s">
        <v>43</v>
      </c>
      <c r="G327" s="19" t="s">
        <v>1140</v>
      </c>
      <c r="H327" s="21">
        <v>11680</v>
      </c>
      <c r="I327" s="9" t="s">
        <v>1007</v>
      </c>
      <c r="J327" s="8">
        <v>20000</v>
      </c>
      <c r="K327" s="9">
        <f>+K326+Table2345356[[#This Row],[AMOUNT]]-Table2345356[[#This Row],[AMOUNT2]]-Table2345356[[#This Row],[AMOUNT3]]</f>
        <v>-871049</v>
      </c>
    </row>
    <row r="328" spans="1:11" hidden="1" x14ac:dyDescent="0.35">
      <c r="A328" s="64">
        <v>46244</v>
      </c>
      <c r="B328" s="64"/>
      <c r="C328" s="7"/>
      <c r="D328" s="8"/>
      <c r="E328" s="7" t="s">
        <v>47</v>
      </c>
      <c r="F328" s="25" t="s">
        <v>43</v>
      </c>
      <c r="G328" s="19" t="s">
        <v>1141</v>
      </c>
      <c r="H328" s="21">
        <v>18950</v>
      </c>
      <c r="I328" s="9"/>
      <c r="J328" s="8"/>
      <c r="K328" s="9">
        <f>+K327+Table2345356[[#This Row],[AMOUNT]]-Table2345356[[#This Row],[AMOUNT2]]-Table2345356[[#This Row],[AMOUNT3]]</f>
        <v>-889999</v>
      </c>
    </row>
    <row r="329" spans="1:11" x14ac:dyDescent="0.35">
      <c r="A329" s="64">
        <v>46244</v>
      </c>
      <c r="B329" s="64"/>
      <c r="C329" s="7"/>
      <c r="D329" s="8"/>
      <c r="E329" s="25" t="s">
        <v>61</v>
      </c>
      <c r="F329" s="25" t="s">
        <v>85</v>
      </c>
      <c r="G329" s="19" t="s">
        <v>1142</v>
      </c>
      <c r="H329" s="21">
        <v>800</v>
      </c>
      <c r="I329" s="9"/>
      <c r="J329" s="8"/>
      <c r="K329" s="9">
        <f>+K328+Table2345356[[#This Row],[AMOUNT]]-Table2345356[[#This Row],[AMOUNT2]]-Table2345356[[#This Row],[AMOUNT3]]</f>
        <v>-890799</v>
      </c>
    </row>
    <row r="330" spans="1:11" hidden="1" x14ac:dyDescent="0.35">
      <c r="A330" s="64">
        <v>46244</v>
      </c>
      <c r="B330" s="64"/>
      <c r="C330" s="7"/>
      <c r="D330" s="8"/>
      <c r="E330" s="7" t="s">
        <v>47</v>
      </c>
      <c r="F330" s="7" t="s">
        <v>40</v>
      </c>
      <c r="G330" s="9" t="s">
        <v>1000</v>
      </c>
      <c r="H330" s="13">
        <v>1500</v>
      </c>
      <c r="I330" s="9"/>
      <c r="J330" s="8"/>
      <c r="K330" s="9">
        <f>+K329+Table2345356[[#This Row],[AMOUNT]]-Table2345356[[#This Row],[AMOUNT2]]-Table2345356[[#This Row],[AMOUNT3]]</f>
        <v>-892299</v>
      </c>
    </row>
    <row r="331" spans="1:11" hidden="1" x14ac:dyDescent="0.35">
      <c r="A331" s="64">
        <v>46245</v>
      </c>
      <c r="B331" s="64"/>
      <c r="C331" s="7"/>
      <c r="D331" s="8"/>
      <c r="E331" s="7" t="s">
        <v>49</v>
      </c>
      <c r="F331" s="7" t="s">
        <v>49</v>
      </c>
      <c r="G331" s="9" t="s">
        <v>895</v>
      </c>
      <c r="H331" s="13">
        <v>30000</v>
      </c>
      <c r="I331" s="9"/>
      <c r="J331" s="8"/>
      <c r="K331" s="9">
        <f>+K330+Table2345356[[#This Row],[AMOUNT]]-Table2345356[[#This Row],[AMOUNT2]]-Table2345356[[#This Row],[AMOUNT3]]</f>
        <v>-922299</v>
      </c>
    </row>
    <row r="332" spans="1:11" hidden="1" x14ac:dyDescent="0.35">
      <c r="A332" s="64">
        <v>46245</v>
      </c>
      <c r="B332" s="64"/>
      <c r="C332" s="7"/>
      <c r="D332" s="8"/>
      <c r="E332" s="7" t="s">
        <v>49</v>
      </c>
      <c r="F332" s="7" t="s">
        <v>49</v>
      </c>
      <c r="G332" s="9" t="s">
        <v>895</v>
      </c>
      <c r="H332" s="13">
        <v>8000</v>
      </c>
      <c r="I332" s="9"/>
      <c r="J332" s="8"/>
      <c r="K332" s="9">
        <f>+K331+Table2345356[[#This Row],[AMOUNT]]-Table2345356[[#This Row],[AMOUNT2]]-Table2345356[[#This Row],[AMOUNT3]]</f>
        <v>-930299</v>
      </c>
    </row>
    <row r="333" spans="1:11" hidden="1" x14ac:dyDescent="0.35">
      <c r="A333" s="64">
        <v>46245</v>
      </c>
      <c r="B333" s="64"/>
      <c r="C333" s="7"/>
      <c r="D333" s="8"/>
      <c r="E333" s="25" t="s">
        <v>47</v>
      </c>
      <c r="F333" s="25" t="s">
        <v>749</v>
      </c>
      <c r="G333" s="19" t="s">
        <v>356</v>
      </c>
      <c r="H333" s="21">
        <v>2000</v>
      </c>
      <c r="I333" s="9" t="s">
        <v>98</v>
      </c>
      <c r="J333" s="8">
        <v>200000</v>
      </c>
      <c r="K333" s="9">
        <f>+K332+Table2345356[[#This Row],[AMOUNT]]-Table2345356[[#This Row],[AMOUNT2]]-Table2345356[[#This Row],[AMOUNT3]]</f>
        <v>-1132299</v>
      </c>
    </row>
    <row r="334" spans="1:11" hidden="1" x14ac:dyDescent="0.35">
      <c r="A334" s="64">
        <v>46245</v>
      </c>
      <c r="B334" s="64"/>
      <c r="C334" s="7"/>
      <c r="D334" s="8"/>
      <c r="E334" s="7" t="s">
        <v>47</v>
      </c>
      <c r="F334" s="7" t="s">
        <v>40</v>
      </c>
      <c r="G334" s="9" t="s">
        <v>1000</v>
      </c>
      <c r="H334" s="21">
        <v>800</v>
      </c>
      <c r="I334" s="9"/>
      <c r="J334" s="8"/>
      <c r="K334" s="9">
        <f>+K333+Table2345356[[#This Row],[AMOUNT]]-Table2345356[[#This Row],[AMOUNT2]]-Table2345356[[#This Row],[AMOUNT3]]</f>
        <v>-1133099</v>
      </c>
    </row>
    <row r="335" spans="1:11" hidden="1" x14ac:dyDescent="0.35">
      <c r="A335" s="64">
        <v>46246</v>
      </c>
      <c r="B335" s="64"/>
      <c r="C335" s="7" t="s">
        <v>50</v>
      </c>
      <c r="D335" s="8">
        <v>10000</v>
      </c>
      <c r="E335" s="25"/>
      <c r="F335" s="25"/>
      <c r="G335" s="19"/>
      <c r="H335" s="21"/>
      <c r="I335" s="9"/>
      <c r="J335" s="8"/>
      <c r="K335" s="9">
        <f>+K334+Table2345356[[#This Row],[AMOUNT]]-Table2345356[[#This Row],[AMOUNT2]]-Table2345356[[#This Row],[AMOUNT3]]</f>
        <v>-1123099</v>
      </c>
    </row>
    <row r="336" spans="1:11" hidden="1" x14ac:dyDescent="0.35">
      <c r="A336" s="64">
        <v>46246</v>
      </c>
      <c r="B336" s="64"/>
      <c r="C336" s="7"/>
      <c r="D336" s="8"/>
      <c r="E336" s="25"/>
      <c r="F336" s="25"/>
      <c r="G336" s="19"/>
      <c r="H336" s="21"/>
      <c r="I336" s="9" t="s">
        <v>46</v>
      </c>
      <c r="J336" s="8">
        <v>6000</v>
      </c>
      <c r="K336" s="9">
        <f>+K335+Table2345356[[#This Row],[AMOUNT]]-Table2345356[[#This Row],[AMOUNT2]]-Table2345356[[#This Row],[AMOUNT3]]</f>
        <v>-1129099</v>
      </c>
    </row>
    <row r="337" spans="1:11" hidden="1" x14ac:dyDescent="0.35">
      <c r="A337" s="64">
        <v>46246</v>
      </c>
      <c r="B337" s="64"/>
      <c r="C337" s="7"/>
      <c r="D337" s="8"/>
      <c r="E337" s="25"/>
      <c r="F337" s="25"/>
      <c r="G337" s="19"/>
      <c r="H337" s="21"/>
      <c r="I337" s="9" t="s">
        <v>46</v>
      </c>
      <c r="J337" s="8">
        <v>3750</v>
      </c>
      <c r="K337" s="9">
        <f>+K336+Table2345356[[#This Row],[AMOUNT]]-Table2345356[[#This Row],[AMOUNT2]]-Table2345356[[#This Row],[AMOUNT3]]</f>
        <v>-1132849</v>
      </c>
    </row>
    <row r="338" spans="1:11" hidden="1" x14ac:dyDescent="0.35">
      <c r="A338" s="64">
        <v>46246</v>
      </c>
      <c r="B338" s="64"/>
      <c r="C338" s="7"/>
      <c r="D338" s="8"/>
      <c r="E338" s="25"/>
      <c r="F338" s="25"/>
      <c r="G338" s="19"/>
      <c r="H338" s="21"/>
      <c r="I338" s="9" t="s">
        <v>1148</v>
      </c>
      <c r="J338" s="8">
        <v>10000</v>
      </c>
      <c r="K338" s="9">
        <f>+K337+Table2345356[[#This Row],[AMOUNT]]-Table2345356[[#This Row],[AMOUNT2]]-Table2345356[[#This Row],[AMOUNT3]]</f>
        <v>-1142849</v>
      </c>
    </row>
    <row r="339" spans="1:11" hidden="1" x14ac:dyDescent="0.35">
      <c r="A339" s="64">
        <v>46246</v>
      </c>
      <c r="B339" s="64"/>
      <c r="C339" s="7"/>
      <c r="D339" s="8"/>
      <c r="E339" s="7" t="s">
        <v>47</v>
      </c>
      <c r="F339" s="7" t="s">
        <v>40</v>
      </c>
      <c r="G339" s="9" t="s">
        <v>1000</v>
      </c>
      <c r="H339" s="21">
        <v>430</v>
      </c>
      <c r="I339" s="9"/>
      <c r="J339" s="8"/>
      <c r="K339" s="9">
        <f>+K338+Table2345356[[#This Row],[AMOUNT]]-Table2345356[[#This Row],[AMOUNT2]]-Table2345356[[#This Row],[AMOUNT3]]</f>
        <v>-1143279</v>
      </c>
    </row>
    <row r="340" spans="1:11" hidden="1" x14ac:dyDescent="0.35">
      <c r="A340" s="64">
        <v>46246</v>
      </c>
      <c r="B340" s="64"/>
      <c r="C340" s="7"/>
      <c r="D340" s="8"/>
      <c r="E340" s="128" t="s">
        <v>815</v>
      </c>
      <c r="F340" s="128" t="s">
        <v>1008</v>
      </c>
      <c r="G340" s="129" t="s">
        <v>1143</v>
      </c>
      <c r="H340" s="13">
        <v>4000</v>
      </c>
      <c r="I340" s="9"/>
      <c r="J340" s="8"/>
      <c r="K340" s="9">
        <f>+K339+Table2345356[[#This Row],[AMOUNT]]-Table2345356[[#This Row],[AMOUNT2]]-Table2345356[[#This Row],[AMOUNT3]]</f>
        <v>-1147279</v>
      </c>
    </row>
    <row r="341" spans="1:11" hidden="1" x14ac:dyDescent="0.35">
      <c r="A341" s="64">
        <v>46247</v>
      </c>
      <c r="B341" s="64"/>
      <c r="C341" s="7" t="s">
        <v>50</v>
      </c>
      <c r="D341" s="8">
        <v>5000</v>
      </c>
      <c r="E341" s="132"/>
      <c r="F341" s="132"/>
      <c r="G341" s="133"/>
      <c r="H341" s="21"/>
      <c r="I341" s="9"/>
      <c r="J341" s="8"/>
      <c r="K341" s="9">
        <f>+K340+Table2345356[[#This Row],[AMOUNT]]-Table2345356[[#This Row],[AMOUNT2]]-Table2345356[[#This Row],[AMOUNT3]]</f>
        <v>-1142279</v>
      </c>
    </row>
    <row r="342" spans="1:11" x14ac:dyDescent="0.35">
      <c r="A342" s="64">
        <v>46247</v>
      </c>
      <c r="B342" s="64"/>
      <c r="C342" s="7"/>
      <c r="D342" s="8"/>
      <c r="E342" s="25" t="s">
        <v>61</v>
      </c>
      <c r="F342" s="25" t="s">
        <v>85</v>
      </c>
      <c r="G342" s="19" t="s">
        <v>1144</v>
      </c>
      <c r="H342" s="21">
        <v>300</v>
      </c>
      <c r="I342" s="9" t="s">
        <v>1148</v>
      </c>
      <c r="J342" s="8">
        <v>5000</v>
      </c>
      <c r="K342" s="9">
        <f>+K341+Table2345356[[#This Row],[AMOUNT]]-Table2345356[[#This Row],[AMOUNT2]]-Table2345356[[#This Row],[AMOUNT3]]</f>
        <v>-1147579</v>
      </c>
    </row>
    <row r="343" spans="1:11" hidden="1" x14ac:dyDescent="0.35">
      <c r="A343" s="64">
        <v>46247</v>
      </c>
      <c r="B343" s="64"/>
      <c r="C343" s="7"/>
      <c r="D343" s="8"/>
      <c r="E343" s="25"/>
      <c r="F343" s="25"/>
      <c r="G343" s="19"/>
      <c r="H343" s="21"/>
      <c r="I343" s="9" t="s">
        <v>46</v>
      </c>
      <c r="J343" s="8">
        <v>4000</v>
      </c>
      <c r="K343" s="9">
        <f>+K342+Table2345356[[#This Row],[AMOUNT]]-Table2345356[[#This Row],[AMOUNT2]]-Table2345356[[#This Row],[AMOUNT3]]</f>
        <v>-1151579</v>
      </c>
    </row>
    <row r="344" spans="1:11" hidden="1" x14ac:dyDescent="0.35">
      <c r="A344" s="64">
        <v>46247</v>
      </c>
      <c r="B344" s="64"/>
      <c r="C344" s="7"/>
      <c r="D344" s="8"/>
      <c r="E344" s="7" t="s">
        <v>47</v>
      </c>
      <c r="F344" s="7" t="s">
        <v>40</v>
      </c>
      <c r="G344" s="9" t="s">
        <v>1000</v>
      </c>
      <c r="H344" s="21">
        <v>1000</v>
      </c>
      <c r="I344" s="9"/>
      <c r="J344" s="8"/>
      <c r="K344" s="9">
        <f>+K343+Table2345356[[#This Row],[AMOUNT]]-Table2345356[[#This Row],[AMOUNT2]]-Table2345356[[#This Row],[AMOUNT3]]</f>
        <v>-1152579</v>
      </c>
    </row>
    <row r="345" spans="1:11" hidden="1" x14ac:dyDescent="0.35">
      <c r="A345" s="64">
        <v>46248</v>
      </c>
      <c r="B345" s="64"/>
      <c r="C345" s="7" t="s">
        <v>1147</v>
      </c>
      <c r="D345" s="8">
        <v>10000</v>
      </c>
      <c r="E345" s="25"/>
      <c r="F345" s="25"/>
      <c r="G345" s="19"/>
      <c r="H345" s="21"/>
      <c r="I345" s="9"/>
      <c r="J345" s="8"/>
      <c r="K345" s="9">
        <f>+K344+Table2345356[[#This Row],[AMOUNT]]-Table2345356[[#This Row],[AMOUNT2]]-Table2345356[[#This Row],[AMOUNT3]]</f>
        <v>-1142579</v>
      </c>
    </row>
    <row r="346" spans="1:11" hidden="1" x14ac:dyDescent="0.35">
      <c r="A346" s="64">
        <v>46248</v>
      </c>
      <c r="B346" s="64"/>
      <c r="C346" s="7"/>
      <c r="D346" s="8"/>
      <c r="E346" s="128" t="s">
        <v>815</v>
      </c>
      <c r="F346" s="128" t="s">
        <v>1008</v>
      </c>
      <c r="G346" s="129" t="s">
        <v>1145</v>
      </c>
      <c r="H346" s="13">
        <v>10000</v>
      </c>
      <c r="I346" s="9"/>
      <c r="J346" s="8"/>
      <c r="K346" s="9">
        <f>+K345+Table2345356[[#This Row],[AMOUNT]]-Table2345356[[#This Row],[AMOUNT2]]-Table2345356[[#This Row],[AMOUNT3]]</f>
        <v>-1152579</v>
      </c>
    </row>
    <row r="347" spans="1:11" hidden="1" x14ac:dyDescent="0.35">
      <c r="A347" s="64">
        <v>46248</v>
      </c>
      <c r="B347" s="64"/>
      <c r="C347" s="7"/>
      <c r="D347" s="8"/>
      <c r="E347" s="7" t="s">
        <v>47</v>
      </c>
      <c r="F347" s="7" t="s">
        <v>40</v>
      </c>
      <c r="G347" s="9" t="s">
        <v>1000</v>
      </c>
      <c r="H347" s="21">
        <v>900</v>
      </c>
      <c r="I347" s="9"/>
      <c r="J347" s="8"/>
      <c r="K347" s="9">
        <f>+K346+Table2345356[[#This Row],[AMOUNT]]-Table2345356[[#This Row],[AMOUNT2]]-Table2345356[[#This Row],[AMOUNT3]]</f>
        <v>-1153479</v>
      </c>
    </row>
    <row r="348" spans="1:11" hidden="1" x14ac:dyDescent="0.35">
      <c r="A348" s="64">
        <v>46249</v>
      </c>
      <c r="B348" s="64"/>
      <c r="C348" s="7"/>
      <c r="D348" s="8"/>
      <c r="E348" s="25" t="s">
        <v>47</v>
      </c>
      <c r="F348" s="25" t="s">
        <v>749</v>
      </c>
      <c r="G348" s="19" t="s">
        <v>356</v>
      </c>
      <c r="H348" s="21">
        <v>1000</v>
      </c>
      <c r="I348" s="9"/>
      <c r="J348" s="8"/>
      <c r="K348" s="9">
        <f>+K347+Table2345356[[#This Row],[AMOUNT]]-Table2345356[[#This Row],[AMOUNT2]]-Table2345356[[#This Row],[AMOUNT3]]</f>
        <v>-1154479</v>
      </c>
    </row>
    <row r="349" spans="1:11" hidden="1" x14ac:dyDescent="0.35">
      <c r="A349" s="64">
        <v>46250</v>
      </c>
      <c r="B349" s="64"/>
      <c r="C349" s="7" t="s">
        <v>50</v>
      </c>
      <c r="D349" s="8">
        <v>20000</v>
      </c>
      <c r="E349" s="25"/>
      <c r="F349" s="25"/>
      <c r="G349" s="19"/>
      <c r="H349" s="21"/>
      <c r="I349" s="9"/>
      <c r="J349" s="8"/>
      <c r="K349" s="9">
        <f>+K348+Table2345356[[#This Row],[AMOUNT]]-Table2345356[[#This Row],[AMOUNT2]]-Table2345356[[#This Row],[AMOUNT3]]</f>
        <v>-1134479</v>
      </c>
    </row>
    <row r="350" spans="1:11" hidden="1" x14ac:dyDescent="0.35">
      <c r="A350" s="64">
        <v>46250</v>
      </c>
      <c r="B350" s="64"/>
      <c r="C350" s="7"/>
      <c r="D350" s="8"/>
      <c r="E350" s="25"/>
      <c r="F350" s="25"/>
      <c r="G350" s="19"/>
      <c r="H350" s="21"/>
      <c r="I350" s="9" t="s">
        <v>1148</v>
      </c>
      <c r="J350" s="8">
        <v>20000</v>
      </c>
      <c r="K350" s="9">
        <f>+K349+Table2345356[[#This Row],[AMOUNT]]-Table2345356[[#This Row],[AMOUNT2]]-Table2345356[[#This Row],[AMOUNT3]]</f>
        <v>-1154479</v>
      </c>
    </row>
    <row r="351" spans="1:11" hidden="1" x14ac:dyDescent="0.35">
      <c r="A351" s="64">
        <v>46251</v>
      </c>
      <c r="B351" s="64"/>
      <c r="C351" s="7"/>
      <c r="D351" s="8"/>
      <c r="E351" s="25" t="s">
        <v>382</v>
      </c>
      <c r="F351" s="25" t="s">
        <v>383</v>
      </c>
      <c r="G351" s="19" t="s">
        <v>387</v>
      </c>
      <c r="H351" s="21">
        <v>20000</v>
      </c>
      <c r="I351" s="9"/>
      <c r="J351" s="8"/>
      <c r="K351" s="9">
        <f>+K350+Table2345356[[#This Row],[AMOUNT]]-Table2345356[[#This Row],[AMOUNT2]]-Table2345356[[#This Row],[AMOUNT3]]</f>
        <v>-1174479</v>
      </c>
    </row>
    <row r="352" spans="1:11" hidden="1" x14ac:dyDescent="0.35">
      <c r="A352" s="64">
        <v>46251</v>
      </c>
      <c r="B352" s="64"/>
      <c r="C352" s="7"/>
      <c r="D352" s="8"/>
      <c r="E352" s="7"/>
      <c r="F352" s="7"/>
      <c r="G352" s="9"/>
      <c r="H352" s="21"/>
      <c r="I352" s="9" t="s">
        <v>46</v>
      </c>
      <c r="J352" s="8">
        <v>1000</v>
      </c>
      <c r="K352" s="9">
        <f>+K351+Table2345356[[#This Row],[AMOUNT]]-Table2345356[[#This Row],[AMOUNT2]]-Table2345356[[#This Row],[AMOUNT3]]</f>
        <v>-1175479</v>
      </c>
    </row>
    <row r="353" spans="1:11" hidden="1" x14ac:dyDescent="0.35">
      <c r="A353" s="64">
        <v>46252</v>
      </c>
      <c r="B353" s="64"/>
      <c r="C353" s="7" t="s">
        <v>50</v>
      </c>
      <c r="D353" s="8">
        <v>20000</v>
      </c>
      <c r="E353" s="7"/>
      <c r="F353" s="7"/>
      <c r="G353" s="9"/>
      <c r="H353" s="21"/>
      <c r="I353" s="9"/>
      <c r="J353" s="8"/>
      <c r="K353" s="9">
        <f>+K352+Table2345356[[#This Row],[AMOUNT]]-Table2345356[[#This Row],[AMOUNT2]]-Table2345356[[#This Row],[AMOUNT3]]</f>
        <v>-1155479</v>
      </c>
    </row>
    <row r="354" spans="1:11" hidden="1" x14ac:dyDescent="0.35">
      <c r="A354" s="64">
        <v>46252</v>
      </c>
      <c r="B354" s="64"/>
      <c r="C354" s="7"/>
      <c r="D354" s="8"/>
      <c r="E354" s="7"/>
      <c r="F354" s="7"/>
      <c r="G354" s="9"/>
      <c r="H354" s="21"/>
      <c r="I354" s="9" t="s">
        <v>1148</v>
      </c>
      <c r="J354" s="8">
        <v>20000</v>
      </c>
      <c r="K354" s="9">
        <f>+K353+Table2345356[[#This Row],[AMOUNT]]-Table2345356[[#This Row],[AMOUNT2]]-Table2345356[[#This Row],[AMOUNT3]]</f>
        <v>-1175479</v>
      </c>
    </row>
    <row r="355" spans="1:11" hidden="1" x14ac:dyDescent="0.35">
      <c r="A355" s="64">
        <v>46252</v>
      </c>
      <c r="B355" s="64"/>
      <c r="C355" s="7"/>
      <c r="D355" s="8"/>
      <c r="E355" s="7"/>
      <c r="F355" s="7"/>
      <c r="G355" s="9"/>
      <c r="H355" s="21"/>
      <c r="I355" s="9" t="s">
        <v>46</v>
      </c>
      <c r="J355" s="8">
        <v>2000</v>
      </c>
      <c r="K355" s="9">
        <f>+K354+Table2345356[[#This Row],[AMOUNT]]-Table2345356[[#This Row],[AMOUNT2]]-Table2345356[[#This Row],[AMOUNT3]]</f>
        <v>-1177479</v>
      </c>
    </row>
    <row r="356" spans="1:11" hidden="1" x14ac:dyDescent="0.35">
      <c r="A356" s="64">
        <v>46252</v>
      </c>
      <c r="B356" s="64"/>
      <c r="C356" s="7"/>
      <c r="D356" s="8"/>
      <c r="E356" s="7"/>
      <c r="F356" s="7"/>
      <c r="G356" s="9"/>
      <c r="H356" s="21"/>
      <c r="I356" s="9" t="s">
        <v>1146</v>
      </c>
      <c r="J356" s="8">
        <v>70000</v>
      </c>
      <c r="K356" s="9">
        <f>+K355+Table2345356[[#This Row],[AMOUNT]]-Table2345356[[#This Row],[AMOUNT2]]-Table2345356[[#This Row],[AMOUNT3]]</f>
        <v>-1247479</v>
      </c>
    </row>
    <row r="357" spans="1:11" hidden="1" x14ac:dyDescent="0.35">
      <c r="A357" s="64">
        <v>46253</v>
      </c>
      <c r="B357" s="64"/>
      <c r="C357" s="7" t="s">
        <v>449</v>
      </c>
      <c r="D357" s="8">
        <v>200000</v>
      </c>
      <c r="E357" s="25" t="s">
        <v>47</v>
      </c>
      <c r="F357" s="25" t="s">
        <v>1</v>
      </c>
      <c r="G357" s="19" t="s">
        <v>52</v>
      </c>
      <c r="H357" s="21">
        <v>2500</v>
      </c>
      <c r="I357" s="9"/>
      <c r="J357" s="8"/>
      <c r="K357" s="9">
        <f>+K356+Table2345356[[#This Row],[AMOUNT]]-Table2345356[[#This Row],[AMOUNT2]]-Table2345356[[#This Row],[AMOUNT3]]</f>
        <v>-1049979</v>
      </c>
    </row>
    <row r="358" spans="1:11" hidden="1" x14ac:dyDescent="0.35">
      <c r="A358" s="64">
        <v>46253</v>
      </c>
      <c r="B358" s="64"/>
      <c r="C358" s="7"/>
      <c r="D358" s="8"/>
      <c r="E358" s="7"/>
      <c r="F358" s="7"/>
      <c r="G358" s="9"/>
      <c r="H358" s="21"/>
      <c r="I358" s="9" t="s">
        <v>46</v>
      </c>
      <c r="J358" s="8">
        <v>10000</v>
      </c>
      <c r="K358" s="9">
        <f>+K357+Table2345356[[#This Row],[AMOUNT]]-Table2345356[[#This Row],[AMOUNT2]]-Table2345356[[#This Row],[AMOUNT3]]</f>
        <v>-1059979</v>
      </c>
    </row>
    <row r="359" spans="1:11" hidden="1" x14ac:dyDescent="0.35">
      <c r="A359" s="64">
        <v>46253</v>
      </c>
      <c r="B359" s="64"/>
      <c r="C359" s="7"/>
      <c r="D359" s="8"/>
      <c r="E359" s="7"/>
      <c r="F359" s="7"/>
      <c r="G359" s="9"/>
      <c r="H359" s="21"/>
      <c r="I359" s="9" t="s">
        <v>46</v>
      </c>
      <c r="J359" s="8">
        <v>4000</v>
      </c>
      <c r="K359" s="9">
        <f>+K358+Table2345356[[#This Row],[AMOUNT]]-Table2345356[[#This Row],[AMOUNT2]]-Table2345356[[#This Row],[AMOUNT3]]</f>
        <v>-1063979</v>
      </c>
    </row>
    <row r="360" spans="1:11" hidden="1" x14ac:dyDescent="0.35">
      <c r="A360" s="64">
        <v>46253</v>
      </c>
      <c r="B360" s="64"/>
      <c r="C360" s="7"/>
      <c r="D360" s="8"/>
      <c r="E360" s="7"/>
      <c r="F360" s="7"/>
      <c r="G360" s="9"/>
      <c r="H360" s="21"/>
      <c r="I360" s="9" t="s">
        <v>605</v>
      </c>
      <c r="J360" s="8">
        <v>5000</v>
      </c>
      <c r="K360" s="9">
        <f>+K359+Table2345356[[#This Row],[AMOUNT]]-Table2345356[[#This Row],[AMOUNT2]]-Table2345356[[#This Row],[AMOUNT3]]</f>
        <v>-1068979</v>
      </c>
    </row>
    <row r="361" spans="1:11" hidden="1" x14ac:dyDescent="0.35">
      <c r="A361" s="64">
        <v>46253</v>
      </c>
      <c r="B361" s="64"/>
      <c r="C361" s="7"/>
      <c r="D361" s="8"/>
      <c r="E361" s="128"/>
      <c r="F361" s="128"/>
      <c r="G361" s="129"/>
      <c r="H361" s="13"/>
      <c r="I361" s="9"/>
      <c r="J361" s="8"/>
      <c r="K361" s="9">
        <f>+K360+Table2345356[[#This Row],[AMOUNT]]-Table2345356[[#This Row],[AMOUNT2]]-Table2345356[[#This Row],[AMOUNT3]]</f>
        <v>-1068979</v>
      </c>
    </row>
    <row r="362" spans="1:11" hidden="1" x14ac:dyDescent="0.35">
      <c r="A362" s="64">
        <v>46254</v>
      </c>
      <c r="B362" s="64"/>
      <c r="C362" s="7"/>
      <c r="D362" s="8"/>
      <c r="E362" s="128"/>
      <c r="F362" s="128"/>
      <c r="G362" s="129"/>
      <c r="H362" s="13"/>
      <c r="I362" s="9" t="s">
        <v>46</v>
      </c>
      <c r="J362" s="8">
        <v>2000</v>
      </c>
      <c r="K362" s="9">
        <f>+K361+Table2345356[[#This Row],[AMOUNT]]-Table2345356[[#This Row],[AMOUNT2]]-Table2345356[[#This Row],[AMOUNT3]]</f>
        <v>-1070979</v>
      </c>
    </row>
    <row r="363" spans="1:11" hidden="1" x14ac:dyDescent="0.35">
      <c r="A363" s="64">
        <v>46255</v>
      </c>
      <c r="B363" s="64"/>
      <c r="C363" s="7"/>
      <c r="D363" s="8"/>
      <c r="E363" s="7" t="s">
        <v>47</v>
      </c>
      <c r="F363" s="7" t="s">
        <v>40</v>
      </c>
      <c r="G363" s="9" t="s">
        <v>521</v>
      </c>
      <c r="H363" s="21">
        <v>760</v>
      </c>
      <c r="I363" s="9" t="s">
        <v>46</v>
      </c>
      <c r="J363" s="8">
        <v>20000</v>
      </c>
      <c r="K363" s="9">
        <f>+K362+Table2345356[[#This Row],[AMOUNT]]-Table2345356[[#This Row],[AMOUNT2]]-Table2345356[[#This Row],[AMOUNT3]]</f>
        <v>-1091739</v>
      </c>
    </row>
    <row r="364" spans="1:11" hidden="1" x14ac:dyDescent="0.35">
      <c r="A364" s="64">
        <v>46255</v>
      </c>
      <c r="B364" s="64"/>
      <c r="C364" s="7"/>
      <c r="D364" s="8"/>
      <c r="E364" s="128"/>
      <c r="F364" s="128"/>
      <c r="G364" s="129"/>
      <c r="H364" s="13"/>
      <c r="I364" s="9"/>
      <c r="J364" s="8"/>
      <c r="K364" s="9">
        <f>+K363+Table2345356[[#This Row],[AMOUNT]]-Table2345356[[#This Row],[AMOUNT2]]-Table2345356[[#This Row],[AMOUNT3]]</f>
        <v>-1091739</v>
      </c>
    </row>
    <row r="365" spans="1:11" hidden="1" x14ac:dyDescent="0.35">
      <c r="A365" s="64">
        <v>46256</v>
      </c>
      <c r="B365" s="64"/>
      <c r="C365" s="7"/>
      <c r="D365" s="8"/>
      <c r="E365" s="7" t="s">
        <v>47</v>
      </c>
      <c r="F365" s="7" t="s">
        <v>40</v>
      </c>
      <c r="G365" s="9" t="s">
        <v>521</v>
      </c>
      <c r="H365" s="21">
        <v>240</v>
      </c>
      <c r="I365" s="9"/>
      <c r="J365" s="8"/>
      <c r="K365" s="9">
        <f>+K364+Table2345356[[#This Row],[AMOUNT]]-Table2345356[[#This Row],[AMOUNT2]]-Table2345356[[#This Row],[AMOUNT3]]</f>
        <v>-1091979</v>
      </c>
    </row>
    <row r="366" spans="1:11" x14ac:dyDescent="0.35">
      <c r="A366" s="64">
        <v>46257</v>
      </c>
      <c r="B366" s="64"/>
      <c r="C366" s="7"/>
      <c r="D366" s="8"/>
      <c r="E366" s="25" t="s">
        <v>61</v>
      </c>
      <c r="F366" s="25" t="s">
        <v>85</v>
      </c>
      <c r="G366" s="19" t="s">
        <v>1219</v>
      </c>
      <c r="H366" s="21">
        <v>1500</v>
      </c>
      <c r="I366" s="9" t="s">
        <v>46</v>
      </c>
      <c r="J366" s="8">
        <v>22000</v>
      </c>
      <c r="K366" s="9">
        <f>+K365+Table2345356[[#This Row],[AMOUNT]]-Table2345356[[#This Row],[AMOUNT2]]-Table2345356[[#This Row],[AMOUNT3]]</f>
        <v>-1115479</v>
      </c>
    </row>
    <row r="367" spans="1:11" hidden="1" x14ac:dyDescent="0.35">
      <c r="A367" s="64">
        <v>46257</v>
      </c>
      <c r="B367" s="64"/>
      <c r="C367" s="7"/>
      <c r="D367" s="8"/>
      <c r="E367" s="25" t="s">
        <v>343</v>
      </c>
      <c r="F367" s="25" t="s">
        <v>49</v>
      </c>
      <c r="G367" s="19" t="s">
        <v>379</v>
      </c>
      <c r="H367" s="21">
        <v>1400</v>
      </c>
      <c r="I367" s="9" t="s">
        <v>46</v>
      </c>
      <c r="J367" s="8">
        <v>3000</v>
      </c>
      <c r="K367" s="9">
        <f>+K366+Table2345356[[#This Row],[AMOUNT]]-Table2345356[[#This Row],[AMOUNT2]]-Table2345356[[#This Row],[AMOUNT3]]</f>
        <v>-1119879</v>
      </c>
    </row>
    <row r="368" spans="1:11" hidden="1" x14ac:dyDescent="0.35">
      <c r="A368" s="64">
        <v>46257</v>
      </c>
      <c r="B368" s="64"/>
      <c r="C368" s="7"/>
      <c r="D368" s="8"/>
      <c r="E368" s="25" t="s">
        <v>47</v>
      </c>
      <c r="F368" s="25" t="s">
        <v>1</v>
      </c>
      <c r="G368" s="19" t="s">
        <v>1220</v>
      </c>
      <c r="H368" s="21">
        <v>2000</v>
      </c>
      <c r="I368" s="9"/>
      <c r="J368" s="8"/>
      <c r="K368" s="9">
        <f>+K367+Table2345356[[#This Row],[AMOUNT]]-Table2345356[[#This Row],[AMOUNT2]]-Table2345356[[#This Row],[AMOUNT3]]</f>
        <v>-1121879</v>
      </c>
    </row>
    <row r="369" spans="1:11" hidden="1" x14ac:dyDescent="0.35">
      <c r="A369" s="64">
        <v>46258</v>
      </c>
      <c r="B369" s="64"/>
      <c r="C369" s="7"/>
      <c r="D369" s="8"/>
      <c r="E369" s="7" t="s">
        <v>47</v>
      </c>
      <c r="F369" s="7" t="s">
        <v>823</v>
      </c>
      <c r="G369" s="9" t="s">
        <v>1222</v>
      </c>
      <c r="H369" s="13">
        <v>24800</v>
      </c>
      <c r="I369" s="9" t="s">
        <v>1138</v>
      </c>
      <c r="J369" s="8">
        <v>5000</v>
      </c>
      <c r="K369" s="9">
        <f>+K368+Table2345356[[#This Row],[AMOUNT]]-Table2345356[[#This Row],[AMOUNT2]]-Table2345356[[#This Row],[AMOUNT3]]</f>
        <v>-1151679</v>
      </c>
    </row>
    <row r="370" spans="1:11" hidden="1" x14ac:dyDescent="0.35">
      <c r="A370" s="64">
        <v>46258</v>
      </c>
      <c r="B370" s="64"/>
      <c r="C370" s="7"/>
      <c r="D370" s="8"/>
      <c r="E370" s="7" t="s">
        <v>47</v>
      </c>
      <c r="F370" s="7" t="s">
        <v>823</v>
      </c>
      <c r="G370" s="9" t="s">
        <v>1221</v>
      </c>
      <c r="H370" s="13">
        <v>9000</v>
      </c>
      <c r="I370" s="9"/>
      <c r="J370" s="8"/>
      <c r="K370" s="9">
        <f>+K369+Table2345356[[#This Row],[AMOUNT]]-Table2345356[[#This Row],[AMOUNT2]]-Table2345356[[#This Row],[AMOUNT3]]</f>
        <v>-1160679</v>
      </c>
    </row>
    <row r="371" spans="1:11" x14ac:dyDescent="0.35">
      <c r="A371" s="64">
        <v>46258</v>
      </c>
      <c r="B371" s="64"/>
      <c r="C371" s="7"/>
      <c r="D371" s="8"/>
      <c r="E371" s="128" t="s">
        <v>61</v>
      </c>
      <c r="F371" s="128" t="s">
        <v>85</v>
      </c>
      <c r="G371" s="129" t="s">
        <v>1223</v>
      </c>
      <c r="H371" s="13">
        <v>150</v>
      </c>
      <c r="I371" s="9"/>
      <c r="J371" s="8"/>
      <c r="K371" s="9">
        <f>+K370+Table2345356[[#This Row],[AMOUNT]]-Table2345356[[#This Row],[AMOUNT2]]-Table2345356[[#This Row],[AMOUNT3]]</f>
        <v>-1160829</v>
      </c>
    </row>
    <row r="372" spans="1:11" x14ac:dyDescent="0.35">
      <c r="A372" s="64">
        <v>46258</v>
      </c>
      <c r="B372" s="64"/>
      <c r="C372" s="7"/>
      <c r="D372" s="8"/>
      <c r="E372" s="128" t="s">
        <v>61</v>
      </c>
      <c r="F372" s="128" t="s">
        <v>85</v>
      </c>
      <c r="G372" s="129" t="s">
        <v>1224</v>
      </c>
      <c r="H372" s="13">
        <v>6000</v>
      </c>
      <c r="I372" s="9"/>
      <c r="J372" s="8"/>
      <c r="K372" s="9">
        <f>+K371+Table2345356[[#This Row],[AMOUNT]]-Table2345356[[#This Row],[AMOUNT2]]-Table2345356[[#This Row],[AMOUNT3]]</f>
        <v>-1166829</v>
      </c>
    </row>
    <row r="373" spans="1:11" hidden="1" x14ac:dyDescent="0.35">
      <c r="A373" s="64">
        <v>46258</v>
      </c>
      <c r="B373" s="64"/>
      <c r="C373" s="7"/>
      <c r="D373" s="8"/>
      <c r="E373" s="128" t="s">
        <v>382</v>
      </c>
      <c r="F373" s="128" t="s">
        <v>383</v>
      </c>
      <c r="G373" s="129" t="s">
        <v>1225</v>
      </c>
      <c r="H373" s="13">
        <v>746</v>
      </c>
      <c r="I373" s="9"/>
      <c r="J373" s="8"/>
      <c r="K373" s="9">
        <f>+K372+Table2345356[[#This Row],[AMOUNT]]-Table2345356[[#This Row],[AMOUNT2]]-Table2345356[[#This Row],[AMOUNT3]]</f>
        <v>-1167575</v>
      </c>
    </row>
    <row r="374" spans="1:11" hidden="1" x14ac:dyDescent="0.35">
      <c r="A374" s="64">
        <v>46259</v>
      </c>
      <c r="B374" s="64"/>
      <c r="C374" s="7" t="s">
        <v>449</v>
      </c>
      <c r="D374" s="8">
        <v>200000</v>
      </c>
      <c r="E374" s="128" t="s">
        <v>47</v>
      </c>
      <c r="F374" s="128" t="s">
        <v>43</v>
      </c>
      <c r="G374" s="129" t="s">
        <v>1226</v>
      </c>
      <c r="H374" s="13">
        <v>920</v>
      </c>
      <c r="I374" s="9"/>
      <c r="J374" s="8"/>
      <c r="K374" s="9">
        <f>+K373+Table2345356[[#This Row],[AMOUNT]]-Table2345356[[#This Row],[AMOUNT2]]-Table2345356[[#This Row],[AMOUNT3]]</f>
        <v>-968495</v>
      </c>
    </row>
    <row r="375" spans="1:11" hidden="1" x14ac:dyDescent="0.35">
      <c r="A375" s="64">
        <v>46259</v>
      </c>
      <c r="B375" s="64"/>
      <c r="C375" s="7"/>
      <c r="D375" s="8"/>
      <c r="E375" s="25" t="s">
        <v>47</v>
      </c>
      <c r="F375" s="25" t="s">
        <v>1</v>
      </c>
      <c r="G375" s="19" t="s">
        <v>1220</v>
      </c>
      <c r="H375" s="21">
        <v>2500</v>
      </c>
      <c r="I375" s="9"/>
      <c r="J375" s="8"/>
      <c r="K375" s="9">
        <f>+K374+Table2345356[[#This Row],[AMOUNT]]-Table2345356[[#This Row],[AMOUNT2]]-Table2345356[[#This Row],[AMOUNT3]]</f>
        <v>-970995</v>
      </c>
    </row>
    <row r="376" spans="1:11" hidden="1" x14ac:dyDescent="0.35">
      <c r="A376" s="64">
        <v>46259</v>
      </c>
      <c r="B376" s="64"/>
      <c r="C376" s="7"/>
      <c r="D376" s="8"/>
      <c r="E376" s="25" t="s">
        <v>39</v>
      </c>
      <c r="F376" s="25" t="s">
        <v>1240</v>
      </c>
      <c r="G376" s="19" t="s">
        <v>1227</v>
      </c>
      <c r="H376" s="21">
        <v>267500</v>
      </c>
      <c r="I376" s="9"/>
      <c r="J376" s="8"/>
      <c r="K376" s="9">
        <f>+K375+Table2345356[[#This Row],[AMOUNT]]-Table2345356[[#This Row],[AMOUNT2]]-Table2345356[[#This Row],[AMOUNT3]]</f>
        <v>-1238495</v>
      </c>
    </row>
    <row r="377" spans="1:11" hidden="1" x14ac:dyDescent="0.35">
      <c r="A377" s="64">
        <v>46259</v>
      </c>
      <c r="B377" s="64"/>
      <c r="C377" s="7"/>
      <c r="D377" s="8"/>
      <c r="E377" s="25" t="s">
        <v>39</v>
      </c>
      <c r="F377" s="25" t="s">
        <v>1240</v>
      </c>
      <c r="G377" s="19" t="s">
        <v>1228</v>
      </c>
      <c r="H377" s="21">
        <v>10000</v>
      </c>
      <c r="I377" s="9"/>
      <c r="J377" s="8"/>
      <c r="K377" s="9">
        <f>+K376+Table2345356[[#This Row],[AMOUNT]]-Table2345356[[#This Row],[AMOUNT2]]-Table2345356[[#This Row],[AMOUNT3]]</f>
        <v>-1248495</v>
      </c>
    </row>
    <row r="378" spans="1:11" hidden="1" x14ac:dyDescent="0.35">
      <c r="A378" s="64">
        <v>46260</v>
      </c>
      <c r="B378" s="64"/>
      <c r="C378" s="7" t="s">
        <v>50</v>
      </c>
      <c r="D378" s="8">
        <v>30000</v>
      </c>
      <c r="E378" s="25" t="s">
        <v>39</v>
      </c>
      <c r="F378" s="25" t="s">
        <v>1240</v>
      </c>
      <c r="G378" s="19" t="s">
        <v>1229</v>
      </c>
      <c r="H378" s="21">
        <v>10000</v>
      </c>
      <c r="I378" s="9" t="s">
        <v>634</v>
      </c>
      <c r="J378" s="8">
        <v>30000</v>
      </c>
      <c r="K378" s="9">
        <f>+K377+Table2345356[[#This Row],[AMOUNT]]-Table2345356[[#This Row],[AMOUNT2]]-Table2345356[[#This Row],[AMOUNT3]]</f>
        <v>-1258495</v>
      </c>
    </row>
    <row r="379" spans="1:11" hidden="1" x14ac:dyDescent="0.35">
      <c r="A379" s="64">
        <v>46261</v>
      </c>
      <c r="B379" s="64"/>
      <c r="C379" s="7"/>
      <c r="D379" s="8"/>
      <c r="E379" s="25" t="s">
        <v>47</v>
      </c>
      <c r="F379" s="25" t="s">
        <v>40</v>
      </c>
      <c r="G379" s="19" t="s">
        <v>1000</v>
      </c>
      <c r="H379" s="21">
        <v>6500</v>
      </c>
      <c r="I379" s="9" t="s">
        <v>46</v>
      </c>
      <c r="J379" s="8">
        <v>7100</v>
      </c>
      <c r="K379" s="9">
        <f>+K378+Table2345356[[#This Row],[AMOUNT]]-Table2345356[[#This Row],[AMOUNT2]]-Table2345356[[#This Row],[AMOUNT3]]</f>
        <v>-1272095</v>
      </c>
    </row>
    <row r="380" spans="1:11" hidden="1" x14ac:dyDescent="0.35">
      <c r="A380" s="64">
        <v>46261</v>
      </c>
      <c r="B380" s="64"/>
      <c r="C380" s="7"/>
      <c r="D380" s="8"/>
      <c r="E380" s="25"/>
      <c r="F380" s="25"/>
      <c r="G380" s="19"/>
      <c r="H380" s="21"/>
      <c r="I380" s="9" t="s">
        <v>1230</v>
      </c>
      <c r="J380" s="8">
        <v>5000</v>
      </c>
      <c r="K380" s="9">
        <f>+K379+Table2345356[[#This Row],[AMOUNT]]-Table2345356[[#This Row],[AMOUNT2]]-Table2345356[[#This Row],[AMOUNT3]]</f>
        <v>-1277095</v>
      </c>
    </row>
    <row r="381" spans="1:11" hidden="1" x14ac:dyDescent="0.35">
      <c r="A381" s="64">
        <v>46261</v>
      </c>
      <c r="B381" s="64"/>
      <c r="C381" s="7"/>
      <c r="D381" s="8"/>
      <c r="E381" s="25"/>
      <c r="F381" s="25"/>
      <c r="G381" s="19"/>
      <c r="H381" s="21"/>
      <c r="I381" s="9" t="s">
        <v>1138</v>
      </c>
      <c r="J381" s="8">
        <v>12000</v>
      </c>
      <c r="K381" s="9">
        <f>+K380+Table2345356[[#This Row],[AMOUNT]]-Table2345356[[#This Row],[AMOUNT2]]-Table2345356[[#This Row],[AMOUNT3]]</f>
        <v>-1289095</v>
      </c>
    </row>
    <row r="382" spans="1:11" hidden="1" x14ac:dyDescent="0.35">
      <c r="A382" s="64">
        <v>46263</v>
      </c>
      <c r="B382" s="64"/>
      <c r="C382" s="7"/>
      <c r="D382" s="8"/>
      <c r="E382" s="25" t="s">
        <v>47</v>
      </c>
      <c r="F382" s="25" t="s">
        <v>43</v>
      </c>
      <c r="G382" s="19" t="s">
        <v>1231</v>
      </c>
      <c r="H382" s="21">
        <v>6200</v>
      </c>
      <c r="I382" s="9" t="s">
        <v>98</v>
      </c>
      <c r="J382" s="8">
        <v>200000</v>
      </c>
      <c r="K382" s="9">
        <f>+K381+Table2345356[[#This Row],[AMOUNT]]-Table2345356[[#This Row],[AMOUNT2]]-Table2345356[[#This Row],[AMOUNT3]]</f>
        <v>-1495295</v>
      </c>
    </row>
    <row r="383" spans="1:11" hidden="1" x14ac:dyDescent="0.35">
      <c r="A383" s="64">
        <v>46264</v>
      </c>
      <c r="B383" s="64"/>
      <c r="C383" s="7" t="s">
        <v>50</v>
      </c>
      <c r="D383" s="8">
        <v>20000</v>
      </c>
      <c r="E383" s="25"/>
      <c r="F383" s="25"/>
      <c r="G383" s="19"/>
      <c r="H383" s="21"/>
      <c r="I383" s="9" t="s">
        <v>1148</v>
      </c>
      <c r="J383" s="8">
        <v>20000</v>
      </c>
      <c r="K383" s="9">
        <f>+K382+Table2345356[[#This Row],[AMOUNT]]-Table2345356[[#This Row],[AMOUNT2]]-Table2345356[[#This Row],[AMOUNT3]]</f>
        <v>-1495295</v>
      </c>
    </row>
    <row r="384" spans="1:11" hidden="1" x14ac:dyDescent="0.35">
      <c r="A384" s="64">
        <v>46265</v>
      </c>
      <c r="B384" s="64"/>
      <c r="C384" s="7" t="s">
        <v>449</v>
      </c>
      <c r="D384" s="8">
        <v>300000</v>
      </c>
      <c r="E384" s="25" t="s">
        <v>355</v>
      </c>
      <c r="F384" s="25" t="s">
        <v>450</v>
      </c>
      <c r="G384" s="19" t="s">
        <v>1010</v>
      </c>
      <c r="H384" s="21">
        <v>300000</v>
      </c>
      <c r="I384" s="9" t="s">
        <v>46</v>
      </c>
      <c r="J384" s="8">
        <v>10000</v>
      </c>
      <c r="K384" s="9">
        <f>+K383+Table2345356[[#This Row],[AMOUNT]]-Table2345356[[#This Row],[AMOUNT2]]-Table2345356[[#This Row],[AMOUNT3]]</f>
        <v>-1505295</v>
      </c>
    </row>
    <row r="385" spans="1:11" hidden="1" x14ac:dyDescent="0.35">
      <c r="A385" s="64">
        <v>46265</v>
      </c>
      <c r="B385" s="64"/>
      <c r="C385" s="7"/>
      <c r="D385" s="8"/>
      <c r="E385" s="25" t="s">
        <v>47</v>
      </c>
      <c r="F385" s="25" t="s">
        <v>43</v>
      </c>
      <c r="G385" s="19" t="s">
        <v>1232</v>
      </c>
      <c r="H385" s="21">
        <v>1106</v>
      </c>
      <c r="I385" s="9"/>
      <c r="J385" s="8"/>
      <c r="K385" s="9">
        <f>+K384+Table2345356[[#This Row],[AMOUNT]]-Table2345356[[#This Row],[AMOUNT2]]-Table2345356[[#This Row],[AMOUNT3]]</f>
        <v>-1506401</v>
      </c>
    </row>
    <row r="386" spans="1:11" hidden="1" x14ac:dyDescent="0.35">
      <c r="A386" s="64"/>
      <c r="B386" s="64"/>
      <c r="C386" s="7"/>
      <c r="D386" s="8"/>
      <c r="E386" s="25"/>
      <c r="F386" s="25"/>
      <c r="G386" s="19"/>
      <c r="H386" s="21"/>
      <c r="I386" s="9"/>
      <c r="J386" s="8"/>
      <c r="K386" s="9">
        <f>+K385+Table2345356[[#This Row],[AMOUNT]]-Table2345356[[#This Row],[AMOUNT2]]-Table2345356[[#This Row],[AMOUNT3]]</f>
        <v>-1506401</v>
      </c>
    </row>
    <row r="387" spans="1:11" hidden="1" x14ac:dyDescent="0.35">
      <c r="A387" s="64"/>
      <c r="B387" s="64"/>
      <c r="C387" s="7"/>
      <c r="D387" s="8"/>
      <c r="E387" s="7"/>
      <c r="F387" s="7"/>
      <c r="G387" s="9"/>
      <c r="H387" s="13">
        <v>0</v>
      </c>
      <c r="I387" s="9"/>
      <c r="J387" s="8"/>
      <c r="K387" s="9">
        <f>+K386+Table2345356[[#This Row],[AMOUNT]]-Table2345356[[#This Row],[AMOUNT2]]-Table2345356[[#This Row],[AMOUNT3]]</f>
        <v>-1506401</v>
      </c>
    </row>
    <row r="388" spans="1:11" x14ac:dyDescent="0.35">
      <c r="A388" s="148" t="s">
        <v>15</v>
      </c>
      <c r="B388" s="149"/>
      <c r="C388" s="150"/>
      <c r="D388" s="3">
        <f>SUM(D5:D387)</f>
        <v>11175078</v>
      </c>
      <c r="E388" s="6"/>
      <c r="F388" s="6"/>
      <c r="G388" s="6"/>
      <c r="H388" s="3">
        <f>SUM(H5:H387)</f>
        <v>7701063</v>
      </c>
      <c r="I388" s="6"/>
      <c r="J388" s="3">
        <f>SUM(J5:J387)</f>
        <v>4806230</v>
      </c>
      <c r="K388" s="6"/>
    </row>
  </sheetData>
  <mergeCells count="4">
    <mergeCell ref="A1:K2"/>
    <mergeCell ref="A3:D3"/>
    <mergeCell ref="H3:J3"/>
    <mergeCell ref="A388:C388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2"/>
  <sheetViews>
    <sheetView zoomScale="85" zoomScaleNormal="85" workbookViewId="0">
      <pane ySplit="4" topLeftCell="A5" activePane="bottomLeft" state="frozen"/>
      <selection pane="bottomLeft" activeCell="E3" sqref="E3"/>
    </sheetView>
  </sheetViews>
  <sheetFormatPr defaultRowHeight="15.5" x14ac:dyDescent="0.35"/>
  <cols>
    <col min="1" max="1" width="12.453125" style="14" bestFit="1" customWidth="1"/>
    <col min="2" max="2" width="13.54296875" style="15" customWidth="1"/>
    <col min="3" max="3" width="15.08984375" style="15" bestFit="1" customWidth="1"/>
    <col min="4" max="4" width="34.6328125" style="14" bestFit="1" customWidth="1"/>
    <col min="5" max="5" width="23.1796875" style="14" bestFit="1" customWidth="1"/>
    <col min="6" max="6" width="30.6328125" style="14" customWidth="1"/>
    <col min="7" max="7" width="11.36328125" style="14" customWidth="1"/>
    <col min="8" max="8" width="17.54296875" style="14" customWidth="1"/>
    <col min="9" max="9" width="12.6328125" style="14" customWidth="1"/>
    <col min="10" max="10" width="10.08984375" style="14" customWidth="1"/>
    <col min="11" max="11" width="14.453125" bestFit="1" customWidth="1"/>
    <col min="12" max="12" width="13.36328125" bestFit="1" customWidth="1"/>
  </cols>
  <sheetData>
    <row r="1" spans="1:11" ht="14.5" x14ac:dyDescent="0.35">
      <c r="A1" s="139" t="s">
        <v>41</v>
      </c>
      <c r="B1" s="140"/>
      <c r="C1" s="140"/>
      <c r="D1" s="140"/>
      <c r="E1" s="140"/>
      <c r="F1" s="140"/>
      <c r="G1" s="140"/>
      <c r="H1" s="140"/>
      <c r="I1" s="140"/>
      <c r="J1" s="141"/>
    </row>
    <row r="2" spans="1:11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4"/>
    </row>
    <row r="3" spans="1:11" x14ac:dyDescent="0.35">
      <c r="A3" s="145" t="s">
        <v>3</v>
      </c>
      <c r="B3" s="146"/>
      <c r="C3" s="147"/>
      <c r="D3" s="4">
        <v>-108438</v>
      </c>
      <c r="E3" s="4"/>
      <c r="F3" s="4"/>
      <c r="G3" s="145" t="s">
        <v>4</v>
      </c>
      <c r="H3" s="146"/>
      <c r="I3" s="147"/>
      <c r="J3" s="4"/>
    </row>
    <row r="4" spans="1:11" x14ac:dyDescent="0.35">
      <c r="A4" s="5" t="s">
        <v>5</v>
      </c>
      <c r="B4" s="6" t="s">
        <v>6</v>
      </c>
      <c r="C4" s="6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80" t="s">
        <v>554</v>
      </c>
    </row>
    <row r="5" spans="1:11" hidden="1" x14ac:dyDescent="0.35">
      <c r="A5" s="28"/>
      <c r="B5" s="8"/>
      <c r="C5" s="8"/>
      <c r="D5" s="8"/>
      <c r="E5" s="7"/>
      <c r="F5" s="9"/>
      <c r="G5" s="10">
        <v>0</v>
      </c>
      <c r="H5" s="8"/>
      <c r="I5" s="8"/>
      <c r="J5" s="9">
        <f>+D3</f>
        <v>-108438</v>
      </c>
      <c r="K5" s="79"/>
    </row>
    <row r="6" spans="1:11" hidden="1" x14ac:dyDescent="0.35">
      <c r="A6" s="30">
        <v>46113</v>
      </c>
      <c r="B6" s="20" t="s">
        <v>45</v>
      </c>
      <c r="C6" s="45">
        <v>1260</v>
      </c>
      <c r="D6" s="20" t="s">
        <v>91</v>
      </c>
      <c r="E6" s="20" t="s">
        <v>0</v>
      </c>
      <c r="F6" s="19" t="s">
        <v>155</v>
      </c>
      <c r="G6" s="21">
        <v>2000</v>
      </c>
      <c r="H6" s="20"/>
      <c r="I6" s="20"/>
      <c r="J6" s="41">
        <f>+J5+Table234535[[#This Row],[AMOUNT]]-Table234535[[#This Row],[AMOUNT2]]-Table234535[[#This Row],[AMOUNT3]]</f>
        <v>-109178</v>
      </c>
      <c r="K6" s="79"/>
    </row>
    <row r="7" spans="1:11" hidden="1" x14ac:dyDescent="0.35">
      <c r="A7" s="30">
        <v>46113</v>
      </c>
      <c r="B7" s="20" t="s">
        <v>45</v>
      </c>
      <c r="C7" s="45">
        <v>10200</v>
      </c>
      <c r="D7" s="20" t="s">
        <v>108</v>
      </c>
      <c r="E7" s="20" t="s">
        <v>34</v>
      </c>
      <c r="F7" s="19" t="s">
        <v>156</v>
      </c>
      <c r="G7" s="21">
        <v>1260</v>
      </c>
      <c r="H7" s="20"/>
      <c r="I7" s="20"/>
      <c r="J7" s="41">
        <f>J6+Table234535[[#This Row],[AMOUNT]]-Table234535[[#This Row],[AMOUNT2]]-Table234535[[#This Row],[AMOUNT3]]</f>
        <v>-100238</v>
      </c>
      <c r="K7" s="79"/>
    </row>
    <row r="8" spans="1:11" hidden="1" x14ac:dyDescent="0.35">
      <c r="A8" s="30">
        <v>46113</v>
      </c>
      <c r="B8" s="20" t="s">
        <v>45</v>
      </c>
      <c r="C8" s="45">
        <v>7800</v>
      </c>
      <c r="D8" s="20" t="s">
        <v>91</v>
      </c>
      <c r="E8" s="20" t="s">
        <v>68</v>
      </c>
      <c r="F8" s="19" t="s">
        <v>123</v>
      </c>
      <c r="G8" s="21">
        <f>4*700</f>
        <v>2800</v>
      </c>
      <c r="H8" s="20"/>
      <c r="I8" s="20"/>
      <c r="J8" s="41">
        <f>J7+Table234535[[#This Row],[AMOUNT]]-Table234535[[#This Row],[AMOUNT2]]-Table234535[[#This Row],[AMOUNT3]]</f>
        <v>-95238</v>
      </c>
      <c r="K8" s="79"/>
    </row>
    <row r="9" spans="1:11" hidden="1" x14ac:dyDescent="0.35">
      <c r="A9" s="30">
        <v>46113</v>
      </c>
      <c r="B9" s="20"/>
      <c r="C9" s="20"/>
      <c r="D9" s="20" t="s">
        <v>91</v>
      </c>
      <c r="E9" s="20" t="s">
        <v>19</v>
      </c>
      <c r="F9" s="19" t="s">
        <v>157</v>
      </c>
      <c r="G9" s="21">
        <v>5000</v>
      </c>
      <c r="H9" s="20"/>
      <c r="I9" s="20"/>
      <c r="J9" s="41">
        <f>J8+Table234535[[#This Row],[AMOUNT]]-Table234535[[#This Row],[AMOUNT2]]-Table234535[[#This Row],[AMOUNT3]]</f>
        <v>-100238</v>
      </c>
      <c r="K9" s="79"/>
    </row>
    <row r="10" spans="1:11" hidden="1" x14ac:dyDescent="0.35">
      <c r="A10" s="30">
        <v>46113</v>
      </c>
      <c r="B10" s="20"/>
      <c r="C10" s="20"/>
      <c r="D10" s="20" t="s">
        <v>65</v>
      </c>
      <c r="E10" s="20" t="s">
        <v>16</v>
      </c>
      <c r="F10" s="19" t="s">
        <v>70</v>
      </c>
      <c r="G10" s="21">
        <f>1*900</f>
        <v>900</v>
      </c>
      <c r="H10" s="20"/>
      <c r="I10" s="20"/>
      <c r="J10" s="41">
        <f>J9+Table234535[[#This Row],[AMOUNT]]-Table234535[[#This Row],[AMOUNT2]]-Table234535[[#This Row],[AMOUNT3]]</f>
        <v>-101138</v>
      </c>
      <c r="K10" s="79"/>
    </row>
    <row r="11" spans="1:11" hidden="1" x14ac:dyDescent="0.35">
      <c r="A11" s="30">
        <v>46113</v>
      </c>
      <c r="B11" s="20"/>
      <c r="C11" s="20"/>
      <c r="D11" s="20" t="s">
        <v>91</v>
      </c>
      <c r="E11" s="20" t="s">
        <v>0</v>
      </c>
      <c r="F11" s="19" t="s">
        <v>126</v>
      </c>
      <c r="G11" s="21">
        <v>200</v>
      </c>
      <c r="H11" s="20"/>
      <c r="I11" s="20"/>
      <c r="J11" s="41">
        <f>J10+Table234535[[#This Row],[AMOUNT]]-Table234535[[#This Row],[AMOUNT2]]-Table234535[[#This Row],[AMOUNT3]]</f>
        <v>-101338</v>
      </c>
      <c r="K11" s="79"/>
    </row>
    <row r="12" spans="1:11" hidden="1" x14ac:dyDescent="0.35">
      <c r="A12" s="30">
        <v>46114</v>
      </c>
      <c r="B12" s="20" t="s">
        <v>45</v>
      </c>
      <c r="C12" s="45">
        <v>20300</v>
      </c>
      <c r="D12" s="20" t="s">
        <v>91</v>
      </c>
      <c r="E12" s="20" t="s">
        <v>679</v>
      </c>
      <c r="F12" s="19" t="s">
        <v>1</v>
      </c>
      <c r="G12" s="21">
        <v>500</v>
      </c>
      <c r="H12" s="20"/>
      <c r="I12" s="20"/>
      <c r="J12" s="41">
        <f>J11+Table234535[[#This Row],[AMOUNT]]-Table234535[[#This Row],[AMOUNT2]]-Table234535[[#This Row],[AMOUNT3]]</f>
        <v>-81538</v>
      </c>
      <c r="K12" s="79"/>
    </row>
    <row r="13" spans="1:11" hidden="1" x14ac:dyDescent="0.35">
      <c r="A13" s="30">
        <v>46114</v>
      </c>
      <c r="B13" s="20" t="s">
        <v>32</v>
      </c>
      <c r="C13" s="45">
        <v>30000</v>
      </c>
      <c r="D13" s="20" t="s">
        <v>108</v>
      </c>
      <c r="E13" s="20" t="s">
        <v>679</v>
      </c>
      <c r="F13" s="19" t="s">
        <v>1</v>
      </c>
      <c r="G13" s="21">
        <v>500</v>
      </c>
      <c r="H13" s="20"/>
      <c r="I13" s="20"/>
      <c r="J13" s="41">
        <f>J12+Table234535[[#This Row],[AMOUNT]]-Table234535[[#This Row],[AMOUNT2]]-Table234535[[#This Row],[AMOUNT3]]</f>
        <v>-52038</v>
      </c>
      <c r="K13" s="79"/>
    </row>
    <row r="14" spans="1:11" hidden="1" x14ac:dyDescent="0.35">
      <c r="A14" s="30">
        <v>46114</v>
      </c>
      <c r="B14" s="20" t="s">
        <v>45</v>
      </c>
      <c r="C14" s="45">
        <v>2100</v>
      </c>
      <c r="D14" s="20" t="s">
        <v>21</v>
      </c>
      <c r="E14" s="20" t="s">
        <v>82</v>
      </c>
      <c r="F14" s="19" t="s">
        <v>158</v>
      </c>
      <c r="G14" s="21">
        <v>20800</v>
      </c>
      <c r="H14" s="20"/>
      <c r="I14" s="20"/>
      <c r="J14" s="41">
        <f>J13+Table234535[[#This Row],[AMOUNT]]-Table234535[[#This Row],[AMOUNT2]]-Table234535[[#This Row],[AMOUNT3]]</f>
        <v>-70738</v>
      </c>
      <c r="K14" s="79"/>
    </row>
    <row r="15" spans="1:11" hidden="1" x14ac:dyDescent="0.35">
      <c r="A15" s="30">
        <v>46114</v>
      </c>
      <c r="B15" s="20" t="s">
        <v>45</v>
      </c>
      <c r="C15" s="45">
        <v>8863</v>
      </c>
      <c r="D15" s="20" t="s">
        <v>91</v>
      </c>
      <c r="E15" s="20" t="s">
        <v>68</v>
      </c>
      <c r="F15" s="19" t="s">
        <v>56</v>
      </c>
      <c r="G15" s="21">
        <f>3*700</f>
        <v>2100</v>
      </c>
      <c r="H15" s="20"/>
      <c r="I15" s="20"/>
      <c r="J15" s="41">
        <f>J14+Table234535[[#This Row],[AMOUNT]]-Table234535[[#This Row],[AMOUNT2]]-Table234535[[#This Row],[AMOUNT3]]</f>
        <v>-63975</v>
      </c>
      <c r="K15" s="79"/>
    </row>
    <row r="16" spans="1:11" hidden="1" x14ac:dyDescent="0.35">
      <c r="A16" s="30">
        <v>46114</v>
      </c>
      <c r="B16" s="20"/>
      <c r="C16" s="20"/>
      <c r="D16" s="20" t="s">
        <v>65</v>
      </c>
      <c r="E16" s="20" t="s">
        <v>16</v>
      </c>
      <c r="F16" s="19" t="s">
        <v>70</v>
      </c>
      <c r="G16" s="21">
        <f>1*900</f>
        <v>900</v>
      </c>
      <c r="H16" s="20"/>
      <c r="I16" s="20"/>
      <c r="J16" s="41">
        <f>J15+Table234535[[#This Row],[AMOUNT]]-Table234535[[#This Row],[AMOUNT2]]-Table234535[[#This Row],[AMOUNT3]]</f>
        <v>-64875</v>
      </c>
      <c r="K16" s="79"/>
    </row>
    <row r="17" spans="1:11" hidden="1" x14ac:dyDescent="0.35">
      <c r="A17" s="30">
        <v>46114</v>
      </c>
      <c r="B17" s="20"/>
      <c r="C17" s="20"/>
      <c r="D17" s="20" t="s">
        <v>108</v>
      </c>
      <c r="E17" s="20" t="s">
        <v>19</v>
      </c>
      <c r="F17" s="19" t="s">
        <v>117</v>
      </c>
      <c r="G17" s="21">
        <v>30000</v>
      </c>
      <c r="H17" s="20"/>
      <c r="I17" s="20"/>
      <c r="J17" s="41">
        <f>J16+Table234535[[#This Row],[AMOUNT]]-Table234535[[#This Row],[AMOUNT2]]-Table234535[[#This Row],[AMOUNT3]]</f>
        <v>-94875</v>
      </c>
      <c r="K17" s="79"/>
    </row>
    <row r="18" spans="1:11" hidden="1" x14ac:dyDescent="0.35">
      <c r="A18" s="30">
        <v>46114</v>
      </c>
      <c r="B18" s="20"/>
      <c r="C18" s="20"/>
      <c r="D18" s="20" t="s">
        <v>21</v>
      </c>
      <c r="E18" s="20" t="s">
        <v>27</v>
      </c>
      <c r="F18" s="19" t="s">
        <v>159</v>
      </c>
      <c r="G18" s="21">
        <v>8863</v>
      </c>
      <c r="H18" s="20"/>
      <c r="I18" s="20"/>
      <c r="J18" s="41">
        <f>J17+Table234535[[#This Row],[AMOUNT]]-Table234535[[#This Row],[AMOUNT2]]-Table234535[[#This Row],[AMOUNT3]]</f>
        <v>-103738</v>
      </c>
      <c r="K18" s="79"/>
    </row>
    <row r="19" spans="1:11" hidden="1" x14ac:dyDescent="0.35">
      <c r="A19" s="30">
        <v>46114</v>
      </c>
      <c r="B19" s="20"/>
      <c r="C19" s="20"/>
      <c r="D19" s="20" t="s">
        <v>65</v>
      </c>
      <c r="E19" s="20" t="s">
        <v>34</v>
      </c>
      <c r="F19" s="19" t="s">
        <v>160</v>
      </c>
      <c r="G19" s="21">
        <v>2950</v>
      </c>
      <c r="H19" s="20"/>
      <c r="I19" s="20"/>
      <c r="J19" s="41">
        <f>J18+Table234535[[#This Row],[AMOUNT]]-Table234535[[#This Row],[AMOUNT2]]-Table234535[[#This Row],[AMOUNT3]]</f>
        <v>-106688</v>
      </c>
      <c r="K19" s="79"/>
    </row>
    <row r="20" spans="1:11" hidden="1" x14ac:dyDescent="0.35">
      <c r="A20" s="30">
        <v>46115</v>
      </c>
      <c r="B20" s="20" t="s">
        <v>45</v>
      </c>
      <c r="C20" s="45">
        <v>7000</v>
      </c>
      <c r="D20" s="20" t="s">
        <v>91</v>
      </c>
      <c r="E20" s="20" t="s">
        <v>68</v>
      </c>
      <c r="F20" s="19" t="s">
        <v>56</v>
      </c>
      <c r="G20" s="21">
        <f>3*700</f>
        <v>2100</v>
      </c>
      <c r="H20" s="20" t="s">
        <v>64</v>
      </c>
      <c r="I20" s="20">
        <v>16000</v>
      </c>
      <c r="J20" s="41">
        <f>J19+Table234535[[#This Row],[AMOUNT]]-Table234535[[#This Row],[AMOUNT2]]-Table234535[[#This Row],[AMOUNT3]]</f>
        <v>-117788</v>
      </c>
      <c r="K20" s="79"/>
    </row>
    <row r="21" spans="1:11" hidden="1" x14ac:dyDescent="0.35">
      <c r="A21" s="30">
        <v>46115</v>
      </c>
      <c r="B21" s="20"/>
      <c r="C21" s="20"/>
      <c r="D21" s="20" t="s">
        <v>65</v>
      </c>
      <c r="E21" s="20" t="s">
        <v>16</v>
      </c>
      <c r="F21" s="19" t="s">
        <v>70</v>
      </c>
      <c r="G21" s="21">
        <f>1*900</f>
        <v>900</v>
      </c>
      <c r="H21" s="20"/>
      <c r="I21" s="20"/>
      <c r="J21" s="41">
        <f>J20+Table234535[[#This Row],[AMOUNT]]-Table234535[[#This Row],[AMOUNT2]]-Table234535[[#This Row],[AMOUNT3]]</f>
        <v>-118688</v>
      </c>
      <c r="K21" s="79"/>
    </row>
    <row r="22" spans="1:11" hidden="1" x14ac:dyDescent="0.35">
      <c r="A22" s="30">
        <v>46115</v>
      </c>
      <c r="B22" s="20"/>
      <c r="C22" s="20"/>
      <c r="D22" s="20" t="s">
        <v>65</v>
      </c>
      <c r="E22" s="20" t="s">
        <v>38</v>
      </c>
      <c r="F22" s="19" t="s">
        <v>161</v>
      </c>
      <c r="G22" s="21">
        <v>1400</v>
      </c>
      <c r="H22" s="20"/>
      <c r="I22" s="20"/>
      <c r="J22" s="41">
        <f>J21+Table234535[[#This Row],[AMOUNT]]-Table234535[[#This Row],[AMOUNT2]]-Table234535[[#This Row],[AMOUNT3]]</f>
        <v>-120088</v>
      </c>
      <c r="K22" s="79"/>
    </row>
    <row r="23" spans="1:11" hidden="1" x14ac:dyDescent="0.35">
      <c r="A23" s="30">
        <v>46115</v>
      </c>
      <c r="B23" s="20"/>
      <c r="C23" s="20"/>
      <c r="D23" s="20" t="s">
        <v>65</v>
      </c>
      <c r="E23" s="20" t="s">
        <v>34</v>
      </c>
      <c r="F23" s="19" t="s">
        <v>162</v>
      </c>
      <c r="G23" s="21">
        <f>450+90</f>
        <v>540</v>
      </c>
      <c r="H23" s="20"/>
      <c r="I23" s="20"/>
      <c r="J23" s="41">
        <f>J22+Table234535[[#This Row],[AMOUNT]]-Table234535[[#This Row],[AMOUNT2]]-Table234535[[#This Row],[AMOUNT3]]</f>
        <v>-120628</v>
      </c>
      <c r="K23" s="79"/>
    </row>
    <row r="24" spans="1:11" hidden="1" x14ac:dyDescent="0.35">
      <c r="A24" s="30">
        <v>46116</v>
      </c>
      <c r="B24" s="20" t="s">
        <v>32</v>
      </c>
      <c r="C24" s="45">
        <v>20000</v>
      </c>
      <c r="D24" s="20" t="s">
        <v>65</v>
      </c>
      <c r="E24" s="20" t="s">
        <v>16</v>
      </c>
      <c r="F24" s="19" t="s">
        <v>70</v>
      </c>
      <c r="G24" s="21">
        <f>1*900</f>
        <v>900</v>
      </c>
      <c r="H24" s="20"/>
      <c r="I24" s="20"/>
      <c r="J24" s="41">
        <f>J23+Table234535[[#This Row],[AMOUNT]]-Table234535[[#This Row],[AMOUNT2]]-Table234535[[#This Row],[AMOUNT3]]</f>
        <v>-101528</v>
      </c>
      <c r="K24" s="79"/>
    </row>
    <row r="25" spans="1:11" hidden="1" x14ac:dyDescent="0.35">
      <c r="A25" s="30">
        <v>46116</v>
      </c>
      <c r="B25" s="20" t="s">
        <v>45</v>
      </c>
      <c r="C25" s="45">
        <v>5170</v>
      </c>
      <c r="D25" s="20" t="s">
        <v>91</v>
      </c>
      <c r="E25" s="20" t="s">
        <v>68</v>
      </c>
      <c r="F25" s="19" t="s">
        <v>123</v>
      </c>
      <c r="G25" s="21">
        <f>4*700</f>
        <v>2800</v>
      </c>
      <c r="H25" s="20"/>
      <c r="I25" s="20"/>
      <c r="J25" s="41">
        <f>J24+Table234535[[#This Row],[AMOUNT]]-Table234535[[#This Row],[AMOUNT2]]-Table234535[[#This Row],[AMOUNT3]]</f>
        <v>-99158</v>
      </c>
      <c r="K25" s="79"/>
    </row>
    <row r="26" spans="1:11" hidden="1" x14ac:dyDescent="0.35">
      <c r="A26" s="30">
        <v>46117</v>
      </c>
      <c r="B26" s="20" t="s">
        <v>45</v>
      </c>
      <c r="C26" s="45">
        <v>26510</v>
      </c>
      <c r="D26" s="20" t="s">
        <v>91</v>
      </c>
      <c r="E26" s="20" t="s">
        <v>68</v>
      </c>
      <c r="F26" s="19" t="s">
        <v>123</v>
      </c>
      <c r="G26" s="21">
        <f>4*700</f>
        <v>2800</v>
      </c>
      <c r="H26" s="20"/>
      <c r="I26" s="20"/>
      <c r="J26" s="41">
        <f>J25+Table234535[[#This Row],[AMOUNT]]-Table234535[[#This Row],[AMOUNT2]]-Table234535[[#This Row],[AMOUNT3]]</f>
        <v>-75448</v>
      </c>
      <c r="K26" s="79"/>
    </row>
    <row r="27" spans="1:11" hidden="1" x14ac:dyDescent="0.35">
      <c r="A27" s="30">
        <v>46117</v>
      </c>
      <c r="B27" s="20" t="s">
        <v>45</v>
      </c>
      <c r="C27" s="45">
        <v>2980</v>
      </c>
      <c r="D27" s="20" t="s">
        <v>91</v>
      </c>
      <c r="E27" s="20" t="s">
        <v>34</v>
      </c>
      <c r="F27" s="19" t="s">
        <v>208</v>
      </c>
      <c r="G27" s="21">
        <v>460</v>
      </c>
      <c r="H27" s="20"/>
      <c r="I27" s="20"/>
      <c r="J27" s="41">
        <f>J26+Table234535[[#This Row],[AMOUNT]]-Table234535[[#This Row],[AMOUNT2]]-Table234535[[#This Row],[AMOUNT3]]</f>
        <v>-72928</v>
      </c>
      <c r="K27" s="79"/>
    </row>
    <row r="28" spans="1:11" hidden="1" x14ac:dyDescent="0.35">
      <c r="A28" s="30">
        <v>46117</v>
      </c>
      <c r="B28" s="20" t="s">
        <v>45</v>
      </c>
      <c r="C28" s="45">
        <v>20000</v>
      </c>
      <c r="D28" s="20" t="s">
        <v>65</v>
      </c>
      <c r="E28" s="20" t="s">
        <v>16</v>
      </c>
      <c r="F28" s="19" t="s">
        <v>70</v>
      </c>
      <c r="G28" s="21">
        <f>1*900</f>
        <v>900</v>
      </c>
      <c r="H28" s="20"/>
      <c r="I28" s="20"/>
      <c r="J28" s="41">
        <f>J27+Table234535[[#This Row],[AMOUNT]]-Table234535[[#This Row],[AMOUNT2]]-Table234535[[#This Row],[AMOUNT3]]</f>
        <v>-53828</v>
      </c>
      <c r="K28" s="79"/>
    </row>
    <row r="29" spans="1:11" hidden="1" x14ac:dyDescent="0.35">
      <c r="A29" s="30">
        <v>46117</v>
      </c>
      <c r="B29" s="20"/>
      <c r="C29" s="20"/>
      <c r="D29" s="20" t="s">
        <v>91</v>
      </c>
      <c r="E29" s="20" t="s">
        <v>20</v>
      </c>
      <c r="F29" s="19" t="s">
        <v>163</v>
      </c>
      <c r="G29" s="21">
        <v>25400</v>
      </c>
      <c r="H29" s="20"/>
      <c r="I29" s="20"/>
      <c r="J29" s="41">
        <f>J28+Table234535[[#This Row],[AMOUNT]]-Table234535[[#This Row],[AMOUNT2]]-Table234535[[#This Row],[AMOUNT3]]</f>
        <v>-79228</v>
      </c>
      <c r="K29" s="79"/>
    </row>
    <row r="30" spans="1:11" hidden="1" x14ac:dyDescent="0.35">
      <c r="A30" s="30">
        <v>46117</v>
      </c>
      <c r="B30" s="20"/>
      <c r="C30" s="20"/>
      <c r="D30" s="20" t="s">
        <v>91</v>
      </c>
      <c r="E30" s="20" t="s">
        <v>74</v>
      </c>
      <c r="F30" s="19" t="s">
        <v>164</v>
      </c>
      <c r="G30" s="21">
        <v>26510</v>
      </c>
      <c r="H30" s="20"/>
      <c r="I30" s="20"/>
      <c r="J30" s="41">
        <f>J29+Table234535[[#This Row],[AMOUNT]]-Table234535[[#This Row],[AMOUNT2]]-Table234535[[#This Row],[AMOUNT3]]</f>
        <v>-105738</v>
      </c>
      <c r="K30" s="79"/>
    </row>
    <row r="31" spans="1:11" hidden="1" x14ac:dyDescent="0.35">
      <c r="A31" s="30">
        <v>46118</v>
      </c>
      <c r="B31" s="20" t="s">
        <v>45</v>
      </c>
      <c r="C31" s="45">
        <v>10900</v>
      </c>
      <c r="D31" s="20" t="s">
        <v>39</v>
      </c>
      <c r="E31" s="20" t="s">
        <v>92</v>
      </c>
      <c r="F31" s="19" t="s">
        <v>29</v>
      </c>
      <c r="G31" s="21">
        <v>109</v>
      </c>
      <c r="H31" s="20"/>
      <c r="I31" s="20"/>
      <c r="J31" s="41">
        <f>J30+Table234535[[#This Row],[AMOUNT]]-Table234535[[#This Row],[AMOUNT2]]-Table234535[[#This Row],[AMOUNT3]]</f>
        <v>-94947</v>
      </c>
      <c r="K31" s="79"/>
    </row>
    <row r="32" spans="1:11" hidden="1" x14ac:dyDescent="0.35">
      <c r="A32" s="30">
        <v>46118</v>
      </c>
      <c r="B32" s="20" t="s">
        <v>32</v>
      </c>
      <c r="C32" s="45">
        <v>17000</v>
      </c>
      <c r="D32" s="20" t="s">
        <v>108</v>
      </c>
      <c r="E32" s="20" t="s">
        <v>19</v>
      </c>
      <c r="F32" s="19" t="s">
        <v>105</v>
      </c>
      <c r="G32" s="21">
        <v>7800</v>
      </c>
      <c r="H32" s="20"/>
      <c r="I32" s="20"/>
      <c r="J32" s="41">
        <f>J31+Table234535[[#This Row],[AMOUNT]]-Table234535[[#This Row],[AMOUNT2]]-Table234535[[#This Row],[AMOUNT3]]</f>
        <v>-85747</v>
      </c>
      <c r="K32" s="79"/>
    </row>
    <row r="33" spans="1:11" hidden="1" x14ac:dyDescent="0.35">
      <c r="A33" s="30">
        <v>46118</v>
      </c>
      <c r="B33" s="20" t="s">
        <v>45</v>
      </c>
      <c r="C33" s="45">
        <v>13000</v>
      </c>
      <c r="D33" s="20" t="s">
        <v>108</v>
      </c>
      <c r="E33" s="20" t="s">
        <v>68</v>
      </c>
      <c r="F33" s="19" t="s">
        <v>209</v>
      </c>
      <c r="G33" s="21">
        <v>2000</v>
      </c>
      <c r="H33" s="20"/>
      <c r="I33" s="20"/>
      <c r="J33" s="41">
        <f>J32+Table234535[[#This Row],[AMOUNT]]-Table234535[[#This Row],[AMOUNT2]]-Table234535[[#This Row],[AMOUNT3]]</f>
        <v>-74747</v>
      </c>
      <c r="K33" s="79"/>
    </row>
    <row r="34" spans="1:11" hidden="1" x14ac:dyDescent="0.35">
      <c r="A34" s="30">
        <v>46118</v>
      </c>
      <c r="B34" s="20"/>
      <c r="C34" s="20"/>
      <c r="D34" s="20" t="s">
        <v>21</v>
      </c>
      <c r="E34" s="20" t="s">
        <v>82</v>
      </c>
      <c r="F34" s="19" t="s">
        <v>80</v>
      </c>
      <c r="G34" s="21">
        <v>500</v>
      </c>
      <c r="H34" s="20"/>
      <c r="I34" s="20"/>
      <c r="J34" s="41">
        <f>J33+Table234535[[#This Row],[AMOUNT]]-Table234535[[#This Row],[AMOUNT2]]-Table234535[[#This Row],[AMOUNT3]]</f>
        <v>-75247</v>
      </c>
      <c r="K34" s="79"/>
    </row>
    <row r="35" spans="1:11" hidden="1" x14ac:dyDescent="0.35">
      <c r="A35" s="30">
        <v>46118</v>
      </c>
      <c r="B35" s="20"/>
      <c r="C35" s="20"/>
      <c r="D35" s="20" t="s">
        <v>91</v>
      </c>
      <c r="E35" s="20" t="s">
        <v>68</v>
      </c>
      <c r="F35" s="19" t="s">
        <v>123</v>
      </c>
      <c r="G35" s="21">
        <f>4*700</f>
        <v>2800</v>
      </c>
      <c r="H35" s="20"/>
      <c r="I35" s="20"/>
      <c r="J35" s="41">
        <f>J34+Table234535[[#This Row],[AMOUNT]]-Table234535[[#This Row],[AMOUNT2]]-Table234535[[#This Row],[AMOUNT3]]</f>
        <v>-78047</v>
      </c>
      <c r="K35" s="79"/>
    </row>
    <row r="36" spans="1:11" hidden="1" x14ac:dyDescent="0.35">
      <c r="A36" s="30">
        <v>46118</v>
      </c>
      <c r="B36" s="20"/>
      <c r="C36" s="20"/>
      <c r="D36" s="20" t="s">
        <v>65</v>
      </c>
      <c r="E36" s="20" t="s">
        <v>16</v>
      </c>
      <c r="F36" s="19" t="s">
        <v>70</v>
      </c>
      <c r="G36" s="21">
        <f>1*900</f>
        <v>900</v>
      </c>
      <c r="H36" s="20"/>
      <c r="I36" s="20"/>
      <c r="J36" s="41">
        <f>J35+Table234535[[#This Row],[AMOUNT]]-Table234535[[#This Row],[AMOUNT2]]-Table234535[[#This Row],[AMOUNT3]]</f>
        <v>-78947</v>
      </c>
      <c r="K36" s="79"/>
    </row>
    <row r="37" spans="1:11" hidden="1" x14ac:dyDescent="0.35">
      <c r="A37" s="30">
        <v>46118</v>
      </c>
      <c r="B37" s="20"/>
      <c r="C37" s="20"/>
      <c r="D37" s="20" t="s">
        <v>91</v>
      </c>
      <c r="E37" s="20" t="s">
        <v>24</v>
      </c>
      <c r="F37" s="19" t="s">
        <v>165</v>
      </c>
      <c r="G37" s="21">
        <v>14700</v>
      </c>
      <c r="H37" s="20"/>
      <c r="I37" s="20"/>
      <c r="J37" s="41">
        <f>J36+Table234535[[#This Row],[AMOUNT]]-Table234535[[#This Row],[AMOUNT2]]-Table234535[[#This Row],[AMOUNT3]]</f>
        <v>-93647</v>
      </c>
      <c r="K37" s="79"/>
    </row>
    <row r="38" spans="1:11" hidden="1" x14ac:dyDescent="0.35">
      <c r="A38" s="30">
        <v>46118</v>
      </c>
      <c r="B38" s="20"/>
      <c r="C38" s="20"/>
      <c r="D38" s="20" t="s">
        <v>91</v>
      </c>
      <c r="E38" s="20" t="s">
        <v>679</v>
      </c>
      <c r="F38" s="19" t="s">
        <v>1</v>
      </c>
      <c r="G38" s="21">
        <v>150</v>
      </c>
      <c r="H38" s="20"/>
      <c r="I38" s="20"/>
      <c r="J38" s="41">
        <f>J37+Table234535[[#This Row],[AMOUNT]]-Table234535[[#This Row],[AMOUNT2]]-Table234535[[#This Row],[AMOUNT3]]</f>
        <v>-93797</v>
      </c>
      <c r="K38" s="79"/>
    </row>
    <row r="39" spans="1:11" hidden="1" x14ac:dyDescent="0.35">
      <c r="A39" s="30">
        <v>46118</v>
      </c>
      <c r="B39" s="20"/>
      <c r="C39" s="20"/>
      <c r="D39" s="8" t="s">
        <v>953</v>
      </c>
      <c r="E39" s="20" t="s">
        <v>679</v>
      </c>
      <c r="F39" s="19" t="s">
        <v>1</v>
      </c>
      <c r="G39" s="21">
        <v>150</v>
      </c>
      <c r="H39" s="20"/>
      <c r="I39" s="20"/>
      <c r="J39" s="41">
        <f>J38+Table234535[[#This Row],[AMOUNT]]-Table234535[[#This Row],[AMOUNT2]]-Table234535[[#This Row],[AMOUNT3]]</f>
        <v>-93947</v>
      </c>
      <c r="K39" s="79"/>
    </row>
    <row r="40" spans="1:11" hidden="1" x14ac:dyDescent="0.35">
      <c r="A40" s="30">
        <v>46119</v>
      </c>
      <c r="B40" s="20" t="s">
        <v>45</v>
      </c>
      <c r="C40" s="45">
        <v>700</v>
      </c>
      <c r="D40" s="20" t="s">
        <v>91</v>
      </c>
      <c r="E40" s="20" t="s">
        <v>68</v>
      </c>
      <c r="F40" s="19" t="s">
        <v>123</v>
      </c>
      <c r="G40" s="21">
        <f>4*700</f>
        <v>2800</v>
      </c>
      <c r="H40" s="20"/>
      <c r="I40" s="20"/>
      <c r="J40" s="41">
        <f>J39+Table234535[[#This Row],[AMOUNT]]-Table234535[[#This Row],[AMOUNT2]]-Table234535[[#This Row],[AMOUNT3]]</f>
        <v>-96047</v>
      </c>
      <c r="K40" s="79"/>
    </row>
    <row r="41" spans="1:11" hidden="1" x14ac:dyDescent="0.35">
      <c r="A41" s="30">
        <v>46119</v>
      </c>
      <c r="B41" s="20"/>
      <c r="C41" s="20"/>
      <c r="D41" s="20" t="s">
        <v>65</v>
      </c>
      <c r="E41" s="20" t="s">
        <v>16</v>
      </c>
      <c r="F41" s="19" t="s">
        <v>70</v>
      </c>
      <c r="G41" s="21">
        <f>1*900</f>
        <v>900</v>
      </c>
      <c r="H41" s="20"/>
      <c r="I41" s="20"/>
      <c r="J41" s="41">
        <f>J40+Table234535[[#This Row],[AMOUNT]]-Table234535[[#This Row],[AMOUNT2]]-Table234535[[#This Row],[AMOUNT3]]</f>
        <v>-96947</v>
      </c>
      <c r="K41" s="79"/>
    </row>
    <row r="42" spans="1:11" hidden="1" x14ac:dyDescent="0.35">
      <c r="A42" s="30">
        <v>46119</v>
      </c>
      <c r="B42" s="20"/>
      <c r="C42" s="20"/>
      <c r="D42" s="20" t="s">
        <v>65</v>
      </c>
      <c r="E42" s="20" t="s">
        <v>68</v>
      </c>
      <c r="F42" s="19" t="s">
        <v>167</v>
      </c>
      <c r="G42" s="21">
        <f>1*700</f>
        <v>700</v>
      </c>
      <c r="H42" s="20"/>
      <c r="I42" s="20"/>
      <c r="J42" s="41">
        <f>J41+Table234535[[#This Row],[AMOUNT]]-Table234535[[#This Row],[AMOUNT2]]-Table234535[[#This Row],[AMOUNT3]]</f>
        <v>-97647</v>
      </c>
      <c r="K42" s="79"/>
    </row>
    <row r="43" spans="1:11" hidden="1" x14ac:dyDescent="0.35">
      <c r="A43" s="30">
        <v>46119</v>
      </c>
      <c r="B43" s="20"/>
      <c r="C43" s="20"/>
      <c r="D43" s="20" t="s">
        <v>91</v>
      </c>
      <c r="E43" s="20" t="s">
        <v>19</v>
      </c>
      <c r="F43" s="19" t="s">
        <v>105</v>
      </c>
      <c r="G43" s="21">
        <v>5000</v>
      </c>
      <c r="H43" s="20"/>
      <c r="I43" s="20"/>
      <c r="J43" s="41">
        <f>J42+Table234535[[#This Row],[AMOUNT]]-Table234535[[#This Row],[AMOUNT2]]-Table234535[[#This Row],[AMOUNT3]]</f>
        <v>-102647</v>
      </c>
      <c r="K43" s="79"/>
    </row>
    <row r="44" spans="1:11" hidden="1" x14ac:dyDescent="0.35">
      <c r="A44" s="30">
        <v>46120</v>
      </c>
      <c r="B44" s="20" t="s">
        <v>45</v>
      </c>
      <c r="C44" s="45">
        <v>6000</v>
      </c>
      <c r="D44" s="20" t="s">
        <v>65</v>
      </c>
      <c r="E44" s="20" t="s">
        <v>16</v>
      </c>
      <c r="F44" s="19" t="s">
        <v>70</v>
      </c>
      <c r="G44" s="21">
        <f>1*900</f>
        <v>900</v>
      </c>
      <c r="H44" s="20" t="s">
        <v>64</v>
      </c>
      <c r="I44" s="20">
        <v>6000</v>
      </c>
      <c r="J44" s="41">
        <f>J43+Table234535[[#This Row],[AMOUNT]]-Table234535[[#This Row],[AMOUNT2]]-Table234535[[#This Row],[AMOUNT3]]</f>
        <v>-103547</v>
      </c>
      <c r="K44" s="79"/>
    </row>
    <row r="45" spans="1:11" hidden="1" x14ac:dyDescent="0.35">
      <c r="A45" s="30">
        <v>46120</v>
      </c>
      <c r="B45" s="20"/>
      <c r="C45" s="20"/>
      <c r="D45" s="20" t="s">
        <v>65</v>
      </c>
      <c r="E45" s="20" t="s">
        <v>68</v>
      </c>
      <c r="F45" s="19" t="s">
        <v>167</v>
      </c>
      <c r="G45" s="21">
        <f>1*700</f>
        <v>700</v>
      </c>
      <c r="H45" s="20"/>
      <c r="I45" s="20"/>
      <c r="J45" s="41">
        <f>J44+Table234535[[#This Row],[AMOUNT]]-Table234535[[#This Row],[AMOUNT2]]-Table234535[[#This Row],[AMOUNT3]]</f>
        <v>-104247</v>
      </c>
      <c r="K45" s="79"/>
    </row>
    <row r="46" spans="1:11" hidden="1" x14ac:dyDescent="0.35">
      <c r="A46" s="30">
        <v>46120</v>
      </c>
      <c r="B46" s="20"/>
      <c r="C46" s="20"/>
      <c r="D46" s="20" t="s">
        <v>91</v>
      </c>
      <c r="E46" s="20" t="s">
        <v>68</v>
      </c>
      <c r="F46" s="19" t="s">
        <v>176</v>
      </c>
      <c r="G46" s="21">
        <f>4*700/2</f>
        <v>1400</v>
      </c>
      <c r="H46" s="20"/>
      <c r="I46" s="20"/>
      <c r="J46" s="41">
        <f>J45+Table234535[[#This Row],[AMOUNT]]-Table234535[[#This Row],[AMOUNT2]]-Table234535[[#This Row],[AMOUNT3]]</f>
        <v>-105647</v>
      </c>
      <c r="K46" s="79"/>
    </row>
    <row r="47" spans="1:11" hidden="1" x14ac:dyDescent="0.35">
      <c r="A47" s="30">
        <v>46120</v>
      </c>
      <c r="B47" s="20"/>
      <c r="C47" s="20"/>
      <c r="D47" s="20" t="s">
        <v>91</v>
      </c>
      <c r="E47" s="20" t="s">
        <v>68</v>
      </c>
      <c r="F47" s="19" t="s">
        <v>179</v>
      </c>
      <c r="G47" s="21">
        <f>800/2</f>
        <v>400</v>
      </c>
      <c r="H47" s="20"/>
      <c r="I47" s="20"/>
      <c r="J47" s="41">
        <f>J46+Table234535[[#This Row],[AMOUNT]]-Table234535[[#This Row],[AMOUNT2]]-Table234535[[#This Row],[AMOUNT3]]</f>
        <v>-106047</v>
      </c>
      <c r="K47" s="79"/>
    </row>
    <row r="48" spans="1:11" hidden="1" x14ac:dyDescent="0.35">
      <c r="A48" s="30">
        <v>46120</v>
      </c>
      <c r="B48" s="20"/>
      <c r="C48" s="20"/>
      <c r="D48" s="20" t="s">
        <v>111</v>
      </c>
      <c r="E48" s="20" t="s">
        <v>682</v>
      </c>
      <c r="F48" s="19" t="s">
        <v>210</v>
      </c>
      <c r="G48" s="21">
        <v>1700</v>
      </c>
      <c r="H48" s="20"/>
      <c r="I48" s="20"/>
      <c r="J48" s="41">
        <f>J47+Table234535[[#This Row],[AMOUNT]]-Table234535[[#This Row],[AMOUNT2]]-Table234535[[#This Row],[AMOUNT3]]</f>
        <v>-107747</v>
      </c>
      <c r="K48" s="79"/>
    </row>
    <row r="49" spans="1:11" hidden="1" x14ac:dyDescent="0.35">
      <c r="A49" s="30">
        <v>46120</v>
      </c>
      <c r="B49" s="20"/>
      <c r="C49" s="20"/>
      <c r="D49" s="20" t="s">
        <v>91</v>
      </c>
      <c r="E49" s="20" t="s">
        <v>679</v>
      </c>
      <c r="F49" s="19" t="s">
        <v>1</v>
      </c>
      <c r="G49" s="21">
        <v>500</v>
      </c>
      <c r="H49" s="20"/>
      <c r="I49" s="20"/>
      <c r="J49" s="41">
        <f>J48+Table234535[[#This Row],[AMOUNT]]-Table234535[[#This Row],[AMOUNT2]]-Table234535[[#This Row],[AMOUNT3]]</f>
        <v>-108247</v>
      </c>
      <c r="K49" s="79"/>
    </row>
    <row r="50" spans="1:11" hidden="1" x14ac:dyDescent="0.35">
      <c r="A50" s="30">
        <v>46120</v>
      </c>
      <c r="B50" s="20"/>
      <c r="C50" s="20"/>
      <c r="D50" s="20" t="s">
        <v>65</v>
      </c>
      <c r="E50" s="20" t="s">
        <v>679</v>
      </c>
      <c r="F50" s="19" t="s">
        <v>1</v>
      </c>
      <c r="G50" s="21">
        <v>500</v>
      </c>
      <c r="H50" s="20"/>
      <c r="I50" s="20"/>
      <c r="J50" s="41">
        <f>J49+Table234535[[#This Row],[AMOUNT]]-Table234535[[#This Row],[AMOUNT2]]-Table234535[[#This Row],[AMOUNT3]]</f>
        <v>-108747</v>
      </c>
      <c r="K50" s="79"/>
    </row>
    <row r="51" spans="1:11" hidden="1" x14ac:dyDescent="0.35">
      <c r="A51" s="30">
        <v>46120</v>
      </c>
      <c r="B51" s="20"/>
      <c r="C51" s="20"/>
      <c r="D51" s="20" t="s">
        <v>65</v>
      </c>
      <c r="E51" s="20" t="s">
        <v>38</v>
      </c>
      <c r="F51" s="19" t="s">
        <v>211</v>
      </c>
      <c r="G51" s="21">
        <v>800</v>
      </c>
      <c r="H51" s="20"/>
      <c r="I51" s="20"/>
      <c r="J51" s="41">
        <f>J50+Table234535[[#This Row],[AMOUNT]]-Table234535[[#This Row],[AMOUNT2]]-Table234535[[#This Row],[AMOUNT3]]</f>
        <v>-109547</v>
      </c>
      <c r="K51" s="79"/>
    </row>
    <row r="52" spans="1:11" hidden="1" x14ac:dyDescent="0.35">
      <c r="A52" s="30">
        <v>46120</v>
      </c>
      <c r="B52" s="20"/>
      <c r="C52" s="20"/>
      <c r="D52" s="20" t="s">
        <v>65</v>
      </c>
      <c r="E52" s="20" t="s">
        <v>682</v>
      </c>
      <c r="F52" s="19" t="s">
        <v>212</v>
      </c>
      <c r="G52" s="21">
        <v>400</v>
      </c>
      <c r="H52" s="20"/>
      <c r="I52" s="20"/>
      <c r="J52" s="41">
        <f>J51+Table234535[[#This Row],[AMOUNT]]-Table234535[[#This Row],[AMOUNT2]]-Table234535[[#This Row],[AMOUNT3]]</f>
        <v>-109947</v>
      </c>
      <c r="K52" s="79"/>
    </row>
    <row r="53" spans="1:11" hidden="1" x14ac:dyDescent="0.35">
      <c r="A53" s="30">
        <v>46120</v>
      </c>
      <c r="B53" s="20"/>
      <c r="C53" s="20"/>
      <c r="D53" s="20" t="s">
        <v>91</v>
      </c>
      <c r="E53" s="20" t="s">
        <v>682</v>
      </c>
      <c r="F53" s="19" t="s">
        <v>168</v>
      </c>
      <c r="G53" s="21">
        <v>200</v>
      </c>
      <c r="H53" s="20"/>
      <c r="I53" s="20"/>
      <c r="J53" s="41">
        <f>J52+Table234535[[#This Row],[AMOUNT]]-Table234535[[#This Row],[AMOUNT2]]-Table234535[[#This Row],[AMOUNT3]]</f>
        <v>-110147</v>
      </c>
      <c r="K53" s="79"/>
    </row>
    <row r="54" spans="1:11" hidden="1" x14ac:dyDescent="0.35">
      <c r="A54" s="30">
        <v>46120</v>
      </c>
      <c r="B54" s="20"/>
      <c r="C54" s="20"/>
      <c r="D54" s="20" t="s">
        <v>91</v>
      </c>
      <c r="E54" s="20" t="s">
        <v>34</v>
      </c>
      <c r="F54" s="19" t="s">
        <v>169</v>
      </c>
      <c r="G54" s="21">
        <v>300</v>
      </c>
      <c r="H54" s="20"/>
      <c r="I54" s="20"/>
      <c r="J54" s="41">
        <f>J53+Table234535[[#This Row],[AMOUNT]]-Table234535[[#This Row],[AMOUNT2]]-Table234535[[#This Row],[AMOUNT3]]</f>
        <v>-110447</v>
      </c>
      <c r="K54" s="79"/>
    </row>
    <row r="55" spans="1:11" hidden="1" x14ac:dyDescent="0.35">
      <c r="A55" s="30">
        <v>46121</v>
      </c>
      <c r="B55" s="20" t="s">
        <v>45</v>
      </c>
      <c r="C55" s="45">
        <v>5000</v>
      </c>
      <c r="D55" s="20" t="s">
        <v>65</v>
      </c>
      <c r="E55" s="20" t="s">
        <v>19</v>
      </c>
      <c r="F55" s="19" t="s">
        <v>93</v>
      </c>
      <c r="G55" s="21">
        <v>1000</v>
      </c>
      <c r="H55" s="20" t="s">
        <v>54</v>
      </c>
      <c r="I55" s="45">
        <v>3000</v>
      </c>
      <c r="J55" s="41">
        <f>J54+Table234535[[#This Row],[AMOUNT]]-Table234535[[#This Row],[AMOUNT2]]-Table234535[[#This Row],[AMOUNT3]]</f>
        <v>-109447</v>
      </c>
      <c r="K55" s="79"/>
    </row>
    <row r="56" spans="1:11" hidden="1" x14ac:dyDescent="0.35">
      <c r="A56" s="30">
        <v>46121</v>
      </c>
      <c r="B56" s="20" t="s">
        <v>45</v>
      </c>
      <c r="C56" s="45">
        <v>3000</v>
      </c>
      <c r="D56" s="20" t="s">
        <v>65</v>
      </c>
      <c r="E56" s="20" t="s">
        <v>19</v>
      </c>
      <c r="F56" s="19" t="s">
        <v>106</v>
      </c>
      <c r="G56" s="21">
        <v>4000</v>
      </c>
      <c r="H56" s="20"/>
      <c r="I56" s="20"/>
      <c r="J56" s="41">
        <f>J55+Table234535[[#This Row],[AMOUNT]]-Table234535[[#This Row],[AMOUNT2]]-Table234535[[#This Row],[AMOUNT3]]</f>
        <v>-110447</v>
      </c>
      <c r="K56" s="79"/>
    </row>
    <row r="57" spans="1:11" hidden="1" x14ac:dyDescent="0.35">
      <c r="A57" s="30">
        <v>46121</v>
      </c>
      <c r="B57" s="20"/>
      <c r="C57" s="20"/>
      <c r="D57" s="20" t="s">
        <v>65</v>
      </c>
      <c r="E57" s="20" t="s">
        <v>16</v>
      </c>
      <c r="F57" s="19" t="s">
        <v>70</v>
      </c>
      <c r="G57" s="21">
        <f>1*900</f>
        <v>900</v>
      </c>
      <c r="H57" s="20"/>
      <c r="I57" s="20"/>
      <c r="J57" s="41">
        <f>J56+Table234535[[#This Row],[AMOUNT]]-Table234535[[#This Row],[AMOUNT2]]-Table234535[[#This Row],[AMOUNT3]]</f>
        <v>-111347</v>
      </c>
      <c r="K57" s="79"/>
    </row>
    <row r="58" spans="1:11" hidden="1" x14ac:dyDescent="0.35">
      <c r="A58" s="30">
        <v>46121</v>
      </c>
      <c r="B58" s="20"/>
      <c r="C58" s="20"/>
      <c r="D58" s="20" t="s">
        <v>91</v>
      </c>
      <c r="E58" s="20" t="s">
        <v>68</v>
      </c>
      <c r="F58" s="19" t="s">
        <v>177</v>
      </c>
      <c r="G58" s="21">
        <f>4*700</f>
        <v>2800</v>
      </c>
      <c r="H58" s="20"/>
      <c r="I58" s="20"/>
      <c r="J58" s="41">
        <f>J57+Table234535[[#This Row],[AMOUNT]]-Table234535[[#This Row],[AMOUNT2]]-Table234535[[#This Row],[AMOUNT3]]</f>
        <v>-114147</v>
      </c>
      <c r="K58" s="79"/>
    </row>
    <row r="59" spans="1:11" hidden="1" x14ac:dyDescent="0.35">
      <c r="A59" s="30">
        <v>46121</v>
      </c>
      <c r="B59" s="20"/>
      <c r="C59" s="20"/>
      <c r="D59" s="20" t="s">
        <v>91</v>
      </c>
      <c r="E59" s="20" t="s">
        <v>68</v>
      </c>
      <c r="F59" s="19" t="s">
        <v>178</v>
      </c>
      <c r="G59" s="21">
        <f>800</f>
        <v>800</v>
      </c>
      <c r="H59" s="20"/>
      <c r="I59" s="20"/>
      <c r="J59" s="41">
        <f>J58+Table234535[[#This Row],[AMOUNT]]-Table234535[[#This Row],[AMOUNT2]]-Table234535[[#This Row],[AMOUNT3]]</f>
        <v>-114947</v>
      </c>
      <c r="K59" s="79"/>
    </row>
    <row r="60" spans="1:11" hidden="1" x14ac:dyDescent="0.35">
      <c r="A60" s="30">
        <v>46121</v>
      </c>
      <c r="B60" s="20"/>
      <c r="C60" s="20"/>
      <c r="D60" s="20"/>
      <c r="E60" s="20"/>
      <c r="F60" s="19"/>
      <c r="G60" s="21"/>
      <c r="H60" s="20"/>
      <c r="I60" s="20"/>
      <c r="J60" s="41">
        <f>J59+Table234535[[#This Row],[AMOUNT]]-Table234535[[#This Row],[AMOUNT2]]-Table234535[[#This Row],[AMOUNT3]]</f>
        <v>-114947</v>
      </c>
      <c r="K60" s="79"/>
    </row>
    <row r="61" spans="1:11" hidden="1" x14ac:dyDescent="0.35">
      <c r="A61" s="30">
        <v>46121</v>
      </c>
      <c r="B61" s="20"/>
      <c r="C61" s="20"/>
      <c r="D61" s="20" t="s">
        <v>21</v>
      </c>
      <c r="E61" s="20" t="s">
        <v>43</v>
      </c>
      <c r="F61" s="19" t="s">
        <v>170</v>
      </c>
      <c r="G61" s="21">
        <v>15000</v>
      </c>
      <c r="H61" s="20"/>
      <c r="I61" s="20"/>
      <c r="J61" s="41">
        <f>J60+Table234535[[#This Row],[AMOUNT]]-Table234535[[#This Row],[AMOUNT2]]-Table234535[[#This Row],[AMOUNT3]]</f>
        <v>-129947</v>
      </c>
      <c r="K61" s="79"/>
    </row>
    <row r="62" spans="1:11" hidden="1" x14ac:dyDescent="0.35">
      <c r="A62" s="30">
        <v>46121</v>
      </c>
      <c r="B62" s="20"/>
      <c r="C62" s="20"/>
      <c r="D62" s="20"/>
      <c r="E62" s="20"/>
      <c r="F62" s="19"/>
      <c r="G62" s="21"/>
      <c r="H62" s="20"/>
      <c r="I62" s="20"/>
      <c r="J62" s="41">
        <f>J61+Table234535[[#This Row],[AMOUNT]]-Table234535[[#This Row],[AMOUNT2]]-Table234535[[#This Row],[AMOUNT3]]</f>
        <v>-129947</v>
      </c>
      <c r="K62" s="79"/>
    </row>
    <row r="63" spans="1:11" hidden="1" x14ac:dyDescent="0.35">
      <c r="A63" s="30">
        <v>46122</v>
      </c>
      <c r="B63" s="20" t="s">
        <v>45</v>
      </c>
      <c r="C63" s="45">
        <v>2030</v>
      </c>
      <c r="D63" s="20" t="s">
        <v>79</v>
      </c>
      <c r="E63" s="20" t="s">
        <v>68</v>
      </c>
      <c r="F63" s="19" t="s">
        <v>56</v>
      </c>
      <c r="G63" s="21">
        <f>3*700</f>
        <v>2100</v>
      </c>
      <c r="H63" s="20"/>
      <c r="I63" s="20"/>
      <c r="J63" s="41">
        <f>J62+Table234535[[#This Row],[AMOUNT]]-Table234535[[#This Row],[AMOUNT2]]-Table234535[[#This Row],[AMOUNT3]]</f>
        <v>-130017</v>
      </c>
      <c r="K63" s="79"/>
    </row>
    <row r="64" spans="1:11" hidden="1" x14ac:dyDescent="0.35">
      <c r="A64" s="30">
        <v>46122</v>
      </c>
      <c r="B64" s="20" t="s">
        <v>45</v>
      </c>
      <c r="C64" s="45">
        <v>2100</v>
      </c>
      <c r="D64" s="20" t="s">
        <v>91</v>
      </c>
      <c r="E64" s="20" t="s">
        <v>68</v>
      </c>
      <c r="F64" s="19" t="s">
        <v>123</v>
      </c>
      <c r="G64" s="21">
        <f>4*700</f>
        <v>2800</v>
      </c>
      <c r="H64" s="20"/>
      <c r="I64" s="20"/>
      <c r="J64" s="41">
        <f>J63+Table234535[[#This Row],[AMOUNT]]-Table234535[[#This Row],[AMOUNT2]]-Table234535[[#This Row],[AMOUNT3]]</f>
        <v>-130717</v>
      </c>
      <c r="K64" s="79"/>
    </row>
    <row r="65" spans="1:11" hidden="1" x14ac:dyDescent="0.35">
      <c r="A65" s="30">
        <v>46122</v>
      </c>
      <c r="B65" s="20"/>
      <c r="C65" s="20"/>
      <c r="D65" s="20" t="s">
        <v>91</v>
      </c>
      <c r="E65" s="20" t="s">
        <v>68</v>
      </c>
      <c r="F65" s="19" t="s">
        <v>178</v>
      </c>
      <c r="G65" s="21">
        <v>800</v>
      </c>
      <c r="H65" s="20"/>
      <c r="I65" s="20"/>
      <c r="J65" s="41">
        <f>J64+Table234535[[#This Row],[AMOUNT]]-Table234535[[#This Row],[AMOUNT2]]-Table234535[[#This Row],[AMOUNT3]]</f>
        <v>-131517</v>
      </c>
      <c r="K65" s="79"/>
    </row>
    <row r="66" spans="1:11" hidden="1" x14ac:dyDescent="0.35">
      <c r="A66" s="30">
        <v>46122</v>
      </c>
      <c r="B66" s="20"/>
      <c r="C66" s="20"/>
      <c r="D66" s="20" t="s">
        <v>65</v>
      </c>
      <c r="E66" s="20" t="s">
        <v>16</v>
      </c>
      <c r="F66" s="19" t="s">
        <v>70</v>
      </c>
      <c r="G66" s="21">
        <f>1*900</f>
        <v>900</v>
      </c>
      <c r="H66" s="20"/>
      <c r="I66" s="20"/>
      <c r="J66" s="41">
        <f>J65+Table234535[[#This Row],[AMOUNT]]-Table234535[[#This Row],[AMOUNT2]]-Table234535[[#This Row],[AMOUNT3]]</f>
        <v>-132417</v>
      </c>
      <c r="K66" s="79"/>
    </row>
    <row r="67" spans="1:11" hidden="1" x14ac:dyDescent="0.35">
      <c r="A67" s="30">
        <v>46122</v>
      </c>
      <c r="B67" s="20"/>
      <c r="C67" s="20"/>
      <c r="D67" s="20" t="s">
        <v>111</v>
      </c>
      <c r="E67" s="20" t="s">
        <v>20</v>
      </c>
      <c r="F67" s="19" t="s">
        <v>171</v>
      </c>
      <c r="G67" s="21">
        <v>3540</v>
      </c>
      <c r="H67" s="20"/>
      <c r="I67" s="20"/>
      <c r="J67" s="41">
        <f>J66+Table234535[[#This Row],[AMOUNT]]-Table234535[[#This Row],[AMOUNT2]]-Table234535[[#This Row],[AMOUNT3]]</f>
        <v>-135957</v>
      </c>
      <c r="K67" s="79"/>
    </row>
    <row r="68" spans="1:11" hidden="1" x14ac:dyDescent="0.35">
      <c r="A68" s="30">
        <v>46122</v>
      </c>
      <c r="B68" s="20"/>
      <c r="C68" s="20"/>
      <c r="D68" s="20" t="s">
        <v>91</v>
      </c>
      <c r="E68" s="20" t="s">
        <v>34</v>
      </c>
      <c r="F68" s="19" t="s">
        <v>172</v>
      </c>
      <c r="G68" s="21">
        <v>1180</v>
      </c>
      <c r="H68" s="20"/>
      <c r="I68" s="20"/>
      <c r="J68" s="41">
        <f>J67+Table234535[[#This Row],[AMOUNT]]-Table234535[[#This Row],[AMOUNT2]]-Table234535[[#This Row],[AMOUNT3]]</f>
        <v>-137137</v>
      </c>
      <c r="K68" s="79"/>
    </row>
    <row r="69" spans="1:11" hidden="1" x14ac:dyDescent="0.35">
      <c r="A69" s="30">
        <v>46122</v>
      </c>
      <c r="B69" s="20"/>
      <c r="C69" s="20"/>
      <c r="D69" s="20" t="s">
        <v>91</v>
      </c>
      <c r="E69" s="20" t="s">
        <v>682</v>
      </c>
      <c r="F69" s="19" t="s">
        <v>173</v>
      </c>
      <c r="G69" s="21">
        <v>200</v>
      </c>
      <c r="H69" s="20"/>
      <c r="I69" s="20"/>
      <c r="J69" s="41">
        <f>J68+Table234535[[#This Row],[AMOUNT]]-Table234535[[#This Row],[AMOUNT2]]-Table234535[[#This Row],[AMOUNT3]]</f>
        <v>-137337</v>
      </c>
      <c r="K69" s="79"/>
    </row>
    <row r="70" spans="1:11" hidden="1" x14ac:dyDescent="0.35">
      <c r="A70" s="30">
        <v>46123</v>
      </c>
      <c r="B70" s="20" t="s">
        <v>45</v>
      </c>
      <c r="C70" s="45">
        <v>2000</v>
      </c>
      <c r="D70" s="20" t="s">
        <v>91</v>
      </c>
      <c r="E70" s="20" t="s">
        <v>74</v>
      </c>
      <c r="F70" s="19" t="s">
        <v>100</v>
      </c>
      <c r="G70" s="21">
        <v>2000</v>
      </c>
      <c r="H70" s="20" t="s">
        <v>64</v>
      </c>
      <c r="I70" s="20">
        <v>1000</v>
      </c>
      <c r="J70" s="41">
        <f>J69+Table234535[[#This Row],[AMOUNT]]-Table234535[[#This Row],[AMOUNT2]]-Table234535[[#This Row],[AMOUNT3]]</f>
        <v>-138337</v>
      </c>
      <c r="K70" s="79"/>
    </row>
    <row r="71" spans="1:11" hidden="1" x14ac:dyDescent="0.35">
      <c r="A71" s="30">
        <v>46123</v>
      </c>
      <c r="B71" s="20" t="s">
        <v>32</v>
      </c>
      <c r="C71" s="45">
        <v>50000</v>
      </c>
      <c r="D71" s="20" t="s">
        <v>65</v>
      </c>
      <c r="E71" s="20" t="s">
        <v>682</v>
      </c>
      <c r="F71" s="19" t="s">
        <v>213</v>
      </c>
      <c r="G71" s="21">
        <v>300</v>
      </c>
      <c r="H71" s="20"/>
      <c r="I71" s="20"/>
      <c r="J71" s="41">
        <f>J70+Table234535[[#This Row],[AMOUNT]]-Table234535[[#This Row],[AMOUNT2]]-Table234535[[#This Row],[AMOUNT3]]</f>
        <v>-88637</v>
      </c>
      <c r="K71" s="79"/>
    </row>
    <row r="72" spans="1:11" hidden="1" x14ac:dyDescent="0.35">
      <c r="A72" s="30">
        <v>46123</v>
      </c>
      <c r="B72" s="20" t="s">
        <v>45</v>
      </c>
      <c r="C72" s="45">
        <v>2200</v>
      </c>
      <c r="D72" s="20" t="s">
        <v>65</v>
      </c>
      <c r="E72" s="20" t="s">
        <v>682</v>
      </c>
      <c r="F72" s="19" t="s">
        <v>214</v>
      </c>
      <c r="G72" s="21">
        <v>200</v>
      </c>
      <c r="H72" s="20"/>
      <c r="I72" s="20"/>
      <c r="J72" s="41">
        <f>J71+Table234535[[#This Row],[AMOUNT]]-Table234535[[#This Row],[AMOUNT2]]-Table234535[[#This Row],[AMOUNT3]]</f>
        <v>-86637</v>
      </c>
      <c r="K72" s="79"/>
    </row>
    <row r="73" spans="1:11" hidden="1" x14ac:dyDescent="0.35">
      <c r="A73" s="30">
        <v>46123</v>
      </c>
      <c r="B73" s="20" t="s">
        <v>45</v>
      </c>
      <c r="C73" s="45">
        <v>1000</v>
      </c>
      <c r="D73" s="20" t="s">
        <v>91</v>
      </c>
      <c r="E73" s="20" t="s">
        <v>19</v>
      </c>
      <c r="F73" s="19" t="s">
        <v>117</v>
      </c>
      <c r="G73" s="21">
        <v>30000</v>
      </c>
      <c r="H73" s="20"/>
      <c r="I73" s="20"/>
      <c r="J73" s="41">
        <f>J72+Table234535[[#This Row],[AMOUNT]]-Table234535[[#This Row],[AMOUNT2]]-Table234535[[#This Row],[AMOUNT3]]</f>
        <v>-115637</v>
      </c>
      <c r="K73" s="79"/>
    </row>
    <row r="74" spans="1:11" hidden="1" x14ac:dyDescent="0.35">
      <c r="A74" s="30">
        <v>46123</v>
      </c>
      <c r="B74" s="20" t="s">
        <v>45</v>
      </c>
      <c r="C74" s="45">
        <v>1000</v>
      </c>
      <c r="D74" s="20" t="s">
        <v>91</v>
      </c>
      <c r="E74" s="20" t="s">
        <v>68</v>
      </c>
      <c r="F74" s="19" t="s">
        <v>84</v>
      </c>
      <c r="G74" s="21">
        <f>2*700</f>
        <v>1400</v>
      </c>
      <c r="H74" s="20"/>
      <c r="I74" s="20"/>
      <c r="J74" s="41">
        <f>J73+Table234535[[#This Row],[AMOUNT]]-Table234535[[#This Row],[AMOUNT2]]-Table234535[[#This Row],[AMOUNT3]]</f>
        <v>-116037</v>
      </c>
      <c r="K74" s="79"/>
    </row>
    <row r="75" spans="1:11" hidden="1" x14ac:dyDescent="0.35">
      <c r="A75" s="30">
        <v>46123</v>
      </c>
      <c r="B75" s="20" t="s">
        <v>45</v>
      </c>
      <c r="C75" s="45">
        <v>39500</v>
      </c>
      <c r="D75" s="20" t="s">
        <v>91</v>
      </c>
      <c r="E75" s="20" t="s">
        <v>68</v>
      </c>
      <c r="F75" s="19" t="s">
        <v>178</v>
      </c>
      <c r="G75" s="21">
        <v>800</v>
      </c>
      <c r="H75" s="20"/>
      <c r="I75" s="20"/>
      <c r="J75" s="41">
        <f>J74+Table234535[[#This Row],[AMOUNT]]-Table234535[[#This Row],[AMOUNT2]]-Table234535[[#This Row],[AMOUNT3]]</f>
        <v>-77337</v>
      </c>
      <c r="K75" s="79"/>
    </row>
    <row r="76" spans="1:11" hidden="1" x14ac:dyDescent="0.35">
      <c r="A76" s="30">
        <v>46123</v>
      </c>
      <c r="B76" s="20"/>
      <c r="C76" s="20"/>
      <c r="D76" s="20" t="s">
        <v>65</v>
      </c>
      <c r="E76" s="20" t="s">
        <v>16</v>
      </c>
      <c r="F76" s="19" t="s">
        <v>70</v>
      </c>
      <c r="G76" s="21">
        <f>1*900</f>
        <v>900</v>
      </c>
      <c r="H76" s="20"/>
      <c r="I76" s="20"/>
      <c r="J76" s="41">
        <f>J75+Table234535[[#This Row],[AMOUNT]]-Table234535[[#This Row],[AMOUNT2]]-Table234535[[#This Row],[AMOUNT3]]</f>
        <v>-78237</v>
      </c>
      <c r="K76" s="79"/>
    </row>
    <row r="77" spans="1:11" hidden="1" x14ac:dyDescent="0.35">
      <c r="A77" s="30">
        <v>46123</v>
      </c>
      <c r="B77" s="20"/>
      <c r="C77" s="20"/>
      <c r="D77" s="20" t="s">
        <v>21</v>
      </c>
      <c r="E77" s="20" t="s">
        <v>27</v>
      </c>
      <c r="F77" s="19" t="s">
        <v>28</v>
      </c>
      <c r="G77" s="21">
        <v>1000</v>
      </c>
      <c r="H77" s="20"/>
      <c r="I77" s="20"/>
      <c r="J77" s="41">
        <f>J76+Table234535[[#This Row],[AMOUNT]]-Table234535[[#This Row],[AMOUNT2]]-Table234535[[#This Row],[AMOUNT3]]</f>
        <v>-79237</v>
      </c>
      <c r="K77" s="79"/>
    </row>
    <row r="78" spans="1:11" hidden="1" x14ac:dyDescent="0.35">
      <c r="A78" s="30">
        <v>46123</v>
      </c>
      <c r="B78" s="20"/>
      <c r="C78" s="20"/>
      <c r="D78" s="20" t="s">
        <v>91</v>
      </c>
      <c r="E78" s="20" t="s">
        <v>20</v>
      </c>
      <c r="F78" s="19" t="s">
        <v>174</v>
      </c>
      <c r="G78" s="21">
        <v>49520</v>
      </c>
      <c r="H78" s="20"/>
      <c r="I78" s="20"/>
      <c r="J78" s="41">
        <f>J77+Table234535[[#This Row],[AMOUNT]]-Table234535[[#This Row],[AMOUNT2]]-Table234535[[#This Row],[AMOUNT3]]</f>
        <v>-128757</v>
      </c>
      <c r="K78" s="79"/>
    </row>
    <row r="79" spans="1:11" hidden="1" x14ac:dyDescent="0.35">
      <c r="A79" s="30">
        <v>46123</v>
      </c>
      <c r="B79" s="20"/>
      <c r="C79" s="20"/>
      <c r="D79" s="20" t="s">
        <v>79</v>
      </c>
      <c r="E79" s="20" t="s">
        <v>68</v>
      </c>
      <c r="F79" s="19" t="s">
        <v>84</v>
      </c>
      <c r="G79" s="21">
        <f>2*700</f>
        <v>1400</v>
      </c>
      <c r="H79" s="20"/>
      <c r="I79" s="20"/>
      <c r="J79" s="41">
        <f>J78+Table234535[[#This Row],[AMOUNT]]-Table234535[[#This Row],[AMOUNT2]]-Table234535[[#This Row],[AMOUNT3]]</f>
        <v>-130157</v>
      </c>
      <c r="K79" s="79" t="s">
        <v>561</v>
      </c>
    </row>
    <row r="80" spans="1:11" hidden="1" x14ac:dyDescent="0.35">
      <c r="A80" s="30">
        <v>46124</v>
      </c>
      <c r="B80" s="20" t="s">
        <v>45</v>
      </c>
      <c r="C80" s="45">
        <v>2100</v>
      </c>
      <c r="D80" s="20" t="s">
        <v>91</v>
      </c>
      <c r="E80" s="20" t="s">
        <v>0</v>
      </c>
      <c r="F80" s="19" t="s">
        <v>126</v>
      </c>
      <c r="G80" s="21">
        <v>200</v>
      </c>
      <c r="H80" s="20"/>
      <c r="I80" s="20"/>
      <c r="J80" s="41">
        <f>J79+Table234535[[#This Row],[AMOUNT]]-Table234535[[#This Row],[AMOUNT2]]-Table234535[[#This Row],[AMOUNT3]]</f>
        <v>-128257</v>
      </c>
      <c r="K80" s="79"/>
    </row>
    <row r="81" spans="1:12" hidden="1" x14ac:dyDescent="0.35">
      <c r="A81" s="30">
        <v>46124</v>
      </c>
      <c r="B81" s="20" t="s">
        <v>45</v>
      </c>
      <c r="C81" s="45">
        <v>2000</v>
      </c>
      <c r="D81" s="8" t="s">
        <v>953</v>
      </c>
      <c r="E81" s="20" t="s">
        <v>34</v>
      </c>
      <c r="F81" s="19" t="s">
        <v>175</v>
      </c>
      <c r="G81" s="21">
        <v>170</v>
      </c>
      <c r="H81" s="20"/>
      <c r="I81" s="20"/>
      <c r="J81" s="41">
        <f>J80+Table234535[[#This Row],[AMOUNT]]-Table234535[[#This Row],[AMOUNT2]]-Table234535[[#This Row],[AMOUNT3]]</f>
        <v>-126427</v>
      </c>
      <c r="K81" s="79"/>
    </row>
    <row r="82" spans="1:12" hidden="1" x14ac:dyDescent="0.35">
      <c r="A82" s="30">
        <v>46124</v>
      </c>
      <c r="B82" s="20" t="s">
        <v>45</v>
      </c>
      <c r="C82" s="45">
        <v>5000</v>
      </c>
      <c r="D82" s="20" t="s">
        <v>79</v>
      </c>
      <c r="E82" s="20" t="s">
        <v>68</v>
      </c>
      <c r="F82" s="19" t="s">
        <v>121</v>
      </c>
      <c r="G82" s="21">
        <f>3*700</f>
        <v>2100</v>
      </c>
      <c r="H82" s="20" t="s">
        <v>71</v>
      </c>
      <c r="I82" s="20">
        <v>2000</v>
      </c>
      <c r="J82" s="41">
        <f>J81+Table234535[[#This Row],[AMOUNT]]-Table234535[[#This Row],[AMOUNT2]]-Table234535[[#This Row],[AMOUNT3]]</f>
        <v>-125527</v>
      </c>
      <c r="K82" s="79"/>
    </row>
    <row r="83" spans="1:12" hidden="1" x14ac:dyDescent="0.35">
      <c r="A83" s="30">
        <v>46124</v>
      </c>
      <c r="B83" s="20" t="s">
        <v>45</v>
      </c>
      <c r="C83" s="45">
        <v>2000</v>
      </c>
      <c r="D83" s="20" t="s">
        <v>21</v>
      </c>
      <c r="E83" s="20" t="s">
        <v>27</v>
      </c>
      <c r="F83" s="19" t="s">
        <v>72</v>
      </c>
      <c r="G83" s="21">
        <v>5000</v>
      </c>
      <c r="H83" s="20" t="s">
        <v>71</v>
      </c>
      <c r="I83" s="20">
        <v>2800</v>
      </c>
      <c r="J83" s="41">
        <f>J82+Table234535[[#This Row],[AMOUNT]]-Table234535[[#This Row],[AMOUNT2]]-Table234535[[#This Row],[AMOUNT3]]</f>
        <v>-131327</v>
      </c>
      <c r="K83" s="79"/>
    </row>
    <row r="84" spans="1:12" hidden="1" x14ac:dyDescent="0.35">
      <c r="A84" s="30">
        <v>46124</v>
      </c>
      <c r="B84" s="20" t="s">
        <v>45</v>
      </c>
      <c r="C84" s="111">
        <v>2800</v>
      </c>
      <c r="D84" s="20" t="s">
        <v>91</v>
      </c>
      <c r="E84" s="20" t="s">
        <v>68</v>
      </c>
      <c r="F84" s="19" t="s">
        <v>84</v>
      </c>
      <c r="G84" s="21">
        <f>2*700</f>
        <v>1400</v>
      </c>
      <c r="H84" s="20" t="s">
        <v>71</v>
      </c>
      <c r="I84" s="20">
        <v>7000</v>
      </c>
      <c r="J84" s="41">
        <f>J83+Table234535[[#This Row],[AMOUNT]]-Table234535[[#This Row],[AMOUNT2]]-Table234535[[#This Row],[AMOUNT3]]</f>
        <v>-136927</v>
      </c>
      <c r="K84" s="79"/>
    </row>
    <row r="85" spans="1:12" hidden="1" x14ac:dyDescent="0.35">
      <c r="A85" s="30">
        <v>46124</v>
      </c>
      <c r="B85" s="20" t="s">
        <v>45</v>
      </c>
      <c r="C85" s="111">
        <v>7000</v>
      </c>
      <c r="D85" s="20" t="s">
        <v>91</v>
      </c>
      <c r="E85" s="20" t="s">
        <v>68</v>
      </c>
      <c r="F85" s="19" t="s">
        <v>178</v>
      </c>
      <c r="G85" s="21">
        <v>800</v>
      </c>
      <c r="H85" s="20"/>
      <c r="I85" s="20"/>
      <c r="J85" s="41">
        <f>J84+Table234535[[#This Row],[AMOUNT]]-Table234535[[#This Row],[AMOUNT2]]-Table234535[[#This Row],[AMOUNT3]]</f>
        <v>-130727</v>
      </c>
      <c r="K85" s="79"/>
    </row>
    <row r="86" spans="1:12" hidden="1" x14ac:dyDescent="0.35">
      <c r="A86" s="30">
        <v>46124</v>
      </c>
      <c r="B86" s="20"/>
      <c r="C86" s="20"/>
      <c r="D86" s="20" t="s">
        <v>65</v>
      </c>
      <c r="E86" s="20" t="s">
        <v>16</v>
      </c>
      <c r="F86" s="19" t="s">
        <v>70</v>
      </c>
      <c r="G86" s="21">
        <f>1*900</f>
        <v>900</v>
      </c>
      <c r="H86" s="20"/>
      <c r="I86" s="20"/>
      <c r="J86" s="41">
        <f>J85+Table234535[[#This Row],[AMOUNT]]-Table234535[[#This Row],[AMOUNT2]]-Table234535[[#This Row],[AMOUNT3]]</f>
        <v>-131627</v>
      </c>
      <c r="K86" s="79"/>
    </row>
    <row r="87" spans="1:12" hidden="1" x14ac:dyDescent="0.35">
      <c r="A87" s="30">
        <v>46124</v>
      </c>
      <c r="B87" s="20"/>
      <c r="C87" s="20"/>
      <c r="D87" s="20" t="s">
        <v>65</v>
      </c>
      <c r="E87" s="20" t="s">
        <v>68</v>
      </c>
      <c r="F87" s="19" t="s">
        <v>180</v>
      </c>
      <c r="G87" s="21">
        <v>1000</v>
      </c>
      <c r="H87" s="20"/>
      <c r="I87" s="20"/>
      <c r="J87" s="41">
        <f>J86+Table234535[[#This Row],[AMOUNT]]-Table234535[[#This Row],[AMOUNT2]]-Table234535[[#This Row],[AMOUNT3]]</f>
        <v>-132627</v>
      </c>
      <c r="K87" s="79"/>
    </row>
    <row r="88" spans="1:12" hidden="1" x14ac:dyDescent="0.35">
      <c r="A88" s="30">
        <v>46124</v>
      </c>
      <c r="B88" s="20"/>
      <c r="C88" s="20"/>
      <c r="D88" s="8" t="s">
        <v>953</v>
      </c>
      <c r="E88" s="20" t="s">
        <v>679</v>
      </c>
      <c r="F88" s="19" t="s">
        <v>66</v>
      </c>
      <c r="G88" s="21">
        <v>500</v>
      </c>
      <c r="H88" s="20"/>
      <c r="I88" s="20"/>
      <c r="J88" s="41">
        <f>J87+Table234535[[#This Row],[AMOUNT]]-Table234535[[#This Row],[AMOUNT2]]-Table234535[[#This Row],[AMOUNT3]]</f>
        <v>-133127</v>
      </c>
      <c r="K88" s="79"/>
    </row>
    <row r="89" spans="1:12" hidden="1" x14ac:dyDescent="0.35">
      <c r="A89" s="30">
        <v>46124</v>
      </c>
      <c r="B89" s="20"/>
      <c r="C89" s="20"/>
      <c r="D89" s="20" t="s">
        <v>39</v>
      </c>
      <c r="E89" s="20" t="s">
        <v>679</v>
      </c>
      <c r="F89" s="19" t="s">
        <v>66</v>
      </c>
      <c r="G89" s="21">
        <v>500</v>
      </c>
      <c r="H89" s="20"/>
      <c r="I89" s="20"/>
      <c r="J89" s="41">
        <f>J88+Table234535[[#This Row],[AMOUNT]]-Table234535[[#This Row],[AMOUNT2]]-Table234535[[#This Row],[AMOUNT3]]</f>
        <v>-133627</v>
      </c>
      <c r="K89" s="79"/>
      <c r="L89">
        <v>9800</v>
      </c>
    </row>
    <row r="90" spans="1:12" hidden="1" x14ac:dyDescent="0.35">
      <c r="A90" s="30" t="s">
        <v>181</v>
      </c>
      <c r="B90" s="20" t="s">
        <v>45</v>
      </c>
      <c r="C90" s="45">
        <v>2000</v>
      </c>
      <c r="D90" s="20" t="s">
        <v>21</v>
      </c>
      <c r="E90" s="20" t="s">
        <v>31</v>
      </c>
      <c r="F90" s="19" t="s">
        <v>81</v>
      </c>
      <c r="G90" s="21">
        <v>6000</v>
      </c>
      <c r="H90" s="20" t="s">
        <v>71</v>
      </c>
      <c r="I90" s="20">
        <v>1000</v>
      </c>
      <c r="J90" s="41">
        <f>J89+Table234535[[#This Row],[AMOUNT]]-Table234535[[#This Row],[AMOUNT2]]-Table234535[[#This Row],[AMOUNT3]]</f>
        <v>-138627</v>
      </c>
      <c r="K90" s="79"/>
    </row>
    <row r="91" spans="1:12" hidden="1" x14ac:dyDescent="0.35">
      <c r="A91" s="30" t="s">
        <v>181</v>
      </c>
      <c r="B91" s="20" t="s">
        <v>45</v>
      </c>
      <c r="C91" s="45">
        <v>6000</v>
      </c>
      <c r="D91" s="20" t="s">
        <v>79</v>
      </c>
      <c r="E91" s="20" t="s">
        <v>68</v>
      </c>
      <c r="F91" s="19" t="s">
        <v>121</v>
      </c>
      <c r="G91" s="21">
        <f>3*700</f>
        <v>2100</v>
      </c>
      <c r="H91" s="20" t="s">
        <v>53</v>
      </c>
      <c r="I91" s="45">
        <v>2500</v>
      </c>
      <c r="J91" s="41">
        <f>J90+Table234535[[#This Row],[AMOUNT]]-Table234535[[#This Row],[AMOUNT2]]-Table234535[[#This Row],[AMOUNT3]]</f>
        <v>-137227</v>
      </c>
      <c r="K91" s="79"/>
    </row>
    <row r="92" spans="1:12" hidden="1" x14ac:dyDescent="0.35">
      <c r="A92" s="30" t="s">
        <v>181</v>
      </c>
      <c r="B92" s="20" t="s">
        <v>45</v>
      </c>
      <c r="C92" s="45">
        <v>2300</v>
      </c>
      <c r="D92" s="20" t="s">
        <v>79</v>
      </c>
      <c r="E92" s="20" t="s">
        <v>20</v>
      </c>
      <c r="F92" s="19" t="s">
        <v>182</v>
      </c>
      <c r="G92" s="21">
        <v>5800</v>
      </c>
      <c r="H92" s="20"/>
      <c r="I92" s="20"/>
      <c r="J92" s="41">
        <f>J91+Table234535[[#This Row],[AMOUNT]]-Table234535[[#This Row],[AMOUNT2]]-Table234535[[#This Row],[AMOUNT3]]</f>
        <v>-140727</v>
      </c>
      <c r="K92" s="79"/>
    </row>
    <row r="93" spans="1:12" hidden="1" x14ac:dyDescent="0.35">
      <c r="A93" s="30" t="s">
        <v>181</v>
      </c>
      <c r="B93" s="20" t="s">
        <v>45</v>
      </c>
      <c r="C93" s="45">
        <v>3500</v>
      </c>
      <c r="D93" s="20" t="s">
        <v>65</v>
      </c>
      <c r="E93" s="20" t="s">
        <v>34</v>
      </c>
      <c r="F93" s="19" t="s">
        <v>183</v>
      </c>
      <c r="G93" s="21">
        <v>100</v>
      </c>
      <c r="H93" s="20"/>
      <c r="I93" s="20"/>
      <c r="J93" s="41">
        <f>J92+Table234535[[#This Row],[AMOUNT]]-Table234535[[#This Row],[AMOUNT2]]-Table234535[[#This Row],[AMOUNT3]]</f>
        <v>-137327</v>
      </c>
      <c r="K93" s="79"/>
    </row>
    <row r="94" spans="1:12" hidden="1" x14ac:dyDescent="0.35">
      <c r="A94" s="30" t="s">
        <v>181</v>
      </c>
      <c r="B94" s="20" t="s">
        <v>45</v>
      </c>
      <c r="C94" s="45">
        <v>4500</v>
      </c>
      <c r="D94" s="20" t="s">
        <v>65</v>
      </c>
      <c r="E94" s="20" t="s">
        <v>19</v>
      </c>
      <c r="F94" s="19" t="s">
        <v>93</v>
      </c>
      <c r="G94" s="21">
        <v>3500</v>
      </c>
      <c r="H94" s="20"/>
      <c r="I94" s="20"/>
      <c r="J94" s="41">
        <f>J93+Table234535[[#This Row],[AMOUNT]]-Table234535[[#This Row],[AMOUNT2]]-Table234535[[#This Row],[AMOUNT3]]</f>
        <v>-136327</v>
      </c>
      <c r="K94" s="79"/>
    </row>
    <row r="95" spans="1:12" hidden="1" x14ac:dyDescent="0.35">
      <c r="A95" s="30" t="s">
        <v>181</v>
      </c>
      <c r="B95" s="20"/>
      <c r="C95" s="20"/>
      <c r="D95" s="20" t="s">
        <v>39</v>
      </c>
      <c r="E95" s="20" t="s">
        <v>682</v>
      </c>
      <c r="F95" s="19" t="s">
        <v>184</v>
      </c>
      <c r="G95" s="21">
        <v>4500</v>
      </c>
      <c r="H95" s="20"/>
      <c r="I95" s="20"/>
      <c r="J95" s="41">
        <f>J94+Table234535[[#This Row],[AMOUNT]]-Table234535[[#This Row],[AMOUNT2]]-Table234535[[#This Row],[AMOUNT3]]</f>
        <v>-140827</v>
      </c>
      <c r="K95" s="79"/>
    </row>
    <row r="96" spans="1:12" hidden="1" x14ac:dyDescent="0.35">
      <c r="A96" s="30" t="s">
        <v>181</v>
      </c>
      <c r="B96" s="20"/>
      <c r="C96" s="20"/>
      <c r="D96" s="20" t="s">
        <v>91</v>
      </c>
      <c r="E96" s="20" t="s">
        <v>68</v>
      </c>
      <c r="F96" s="19" t="s">
        <v>121</v>
      </c>
      <c r="G96" s="21">
        <f>3*700</f>
        <v>2100</v>
      </c>
      <c r="H96" s="20"/>
      <c r="I96" s="20"/>
      <c r="J96" s="41">
        <f>J95+Table234535[[#This Row],[AMOUNT]]-Table234535[[#This Row],[AMOUNT2]]-Table234535[[#This Row],[AMOUNT3]]</f>
        <v>-142927</v>
      </c>
      <c r="K96" s="79"/>
    </row>
    <row r="97" spans="1:11" hidden="1" x14ac:dyDescent="0.35">
      <c r="A97" s="30" t="s">
        <v>181</v>
      </c>
      <c r="B97" s="20"/>
      <c r="C97" s="20"/>
      <c r="D97" s="20" t="s">
        <v>91</v>
      </c>
      <c r="E97" s="20" t="s">
        <v>34</v>
      </c>
      <c r="F97" s="19" t="s">
        <v>185</v>
      </c>
      <c r="G97" s="21">
        <v>200</v>
      </c>
      <c r="H97" s="20"/>
      <c r="I97" s="20"/>
      <c r="J97" s="41">
        <f>J96+Table234535[[#This Row],[AMOUNT]]-Table234535[[#This Row],[AMOUNT2]]-Table234535[[#This Row],[AMOUNT3]]</f>
        <v>-143127</v>
      </c>
      <c r="K97" s="79"/>
    </row>
    <row r="98" spans="1:11" hidden="1" x14ac:dyDescent="0.35">
      <c r="A98" s="30" t="s">
        <v>181</v>
      </c>
      <c r="B98" s="20"/>
      <c r="C98" s="20"/>
      <c r="D98" s="20" t="s">
        <v>65</v>
      </c>
      <c r="E98" s="20" t="s">
        <v>16</v>
      </c>
      <c r="F98" s="19" t="s">
        <v>70</v>
      </c>
      <c r="G98" s="21">
        <f>1*900</f>
        <v>900</v>
      </c>
      <c r="H98" s="20"/>
      <c r="I98" s="20"/>
      <c r="J98" s="41">
        <f>J97+Table234535[[#This Row],[AMOUNT]]-Table234535[[#This Row],[AMOUNT2]]-Table234535[[#This Row],[AMOUNT3]]</f>
        <v>-144027</v>
      </c>
      <c r="K98" s="79"/>
    </row>
    <row r="99" spans="1:11" hidden="1" x14ac:dyDescent="0.35">
      <c r="A99" s="30">
        <v>46126</v>
      </c>
      <c r="B99" s="20" t="s">
        <v>45</v>
      </c>
      <c r="C99" s="45">
        <v>20000</v>
      </c>
      <c r="D99" s="20" t="s">
        <v>21</v>
      </c>
      <c r="E99" s="20" t="s">
        <v>27</v>
      </c>
      <c r="F99" s="19" t="s">
        <v>72</v>
      </c>
      <c r="G99" s="21">
        <v>20000</v>
      </c>
      <c r="H99" s="20"/>
      <c r="I99" s="20"/>
      <c r="J99" s="41">
        <f>J98+Table234535[[#This Row],[AMOUNT]]-Table234535[[#This Row],[AMOUNT2]]-Table234535[[#This Row],[AMOUNT3]]</f>
        <v>-144027</v>
      </c>
      <c r="K99" s="79"/>
    </row>
    <row r="100" spans="1:11" hidden="1" x14ac:dyDescent="0.35">
      <c r="A100" s="30">
        <v>46126</v>
      </c>
      <c r="B100" s="20" t="s">
        <v>45</v>
      </c>
      <c r="C100" s="45">
        <v>2500</v>
      </c>
      <c r="D100" s="20" t="s">
        <v>65</v>
      </c>
      <c r="E100" s="20" t="s">
        <v>19</v>
      </c>
      <c r="F100" s="19" t="s">
        <v>106</v>
      </c>
      <c r="G100" s="21">
        <v>2500</v>
      </c>
      <c r="H100" s="20"/>
      <c r="I100" s="20"/>
      <c r="J100" s="41">
        <f>J99+Table234535[[#This Row],[AMOUNT]]-Table234535[[#This Row],[AMOUNT2]]-Table234535[[#This Row],[AMOUNT3]]</f>
        <v>-144027</v>
      </c>
      <c r="K100" s="79"/>
    </row>
    <row r="101" spans="1:11" hidden="1" x14ac:dyDescent="0.35">
      <c r="A101" s="30">
        <v>46126</v>
      </c>
      <c r="B101" s="20" t="s">
        <v>45</v>
      </c>
      <c r="C101" s="45">
        <v>2100</v>
      </c>
      <c r="D101" s="20" t="s">
        <v>65</v>
      </c>
      <c r="E101" s="20" t="s">
        <v>16</v>
      </c>
      <c r="F101" s="19" t="s">
        <v>70</v>
      </c>
      <c r="G101" s="21">
        <f>1*900</f>
        <v>900</v>
      </c>
      <c r="H101" s="20"/>
      <c r="I101" s="20"/>
      <c r="J101" s="41">
        <f>J100+Table234535[[#This Row],[AMOUNT]]-Table234535[[#This Row],[AMOUNT2]]-Table234535[[#This Row],[AMOUNT3]]</f>
        <v>-142827</v>
      </c>
      <c r="K101" s="79"/>
    </row>
    <row r="102" spans="1:11" hidden="1" x14ac:dyDescent="0.35">
      <c r="A102" s="30">
        <v>46126</v>
      </c>
      <c r="B102" s="20" t="s">
        <v>45</v>
      </c>
      <c r="C102" s="45">
        <v>5500</v>
      </c>
      <c r="D102" s="20" t="s">
        <v>91</v>
      </c>
      <c r="E102" s="20" t="s">
        <v>68</v>
      </c>
      <c r="F102" s="19" t="s">
        <v>121</v>
      </c>
      <c r="G102" s="21">
        <f>3*700</f>
        <v>2100</v>
      </c>
      <c r="H102" s="20"/>
      <c r="I102" s="20"/>
      <c r="J102" s="41">
        <f>J101+Table234535[[#This Row],[AMOUNT]]-Table234535[[#This Row],[AMOUNT2]]-Table234535[[#This Row],[AMOUNT3]]</f>
        <v>-139427</v>
      </c>
      <c r="K102" s="79"/>
    </row>
    <row r="103" spans="1:11" hidden="1" x14ac:dyDescent="0.35">
      <c r="A103" s="30">
        <v>46126</v>
      </c>
      <c r="B103" s="20"/>
      <c r="C103" s="20"/>
      <c r="D103" s="8" t="s">
        <v>953</v>
      </c>
      <c r="E103" s="20" t="s">
        <v>24</v>
      </c>
      <c r="F103" s="19" t="s">
        <v>186</v>
      </c>
      <c r="G103" s="21">
        <v>5500</v>
      </c>
      <c r="H103" s="20"/>
      <c r="I103" s="20"/>
      <c r="J103" s="41">
        <f>J102+Table234535[[#This Row],[AMOUNT]]-Table234535[[#This Row],[AMOUNT2]]-Table234535[[#This Row],[AMOUNT3]]</f>
        <v>-144927</v>
      </c>
      <c r="K103" s="79"/>
    </row>
    <row r="104" spans="1:11" hidden="1" x14ac:dyDescent="0.35">
      <c r="A104" s="30">
        <v>46126</v>
      </c>
      <c r="B104" s="20"/>
      <c r="C104" s="20"/>
      <c r="D104" s="20" t="s">
        <v>79</v>
      </c>
      <c r="E104" s="20" t="s">
        <v>20</v>
      </c>
      <c r="F104" s="19" t="s">
        <v>187</v>
      </c>
      <c r="G104" s="21">
        <v>1500</v>
      </c>
      <c r="H104" s="20"/>
      <c r="I104" s="20"/>
      <c r="J104" s="41">
        <f>J103+Table234535[[#This Row],[AMOUNT]]-Table234535[[#This Row],[AMOUNT2]]-Table234535[[#This Row],[AMOUNT3]]</f>
        <v>-146427</v>
      </c>
      <c r="K104" s="79"/>
    </row>
    <row r="105" spans="1:11" hidden="1" x14ac:dyDescent="0.35">
      <c r="A105" s="30">
        <v>46126</v>
      </c>
      <c r="B105" s="20"/>
      <c r="C105" s="20"/>
      <c r="D105" s="20" t="s">
        <v>91</v>
      </c>
      <c r="E105" s="20" t="s">
        <v>34</v>
      </c>
      <c r="F105" s="19" t="s">
        <v>188</v>
      </c>
      <c r="G105" s="21">
        <v>250</v>
      </c>
      <c r="H105" s="20"/>
      <c r="I105" s="20"/>
      <c r="J105" s="41">
        <f>J104+Table234535[[#This Row],[AMOUNT]]-Table234535[[#This Row],[AMOUNT2]]-Table234535[[#This Row],[AMOUNT3]]</f>
        <v>-146677</v>
      </c>
      <c r="K105" s="79"/>
    </row>
    <row r="106" spans="1:11" hidden="1" x14ac:dyDescent="0.35">
      <c r="A106" s="30">
        <v>46126</v>
      </c>
      <c r="B106" s="20"/>
      <c r="C106" s="20"/>
      <c r="D106" s="20" t="s">
        <v>108</v>
      </c>
      <c r="E106" s="20" t="s">
        <v>20</v>
      </c>
      <c r="F106" s="19" t="s">
        <v>116</v>
      </c>
      <c r="G106" s="21">
        <v>15500</v>
      </c>
      <c r="H106" s="20"/>
      <c r="I106" s="20"/>
      <c r="J106" s="41">
        <f>J105+Table234535[[#This Row],[AMOUNT]]-Table234535[[#This Row],[AMOUNT2]]-Table234535[[#This Row],[AMOUNT3]]</f>
        <v>-162177</v>
      </c>
      <c r="K106" s="79"/>
    </row>
    <row r="107" spans="1:11" hidden="1" x14ac:dyDescent="0.35">
      <c r="A107" s="30">
        <v>46127</v>
      </c>
      <c r="B107" s="20" t="s">
        <v>45</v>
      </c>
      <c r="C107" s="45">
        <v>10000</v>
      </c>
      <c r="D107" s="20" t="s">
        <v>91</v>
      </c>
      <c r="E107" s="20" t="s">
        <v>68</v>
      </c>
      <c r="F107" s="19" t="s">
        <v>121</v>
      </c>
      <c r="G107" s="21">
        <f>3*700</f>
        <v>2100</v>
      </c>
      <c r="H107" s="20" t="s">
        <v>64</v>
      </c>
      <c r="I107" s="20">
        <v>10000</v>
      </c>
      <c r="J107" s="41">
        <f>J106+Table234535[[#This Row],[AMOUNT]]-Table234535[[#This Row],[AMOUNT2]]-Table234535[[#This Row],[AMOUNT3]]</f>
        <v>-164277</v>
      </c>
      <c r="K107" s="79"/>
    </row>
    <row r="108" spans="1:11" hidden="1" x14ac:dyDescent="0.35">
      <c r="A108" s="30">
        <v>46127</v>
      </c>
      <c r="B108" s="20" t="s">
        <v>45</v>
      </c>
      <c r="C108" s="45">
        <v>5000</v>
      </c>
      <c r="D108" s="20" t="s">
        <v>91</v>
      </c>
      <c r="E108" s="20" t="s">
        <v>682</v>
      </c>
      <c r="F108" s="19" t="s">
        <v>189</v>
      </c>
      <c r="G108" s="21">
        <v>2620</v>
      </c>
      <c r="H108" s="20"/>
      <c r="I108" s="20"/>
      <c r="J108" s="41">
        <f>J107+Table234535[[#This Row],[AMOUNT]]-Table234535[[#This Row],[AMOUNT2]]-Table234535[[#This Row],[AMOUNT3]]</f>
        <v>-161897</v>
      </c>
      <c r="K108" s="79"/>
    </row>
    <row r="109" spans="1:11" hidden="1" x14ac:dyDescent="0.35">
      <c r="A109" s="30">
        <v>46127</v>
      </c>
      <c r="B109" s="20" t="s">
        <v>45</v>
      </c>
      <c r="C109" s="45">
        <v>10000</v>
      </c>
      <c r="D109" s="20" t="s">
        <v>91</v>
      </c>
      <c r="E109" s="20" t="s">
        <v>74</v>
      </c>
      <c r="F109" s="19" t="s">
        <v>118</v>
      </c>
      <c r="G109" s="21">
        <v>10000</v>
      </c>
      <c r="H109" s="20"/>
      <c r="I109" s="20"/>
      <c r="J109" s="41">
        <f>J108+Table234535[[#This Row],[AMOUNT]]-Table234535[[#This Row],[AMOUNT2]]-Table234535[[#This Row],[AMOUNT3]]</f>
        <v>-161897</v>
      </c>
      <c r="K109" s="79"/>
    </row>
    <row r="110" spans="1:11" hidden="1" x14ac:dyDescent="0.35">
      <c r="A110" s="30">
        <v>46127</v>
      </c>
      <c r="B110" s="20" t="s">
        <v>32</v>
      </c>
      <c r="C110" s="45">
        <v>10000</v>
      </c>
      <c r="D110" s="20" t="s">
        <v>91</v>
      </c>
      <c r="E110" s="20" t="s">
        <v>19</v>
      </c>
      <c r="F110" s="19" t="s">
        <v>117</v>
      </c>
      <c r="G110" s="21">
        <v>20000</v>
      </c>
      <c r="H110" s="20"/>
      <c r="I110" s="20"/>
      <c r="J110" s="41">
        <f>J109+Table234535[[#This Row],[AMOUNT]]-Table234535[[#This Row],[AMOUNT2]]-Table234535[[#This Row],[AMOUNT3]]</f>
        <v>-171897</v>
      </c>
      <c r="K110" s="79"/>
    </row>
    <row r="111" spans="1:11" hidden="1" x14ac:dyDescent="0.35">
      <c r="A111" s="30">
        <v>46127</v>
      </c>
      <c r="B111" s="20" t="s">
        <v>45</v>
      </c>
      <c r="C111" s="45">
        <v>20000</v>
      </c>
      <c r="D111" s="20" t="s">
        <v>65</v>
      </c>
      <c r="E111" s="20" t="s">
        <v>16</v>
      </c>
      <c r="F111" s="19" t="s">
        <v>70</v>
      </c>
      <c r="G111" s="21">
        <f>1*900</f>
        <v>900</v>
      </c>
      <c r="H111" s="20"/>
      <c r="I111" s="20"/>
      <c r="J111" s="41">
        <f>J110+Table234535[[#This Row],[AMOUNT]]-Table234535[[#This Row],[AMOUNT2]]-Table234535[[#This Row],[AMOUNT3]]</f>
        <v>-152797</v>
      </c>
      <c r="K111" s="79"/>
    </row>
    <row r="112" spans="1:11" hidden="1" x14ac:dyDescent="0.35">
      <c r="A112" s="30">
        <v>46127</v>
      </c>
      <c r="B112" s="20"/>
      <c r="C112" s="20"/>
      <c r="D112" s="8" t="s">
        <v>953</v>
      </c>
      <c r="E112" s="20" t="s">
        <v>682</v>
      </c>
      <c r="F112" s="19" t="s">
        <v>190</v>
      </c>
      <c r="G112" s="21">
        <v>1400</v>
      </c>
      <c r="H112" s="20"/>
      <c r="I112" s="20"/>
      <c r="J112" s="41">
        <f>J111+Table234535[[#This Row],[AMOUNT]]-Table234535[[#This Row],[AMOUNT2]]-Table234535[[#This Row],[AMOUNT3]]</f>
        <v>-154197</v>
      </c>
      <c r="K112" s="79"/>
    </row>
    <row r="113" spans="1:11" hidden="1" x14ac:dyDescent="0.35">
      <c r="A113" s="30">
        <v>46127</v>
      </c>
      <c r="B113" s="20"/>
      <c r="C113" s="20"/>
      <c r="D113" s="8" t="s">
        <v>953</v>
      </c>
      <c r="E113" s="20" t="s">
        <v>24</v>
      </c>
      <c r="F113" s="19" t="s">
        <v>191</v>
      </c>
      <c r="G113" s="21">
        <v>4000</v>
      </c>
      <c r="H113" s="20"/>
      <c r="I113" s="20"/>
      <c r="J113" s="41">
        <f>J112+Table234535[[#This Row],[AMOUNT]]-Table234535[[#This Row],[AMOUNT2]]-Table234535[[#This Row],[AMOUNT3]]</f>
        <v>-158197</v>
      </c>
      <c r="K113" s="79"/>
    </row>
    <row r="114" spans="1:11" hidden="1" x14ac:dyDescent="0.35">
      <c r="A114" s="30">
        <v>46127</v>
      </c>
      <c r="B114" s="20"/>
      <c r="C114" s="20"/>
      <c r="D114" s="8" t="s">
        <v>953</v>
      </c>
      <c r="E114" s="20" t="s">
        <v>679</v>
      </c>
      <c r="F114" s="19" t="s">
        <v>1</v>
      </c>
      <c r="G114" s="21">
        <v>1000</v>
      </c>
      <c r="H114" s="20"/>
      <c r="I114" s="20"/>
      <c r="J114" s="41">
        <f>J113+Table234535[[#This Row],[AMOUNT]]-Table234535[[#This Row],[AMOUNT2]]-Table234535[[#This Row],[AMOUNT3]]</f>
        <v>-159197</v>
      </c>
      <c r="K114" s="79"/>
    </row>
    <row r="115" spans="1:11" x14ac:dyDescent="0.35">
      <c r="A115" s="30">
        <v>46128</v>
      </c>
      <c r="B115" s="20" t="s">
        <v>45</v>
      </c>
      <c r="C115" s="45">
        <v>2000</v>
      </c>
      <c r="D115" s="20" t="s">
        <v>21</v>
      </c>
      <c r="E115" s="20" t="s">
        <v>27</v>
      </c>
      <c r="F115" s="19" t="s">
        <v>1283</v>
      </c>
      <c r="G115" s="21">
        <v>2000</v>
      </c>
      <c r="H115" s="20"/>
      <c r="I115" s="20"/>
      <c r="J115" s="41">
        <f>J114+Table234535[[#This Row],[AMOUNT]]-Table234535[[#This Row],[AMOUNT2]]-Table234535[[#This Row],[AMOUNT3]]</f>
        <v>-159197</v>
      </c>
      <c r="K115" s="79"/>
    </row>
    <row r="116" spans="1:11" hidden="1" x14ac:dyDescent="0.35">
      <c r="A116" s="30">
        <v>46128</v>
      </c>
      <c r="B116" s="20" t="s">
        <v>45</v>
      </c>
      <c r="C116" s="45">
        <v>18000</v>
      </c>
      <c r="D116" s="20" t="s">
        <v>91</v>
      </c>
      <c r="E116" s="20" t="s">
        <v>74</v>
      </c>
      <c r="F116" s="19" t="s">
        <v>192</v>
      </c>
      <c r="G116" s="21">
        <v>20375</v>
      </c>
      <c r="H116" s="20"/>
      <c r="I116" s="20"/>
      <c r="J116" s="41">
        <f>J115+Table234535[[#This Row],[AMOUNT]]-Table234535[[#This Row],[AMOUNT2]]-Table234535[[#This Row],[AMOUNT3]]</f>
        <v>-161572</v>
      </c>
      <c r="K116" s="79"/>
    </row>
    <row r="117" spans="1:11" hidden="1" x14ac:dyDescent="0.35">
      <c r="A117" s="30">
        <v>46128</v>
      </c>
      <c r="B117" s="20" t="s">
        <v>45</v>
      </c>
      <c r="C117" s="45">
        <v>2375</v>
      </c>
      <c r="D117" s="8" t="s">
        <v>953</v>
      </c>
      <c r="E117" s="20" t="s">
        <v>20</v>
      </c>
      <c r="F117" s="19" t="s">
        <v>193</v>
      </c>
      <c r="G117" s="21">
        <v>9430</v>
      </c>
      <c r="H117" s="20"/>
      <c r="I117" s="20"/>
      <c r="J117" s="41">
        <f>J116+Table234535[[#This Row],[AMOUNT]]-Table234535[[#This Row],[AMOUNT2]]-Table234535[[#This Row],[AMOUNT3]]</f>
        <v>-168627</v>
      </c>
      <c r="K117" s="79"/>
    </row>
    <row r="118" spans="1:11" hidden="1" x14ac:dyDescent="0.35">
      <c r="A118" s="30">
        <v>46128</v>
      </c>
      <c r="B118" s="20" t="s">
        <v>45</v>
      </c>
      <c r="C118" s="45">
        <v>9430</v>
      </c>
      <c r="D118" s="20" t="s">
        <v>91</v>
      </c>
      <c r="E118" s="20" t="s">
        <v>19</v>
      </c>
      <c r="F118" s="19" t="s">
        <v>105</v>
      </c>
      <c r="G118" s="21">
        <v>1400</v>
      </c>
      <c r="H118" s="20"/>
      <c r="I118" s="20"/>
      <c r="J118" s="41">
        <f>J117+Table234535[[#This Row],[AMOUNT]]-Table234535[[#This Row],[AMOUNT2]]-Table234535[[#This Row],[AMOUNT3]]</f>
        <v>-160597</v>
      </c>
      <c r="K118" s="79"/>
    </row>
    <row r="119" spans="1:11" hidden="1" x14ac:dyDescent="0.35">
      <c r="A119" s="30">
        <v>46128</v>
      </c>
      <c r="B119" s="20"/>
      <c r="C119" s="20"/>
      <c r="D119" s="20" t="s">
        <v>65</v>
      </c>
      <c r="E119" s="20" t="s">
        <v>16</v>
      </c>
      <c r="F119" s="19" t="s">
        <v>70</v>
      </c>
      <c r="G119" s="21">
        <f>1*900</f>
        <v>900</v>
      </c>
      <c r="H119" s="20"/>
      <c r="I119" s="20"/>
      <c r="J119" s="41">
        <f>J118+Table234535[[#This Row],[AMOUNT]]-Table234535[[#This Row],[AMOUNT2]]-Table234535[[#This Row],[AMOUNT3]]</f>
        <v>-161497</v>
      </c>
      <c r="K119" s="79"/>
    </row>
    <row r="120" spans="1:11" hidden="1" x14ac:dyDescent="0.35">
      <c r="A120" s="30">
        <v>46128</v>
      </c>
      <c r="B120" s="20"/>
      <c r="C120" s="20"/>
      <c r="D120" s="20" t="s">
        <v>111</v>
      </c>
      <c r="E120" s="20" t="s">
        <v>20</v>
      </c>
      <c r="F120" s="19" t="s">
        <v>194</v>
      </c>
      <c r="G120" s="21">
        <v>1500</v>
      </c>
      <c r="H120" s="20"/>
      <c r="I120" s="20"/>
      <c r="J120" s="41">
        <f>J119+Table234535[[#This Row],[AMOUNT]]-Table234535[[#This Row],[AMOUNT2]]-Table234535[[#This Row],[AMOUNT3]]</f>
        <v>-162997</v>
      </c>
      <c r="K120" s="79"/>
    </row>
    <row r="121" spans="1:11" hidden="1" x14ac:dyDescent="0.35">
      <c r="A121" s="30">
        <v>46128</v>
      </c>
      <c r="B121" s="20"/>
      <c r="C121" s="20"/>
      <c r="D121" s="8" t="s">
        <v>953</v>
      </c>
      <c r="E121" s="20" t="s">
        <v>68</v>
      </c>
      <c r="F121" s="19" t="s">
        <v>195</v>
      </c>
      <c r="G121" s="21">
        <f>4*800</f>
        <v>3200</v>
      </c>
      <c r="H121" s="20"/>
      <c r="I121" s="20"/>
      <c r="J121" s="41">
        <f>J120+Table234535[[#This Row],[AMOUNT]]-Table234535[[#This Row],[AMOUNT2]]-Table234535[[#This Row],[AMOUNT3]]</f>
        <v>-166197</v>
      </c>
      <c r="K121" s="79"/>
    </row>
    <row r="122" spans="1:11" hidden="1" x14ac:dyDescent="0.35">
      <c r="A122" s="30">
        <v>46129</v>
      </c>
      <c r="B122" s="20"/>
      <c r="C122" s="20"/>
      <c r="D122" s="8" t="s">
        <v>953</v>
      </c>
      <c r="E122" s="20" t="s">
        <v>38</v>
      </c>
      <c r="F122" s="19" t="s">
        <v>101</v>
      </c>
      <c r="G122" s="21">
        <v>700</v>
      </c>
      <c r="H122" s="20" t="s">
        <v>53</v>
      </c>
      <c r="I122" s="45">
        <v>3000</v>
      </c>
      <c r="J122" s="41">
        <f>J121+Table234535[[#This Row],[AMOUNT]]-Table234535[[#This Row],[AMOUNT2]]-Table234535[[#This Row],[AMOUNT3]]</f>
        <v>-169897</v>
      </c>
      <c r="K122" s="79"/>
    </row>
    <row r="123" spans="1:11" hidden="1" x14ac:dyDescent="0.35">
      <c r="A123" s="30">
        <v>46129</v>
      </c>
      <c r="B123" s="20"/>
      <c r="C123" s="20"/>
      <c r="D123" s="20" t="s">
        <v>65</v>
      </c>
      <c r="E123" s="20" t="s">
        <v>16</v>
      </c>
      <c r="F123" s="19" t="s">
        <v>70</v>
      </c>
      <c r="G123" s="21">
        <f>1*900</f>
        <v>900</v>
      </c>
      <c r="H123" s="20"/>
      <c r="I123" s="20"/>
      <c r="J123" s="41">
        <f>J122+Table234535[[#This Row],[AMOUNT]]-Table234535[[#This Row],[AMOUNT2]]-Table234535[[#This Row],[AMOUNT3]]</f>
        <v>-170797</v>
      </c>
      <c r="K123" s="79"/>
    </row>
    <row r="124" spans="1:11" hidden="1" x14ac:dyDescent="0.35">
      <c r="A124" s="30">
        <v>46129</v>
      </c>
      <c r="B124" s="20"/>
      <c r="C124" s="20"/>
      <c r="D124" s="20" t="s">
        <v>91</v>
      </c>
      <c r="E124" s="20" t="s">
        <v>68</v>
      </c>
      <c r="F124" s="19" t="s">
        <v>123</v>
      </c>
      <c r="G124" s="21">
        <f>4*700</f>
        <v>2800</v>
      </c>
      <c r="H124" s="20"/>
      <c r="I124" s="20"/>
      <c r="J124" s="41">
        <f>J123+Table234535[[#This Row],[AMOUNT]]-Table234535[[#This Row],[AMOUNT2]]-Table234535[[#This Row],[AMOUNT3]]</f>
        <v>-173597</v>
      </c>
      <c r="K124" s="79"/>
    </row>
    <row r="125" spans="1:11" hidden="1" x14ac:dyDescent="0.35">
      <c r="A125" s="30">
        <v>46129</v>
      </c>
      <c r="B125" s="20"/>
      <c r="C125" s="20"/>
      <c r="D125" s="20" t="s">
        <v>91</v>
      </c>
      <c r="E125" s="20" t="s">
        <v>38</v>
      </c>
      <c r="F125" s="19" t="s">
        <v>196</v>
      </c>
      <c r="G125" s="21">
        <v>1000</v>
      </c>
      <c r="H125" s="20"/>
      <c r="I125" s="20"/>
      <c r="J125" s="41">
        <f>J124+Table234535[[#This Row],[AMOUNT]]-Table234535[[#This Row],[AMOUNT2]]-Table234535[[#This Row],[AMOUNT3]]</f>
        <v>-174597</v>
      </c>
      <c r="K125" s="79"/>
    </row>
    <row r="126" spans="1:11" hidden="1" x14ac:dyDescent="0.35">
      <c r="A126" s="30">
        <v>46129</v>
      </c>
      <c r="B126" s="20"/>
      <c r="C126" s="20"/>
      <c r="D126" s="8" t="s">
        <v>953</v>
      </c>
      <c r="E126" s="20" t="s">
        <v>68</v>
      </c>
      <c r="F126" s="19" t="s">
        <v>197</v>
      </c>
      <c r="G126" s="21">
        <f>4*750</f>
        <v>3000</v>
      </c>
      <c r="H126" s="20"/>
      <c r="I126" s="20"/>
      <c r="J126" s="41">
        <f>J125+Table234535[[#This Row],[AMOUNT]]-Table234535[[#This Row],[AMOUNT2]]-Table234535[[#This Row],[AMOUNT3]]</f>
        <v>-177597</v>
      </c>
      <c r="K126" s="79"/>
    </row>
    <row r="127" spans="1:11" hidden="1" x14ac:dyDescent="0.35">
      <c r="A127" s="30">
        <v>46129</v>
      </c>
      <c r="B127" s="20"/>
      <c r="C127" s="20"/>
      <c r="D127" s="20" t="s">
        <v>21</v>
      </c>
      <c r="E127" s="20" t="s">
        <v>82</v>
      </c>
      <c r="F127" s="19" t="s">
        <v>80</v>
      </c>
      <c r="G127" s="21">
        <v>500</v>
      </c>
      <c r="H127" s="20"/>
      <c r="I127" s="20"/>
      <c r="J127" s="41">
        <f>J126+Table234535[[#This Row],[AMOUNT]]-Table234535[[#This Row],[AMOUNT2]]-Table234535[[#This Row],[AMOUNT3]]</f>
        <v>-178097</v>
      </c>
      <c r="K127" s="79"/>
    </row>
    <row r="128" spans="1:11" hidden="1" x14ac:dyDescent="0.35">
      <c r="A128" s="30">
        <v>46129</v>
      </c>
      <c r="B128" s="20"/>
      <c r="C128" s="20"/>
      <c r="D128" s="20" t="s">
        <v>21</v>
      </c>
      <c r="E128" s="20" t="s">
        <v>43</v>
      </c>
      <c r="F128" s="19" t="s">
        <v>198</v>
      </c>
      <c r="G128" s="21">
        <v>12800</v>
      </c>
      <c r="H128" s="20"/>
      <c r="I128" s="20"/>
      <c r="J128" s="41">
        <f>J127+Table234535[[#This Row],[AMOUNT]]-Table234535[[#This Row],[AMOUNT2]]-Table234535[[#This Row],[AMOUNT3]]</f>
        <v>-190897</v>
      </c>
      <c r="K128" s="79"/>
    </row>
    <row r="129" spans="1:12" hidden="1" x14ac:dyDescent="0.35">
      <c r="A129" s="30">
        <v>46129</v>
      </c>
      <c r="B129" s="20"/>
      <c r="C129" s="20"/>
      <c r="D129" s="20" t="s">
        <v>21</v>
      </c>
      <c r="E129" s="20" t="s">
        <v>43</v>
      </c>
      <c r="F129" s="19" t="s">
        <v>199</v>
      </c>
      <c r="G129" s="21">
        <v>14700</v>
      </c>
      <c r="H129" s="20"/>
      <c r="I129" s="20"/>
      <c r="J129" s="41">
        <f>J128+Table234535[[#This Row],[AMOUNT]]-Table234535[[#This Row],[AMOUNT2]]-Table234535[[#This Row],[AMOUNT3]]</f>
        <v>-205597</v>
      </c>
      <c r="K129" s="79"/>
    </row>
    <row r="130" spans="1:12" hidden="1" x14ac:dyDescent="0.35">
      <c r="A130" s="30">
        <v>46129</v>
      </c>
      <c r="B130" s="20"/>
      <c r="C130" s="20"/>
      <c r="D130" s="20" t="s">
        <v>21</v>
      </c>
      <c r="E130" s="20" t="s">
        <v>43</v>
      </c>
      <c r="F130" s="19" t="s">
        <v>200</v>
      </c>
      <c r="G130" s="21">
        <v>9000</v>
      </c>
      <c r="H130" s="20"/>
      <c r="I130" s="20"/>
      <c r="J130" s="41">
        <f>J129+Table234535[[#This Row],[AMOUNT]]-Table234535[[#This Row],[AMOUNT2]]-Table234535[[#This Row],[AMOUNT3]]</f>
        <v>-214597</v>
      </c>
      <c r="K130" s="79"/>
    </row>
    <row r="131" spans="1:12" hidden="1" x14ac:dyDescent="0.35">
      <c r="A131" s="30">
        <v>46130</v>
      </c>
      <c r="B131" s="20" t="s">
        <v>45</v>
      </c>
      <c r="C131" s="45">
        <v>10000</v>
      </c>
      <c r="D131" s="20" t="s">
        <v>65</v>
      </c>
      <c r="E131" s="20" t="s">
        <v>34</v>
      </c>
      <c r="F131" s="19" t="s">
        <v>201</v>
      </c>
      <c r="G131" s="21">
        <v>75</v>
      </c>
      <c r="H131" s="20" t="s">
        <v>64</v>
      </c>
      <c r="I131" s="20">
        <v>10000</v>
      </c>
      <c r="J131" s="41">
        <f>J130+Table234535[[#This Row],[AMOUNT]]-Table234535[[#This Row],[AMOUNT2]]-Table234535[[#This Row],[AMOUNT3]]</f>
        <v>-214672</v>
      </c>
      <c r="K131" s="79"/>
    </row>
    <row r="132" spans="1:12" hidden="1" x14ac:dyDescent="0.35">
      <c r="A132" s="30">
        <v>46130</v>
      </c>
      <c r="B132" s="20" t="s">
        <v>45</v>
      </c>
      <c r="C132" s="45">
        <v>10000</v>
      </c>
      <c r="D132" s="20" t="s">
        <v>108</v>
      </c>
      <c r="E132" s="20" t="s">
        <v>682</v>
      </c>
      <c r="F132" s="19" t="s">
        <v>202</v>
      </c>
      <c r="G132" s="21">
        <v>1000</v>
      </c>
      <c r="H132" s="20"/>
      <c r="I132" s="20"/>
      <c r="J132" s="41">
        <f>J131+Table234535[[#This Row],[AMOUNT]]-Table234535[[#This Row],[AMOUNT2]]-Table234535[[#This Row],[AMOUNT3]]</f>
        <v>-205672</v>
      </c>
      <c r="K132" s="79"/>
    </row>
    <row r="133" spans="1:12" hidden="1" x14ac:dyDescent="0.35">
      <c r="A133" s="30">
        <v>46130</v>
      </c>
      <c r="B133" s="20" t="s">
        <v>45</v>
      </c>
      <c r="C133" s="45">
        <v>1850</v>
      </c>
      <c r="D133" s="20" t="s">
        <v>108</v>
      </c>
      <c r="E133" s="20" t="s">
        <v>20</v>
      </c>
      <c r="F133" s="19" t="s">
        <v>203</v>
      </c>
      <c r="G133" s="21">
        <v>400</v>
      </c>
      <c r="H133" s="20"/>
      <c r="I133" s="20"/>
      <c r="J133" s="41">
        <f>J132+Table234535[[#This Row],[AMOUNT]]-Table234535[[#This Row],[AMOUNT2]]-Table234535[[#This Row],[AMOUNT3]]</f>
        <v>-204222</v>
      </c>
      <c r="K133" s="79"/>
    </row>
    <row r="134" spans="1:12" hidden="1" x14ac:dyDescent="0.35">
      <c r="A134" s="30">
        <v>46130</v>
      </c>
      <c r="B134" s="20" t="s">
        <v>45</v>
      </c>
      <c r="C134" s="45">
        <v>13000</v>
      </c>
      <c r="D134" s="20" t="s">
        <v>65</v>
      </c>
      <c r="E134" s="20" t="s">
        <v>16</v>
      </c>
      <c r="F134" s="19" t="s">
        <v>70</v>
      </c>
      <c r="G134" s="21">
        <f>1*900</f>
        <v>900</v>
      </c>
      <c r="H134" s="20"/>
      <c r="I134" s="20"/>
      <c r="J134" s="41">
        <f>J133+Table234535[[#This Row],[AMOUNT]]-Table234535[[#This Row],[AMOUNT2]]-Table234535[[#This Row],[AMOUNT3]]</f>
        <v>-192122</v>
      </c>
      <c r="K134" s="79"/>
    </row>
    <row r="135" spans="1:12" hidden="1" x14ac:dyDescent="0.35">
      <c r="A135" s="30">
        <v>46130</v>
      </c>
      <c r="B135" s="20" t="s">
        <v>45</v>
      </c>
      <c r="C135" s="45">
        <v>2500</v>
      </c>
      <c r="D135" s="20" t="s">
        <v>91</v>
      </c>
      <c r="E135" s="20" t="s">
        <v>68</v>
      </c>
      <c r="F135" s="19" t="s">
        <v>122</v>
      </c>
      <c r="G135" s="21">
        <f>6*700</f>
        <v>4200</v>
      </c>
      <c r="H135" s="20"/>
      <c r="I135" s="20"/>
      <c r="J135" s="41">
        <f>J134+Table234535[[#This Row],[AMOUNT]]-Table234535[[#This Row],[AMOUNT2]]-Table234535[[#This Row],[AMOUNT3]]</f>
        <v>-193822</v>
      </c>
      <c r="K135" s="79"/>
    </row>
    <row r="136" spans="1:12" hidden="1" x14ac:dyDescent="0.35">
      <c r="A136" s="30">
        <v>46130</v>
      </c>
      <c r="B136" s="20" t="s">
        <v>32</v>
      </c>
      <c r="C136" s="45">
        <v>10000</v>
      </c>
      <c r="D136" s="20"/>
      <c r="E136" s="20"/>
      <c r="F136" s="19"/>
      <c r="G136" s="21"/>
      <c r="H136" s="20"/>
      <c r="I136" s="20"/>
      <c r="J136" s="41">
        <f>J135+Table234535[[#This Row],[AMOUNT]]-Table234535[[#This Row],[AMOUNT2]]-Table234535[[#This Row],[AMOUNT3]]</f>
        <v>-183822</v>
      </c>
      <c r="K136" s="79"/>
    </row>
    <row r="137" spans="1:12" hidden="1" x14ac:dyDescent="0.35">
      <c r="A137" s="30">
        <v>46130</v>
      </c>
      <c r="B137" s="20"/>
      <c r="C137" s="20"/>
      <c r="D137" s="20" t="s">
        <v>21</v>
      </c>
      <c r="E137" s="20" t="s">
        <v>27</v>
      </c>
      <c r="F137" s="19" t="s">
        <v>72</v>
      </c>
      <c r="G137" s="21">
        <v>10000</v>
      </c>
      <c r="H137" s="20"/>
      <c r="I137" s="20"/>
      <c r="J137" s="41">
        <f>J136+Table234535[[#This Row],[AMOUNT]]-Table234535[[#This Row],[AMOUNT2]]-Table234535[[#This Row],[AMOUNT3]]</f>
        <v>-193822</v>
      </c>
      <c r="K137" s="79"/>
    </row>
    <row r="138" spans="1:12" hidden="1" x14ac:dyDescent="0.35">
      <c r="A138" s="30">
        <v>46130</v>
      </c>
      <c r="B138" s="20"/>
      <c r="C138" s="20"/>
      <c r="D138" s="20" t="s">
        <v>91</v>
      </c>
      <c r="E138" s="20" t="s">
        <v>19</v>
      </c>
      <c r="F138" s="19" t="s">
        <v>117</v>
      </c>
      <c r="G138" s="21">
        <v>10000</v>
      </c>
      <c r="H138" s="20"/>
      <c r="I138" s="20"/>
      <c r="J138" s="41">
        <f>J137+Table234535[[#This Row],[AMOUNT]]-Table234535[[#This Row],[AMOUNT2]]-Table234535[[#This Row],[AMOUNT3]]</f>
        <v>-203822</v>
      </c>
      <c r="K138" s="79"/>
    </row>
    <row r="139" spans="1:12" hidden="1" x14ac:dyDescent="0.35">
      <c r="A139" s="30">
        <v>46130</v>
      </c>
      <c r="B139" s="20"/>
      <c r="C139" s="20"/>
      <c r="D139" s="20" t="s">
        <v>65</v>
      </c>
      <c r="E139" s="20" t="s">
        <v>19</v>
      </c>
      <c r="F139" s="19" t="s">
        <v>93</v>
      </c>
      <c r="G139" s="21">
        <v>2500</v>
      </c>
      <c r="H139" s="20"/>
      <c r="I139" s="20"/>
      <c r="J139" s="41">
        <f>J138+Table234535[[#This Row],[AMOUNT]]-Table234535[[#This Row],[AMOUNT2]]-Table234535[[#This Row],[AMOUNT3]]</f>
        <v>-206322</v>
      </c>
      <c r="K139" s="79"/>
    </row>
    <row r="140" spans="1:12" hidden="1" x14ac:dyDescent="0.35">
      <c r="A140" s="30">
        <v>46131</v>
      </c>
      <c r="B140" s="20" t="s">
        <v>45</v>
      </c>
      <c r="C140" s="45">
        <v>6870</v>
      </c>
      <c r="D140" s="20" t="s">
        <v>91</v>
      </c>
      <c r="E140" s="20" t="s">
        <v>19</v>
      </c>
      <c r="F140" s="19" t="s">
        <v>117</v>
      </c>
      <c r="G140" s="21">
        <v>5000</v>
      </c>
      <c r="H140" s="20" t="s">
        <v>53</v>
      </c>
      <c r="I140" s="45">
        <v>10000</v>
      </c>
      <c r="J140" s="41">
        <f>J139+Table234535[[#This Row],[AMOUNT]]-Table234535[[#This Row],[AMOUNT2]]-Table234535[[#This Row],[AMOUNT3]]</f>
        <v>-214452</v>
      </c>
      <c r="K140" s="79"/>
      <c r="L140" t="s">
        <v>626</v>
      </c>
    </row>
    <row r="141" spans="1:12" hidden="1" x14ac:dyDescent="0.35">
      <c r="A141" s="30">
        <v>46131</v>
      </c>
      <c r="B141" s="20" t="s">
        <v>45</v>
      </c>
      <c r="C141" s="45">
        <v>7900</v>
      </c>
      <c r="D141" s="20" t="s">
        <v>65</v>
      </c>
      <c r="E141" s="20" t="s">
        <v>19</v>
      </c>
      <c r="F141" s="19" t="s">
        <v>106</v>
      </c>
      <c r="G141" s="21">
        <v>2500</v>
      </c>
      <c r="H141" s="20"/>
      <c r="I141" s="20"/>
      <c r="J141" s="41">
        <f>J140+Table234535[[#This Row],[AMOUNT]]-Table234535[[#This Row],[AMOUNT2]]-Table234535[[#This Row],[AMOUNT3]]</f>
        <v>-209052</v>
      </c>
      <c r="K141" s="79"/>
    </row>
    <row r="142" spans="1:12" hidden="1" x14ac:dyDescent="0.35">
      <c r="A142" s="30">
        <v>46131</v>
      </c>
      <c r="B142" s="20" t="s">
        <v>45</v>
      </c>
      <c r="C142" s="45">
        <v>2500</v>
      </c>
      <c r="D142" s="20" t="s">
        <v>91</v>
      </c>
      <c r="E142" s="20" t="s">
        <v>68</v>
      </c>
      <c r="F142" s="19" t="s">
        <v>123</v>
      </c>
      <c r="G142" s="21">
        <f>4*700</f>
        <v>2800</v>
      </c>
      <c r="H142" s="20"/>
      <c r="I142" s="20"/>
      <c r="J142" s="41">
        <f>J141+Table234535[[#This Row],[AMOUNT]]-Table234535[[#This Row],[AMOUNT2]]-Table234535[[#This Row],[AMOUNT3]]</f>
        <v>-209352</v>
      </c>
      <c r="K142" s="79"/>
    </row>
    <row r="143" spans="1:12" hidden="1" x14ac:dyDescent="0.35">
      <c r="A143" s="30">
        <v>46131</v>
      </c>
      <c r="B143" s="20"/>
      <c r="C143" s="20"/>
      <c r="D143" s="20" t="s">
        <v>65</v>
      </c>
      <c r="E143" s="20" t="s">
        <v>16</v>
      </c>
      <c r="F143" s="19" t="s">
        <v>70</v>
      </c>
      <c r="G143" s="21">
        <f>1*900</f>
        <v>900</v>
      </c>
      <c r="H143" s="20"/>
      <c r="I143" s="20"/>
      <c r="J143" s="41">
        <f>J142+Table234535[[#This Row],[AMOUNT]]-Table234535[[#This Row],[AMOUNT2]]-Table234535[[#This Row],[AMOUNT3]]</f>
        <v>-210252</v>
      </c>
      <c r="K143" s="79"/>
    </row>
    <row r="144" spans="1:12" hidden="1" x14ac:dyDescent="0.35">
      <c r="A144" s="30">
        <v>46131</v>
      </c>
      <c r="B144" s="20"/>
      <c r="C144" s="20"/>
      <c r="D144" s="20" t="s">
        <v>108</v>
      </c>
      <c r="E144" s="20" t="s">
        <v>68</v>
      </c>
      <c r="F144" s="19" t="s">
        <v>215</v>
      </c>
      <c r="G144" s="21">
        <f>1*750</f>
        <v>750</v>
      </c>
      <c r="H144" s="20"/>
      <c r="I144" s="20"/>
      <c r="J144" s="41">
        <f>J143+Table234535[[#This Row],[AMOUNT]]-Table234535[[#This Row],[AMOUNT2]]-Table234535[[#This Row],[AMOUNT3]]</f>
        <v>-211002</v>
      </c>
      <c r="K144" s="79"/>
    </row>
    <row r="145" spans="1:11" hidden="1" x14ac:dyDescent="0.35">
      <c r="A145" s="30">
        <v>46131</v>
      </c>
      <c r="B145" s="20"/>
      <c r="C145" s="20"/>
      <c r="D145" s="20" t="s">
        <v>108</v>
      </c>
      <c r="E145" s="20" t="s">
        <v>679</v>
      </c>
      <c r="F145" s="19" t="s">
        <v>1</v>
      </c>
      <c r="G145" s="21">
        <v>500</v>
      </c>
      <c r="H145" s="20"/>
      <c r="I145" s="20"/>
      <c r="J145" s="41">
        <f>J144+Table234535[[#This Row],[AMOUNT]]-Table234535[[#This Row],[AMOUNT2]]-Table234535[[#This Row],[AMOUNT3]]</f>
        <v>-211502</v>
      </c>
      <c r="K145" s="79"/>
    </row>
    <row r="146" spans="1:11" hidden="1" x14ac:dyDescent="0.35">
      <c r="A146" s="30">
        <v>46131</v>
      </c>
      <c r="B146" s="20"/>
      <c r="C146" s="20"/>
      <c r="D146" s="20" t="s">
        <v>65</v>
      </c>
      <c r="E146" s="20" t="s">
        <v>679</v>
      </c>
      <c r="F146" s="19" t="s">
        <v>1</v>
      </c>
      <c r="G146" s="21">
        <v>500</v>
      </c>
      <c r="H146" s="20"/>
      <c r="I146" s="20"/>
      <c r="J146" s="41">
        <f>J145+Table234535[[#This Row],[AMOUNT]]-Table234535[[#This Row],[AMOUNT2]]-Table234535[[#This Row],[AMOUNT3]]</f>
        <v>-212002</v>
      </c>
      <c r="K146" s="79"/>
    </row>
    <row r="147" spans="1:11" hidden="1" x14ac:dyDescent="0.35">
      <c r="A147" s="30">
        <v>46131</v>
      </c>
      <c r="B147" s="20"/>
      <c r="C147" s="20"/>
      <c r="D147" s="8" t="s">
        <v>953</v>
      </c>
      <c r="E147" s="20" t="s">
        <v>20</v>
      </c>
      <c r="F147" s="19" t="s">
        <v>204</v>
      </c>
      <c r="G147" s="21">
        <v>6870</v>
      </c>
      <c r="H147" s="20"/>
      <c r="I147" s="20"/>
      <c r="J147" s="41">
        <f>J146+Table234535[[#This Row],[AMOUNT]]-Table234535[[#This Row],[AMOUNT2]]-Table234535[[#This Row],[AMOUNT3]]</f>
        <v>-218872</v>
      </c>
      <c r="K147" s="79"/>
    </row>
    <row r="148" spans="1:11" hidden="1" x14ac:dyDescent="0.35">
      <c r="A148" s="30">
        <v>46131</v>
      </c>
      <c r="B148" s="20"/>
      <c r="C148" s="20"/>
      <c r="D148" s="20" t="s">
        <v>21</v>
      </c>
      <c r="E148" s="20" t="s">
        <v>82</v>
      </c>
      <c r="F148" s="19" t="s">
        <v>205</v>
      </c>
      <c r="G148" s="21">
        <v>500</v>
      </c>
      <c r="H148" s="20"/>
      <c r="I148" s="20"/>
      <c r="J148" s="41">
        <f>J147+Table234535[[#This Row],[AMOUNT]]-Table234535[[#This Row],[AMOUNT2]]-Table234535[[#This Row],[AMOUNT3]]</f>
        <v>-219372</v>
      </c>
      <c r="K148" s="79"/>
    </row>
    <row r="149" spans="1:11" hidden="1" x14ac:dyDescent="0.35">
      <c r="A149" s="30">
        <v>46132</v>
      </c>
      <c r="B149" s="20" t="s">
        <v>45</v>
      </c>
      <c r="C149" s="45">
        <v>2000</v>
      </c>
      <c r="D149" s="20" t="s">
        <v>108</v>
      </c>
      <c r="E149" s="20" t="s">
        <v>68</v>
      </c>
      <c r="F149" s="19" t="s">
        <v>215</v>
      </c>
      <c r="G149" s="21">
        <f>1*750</f>
        <v>750</v>
      </c>
      <c r="H149" s="20" t="s">
        <v>64</v>
      </c>
      <c r="I149" s="20">
        <v>1000</v>
      </c>
      <c r="J149" s="41">
        <f>J148+Table234535[[#This Row],[AMOUNT]]-Table234535[[#This Row],[AMOUNT2]]-Table234535[[#This Row],[AMOUNT3]]</f>
        <v>-219122</v>
      </c>
      <c r="K149" s="79"/>
    </row>
    <row r="150" spans="1:11" hidden="1" x14ac:dyDescent="0.35">
      <c r="A150" s="30">
        <v>46132</v>
      </c>
      <c r="B150" s="20" t="s">
        <v>45</v>
      </c>
      <c r="C150" s="45">
        <v>13000</v>
      </c>
      <c r="D150" s="20" t="s">
        <v>65</v>
      </c>
      <c r="E150" s="20" t="s">
        <v>16</v>
      </c>
      <c r="F150" s="19" t="s">
        <v>70</v>
      </c>
      <c r="G150" s="21">
        <f>1*900</f>
        <v>900</v>
      </c>
      <c r="H150" s="20"/>
      <c r="I150" s="20"/>
      <c r="J150" s="41">
        <f>J149+Table234535[[#This Row],[AMOUNT]]-Table234535[[#This Row],[AMOUNT2]]-Table234535[[#This Row],[AMOUNT3]]</f>
        <v>-207022</v>
      </c>
      <c r="K150" s="79"/>
    </row>
    <row r="151" spans="1:11" hidden="1" x14ac:dyDescent="0.35">
      <c r="A151" s="30">
        <v>46132</v>
      </c>
      <c r="B151" s="20" t="s">
        <v>45</v>
      </c>
      <c r="C151" s="45">
        <v>2800</v>
      </c>
      <c r="D151" s="20" t="s">
        <v>91</v>
      </c>
      <c r="E151" s="20" t="s">
        <v>68</v>
      </c>
      <c r="F151" s="19" t="s">
        <v>123</v>
      </c>
      <c r="G151" s="21">
        <f>4*700</f>
        <v>2800</v>
      </c>
      <c r="H151" s="20"/>
      <c r="I151" s="20"/>
      <c r="J151" s="41">
        <f>J150+Table234535[[#This Row],[AMOUNT]]-Table234535[[#This Row],[AMOUNT2]]-Table234535[[#This Row],[AMOUNT3]]</f>
        <v>-207022</v>
      </c>
      <c r="K151" s="79"/>
    </row>
    <row r="152" spans="1:11" hidden="1" x14ac:dyDescent="0.35">
      <c r="A152" s="30">
        <v>46132</v>
      </c>
      <c r="B152" s="20" t="s">
        <v>32</v>
      </c>
      <c r="C152" s="45">
        <v>1000</v>
      </c>
      <c r="D152" s="20" t="s">
        <v>108</v>
      </c>
      <c r="E152" s="20" t="s">
        <v>682</v>
      </c>
      <c r="F152" s="19" t="s">
        <v>206</v>
      </c>
      <c r="G152" s="21">
        <v>1000</v>
      </c>
      <c r="H152" s="20"/>
      <c r="I152" s="20"/>
      <c r="J152" s="41">
        <f>J151+Table234535[[#This Row],[AMOUNT]]-Table234535[[#This Row],[AMOUNT2]]-Table234535[[#This Row],[AMOUNT3]]</f>
        <v>-207022</v>
      </c>
      <c r="K152" s="79"/>
    </row>
    <row r="153" spans="1:11" hidden="1" x14ac:dyDescent="0.35">
      <c r="A153" s="30">
        <v>46132</v>
      </c>
      <c r="B153" s="20"/>
      <c r="C153" s="20"/>
      <c r="D153" s="20" t="s">
        <v>91</v>
      </c>
      <c r="E153" s="20" t="s">
        <v>682</v>
      </c>
      <c r="F153" s="19" t="s">
        <v>207</v>
      </c>
      <c r="G153" s="21">
        <v>1000</v>
      </c>
      <c r="H153" s="20"/>
      <c r="I153" s="20"/>
      <c r="J153" s="41">
        <f>J152+Table234535[[#This Row],[AMOUNT]]-Table234535[[#This Row],[AMOUNT2]]-Table234535[[#This Row],[AMOUNT3]]</f>
        <v>-208022</v>
      </c>
      <c r="K153" s="79"/>
    </row>
    <row r="154" spans="1:11" hidden="1" x14ac:dyDescent="0.35">
      <c r="A154" s="30">
        <v>46133</v>
      </c>
      <c r="B154" s="20" t="s">
        <v>32</v>
      </c>
      <c r="C154" s="45">
        <v>10000</v>
      </c>
      <c r="D154" s="20" t="s">
        <v>91</v>
      </c>
      <c r="E154" s="20" t="s">
        <v>68</v>
      </c>
      <c r="F154" s="19" t="s">
        <v>123</v>
      </c>
      <c r="G154" s="21">
        <f>4*700</f>
        <v>2800</v>
      </c>
      <c r="H154" s="20" t="s">
        <v>23</v>
      </c>
      <c r="I154" s="45">
        <v>5000</v>
      </c>
      <c r="J154" s="41">
        <f>J153+Table234535[[#This Row],[AMOUNT]]-Table234535[[#This Row],[AMOUNT2]]-Table234535[[#This Row],[AMOUNT3]]</f>
        <v>-205822</v>
      </c>
      <c r="K154" s="79"/>
    </row>
    <row r="155" spans="1:11" hidden="1" x14ac:dyDescent="0.35">
      <c r="A155" s="30">
        <v>46133</v>
      </c>
      <c r="B155" s="20" t="s">
        <v>45</v>
      </c>
      <c r="C155" s="45">
        <v>2800</v>
      </c>
      <c r="D155" s="20" t="s">
        <v>91</v>
      </c>
      <c r="E155" s="20" t="s">
        <v>38</v>
      </c>
      <c r="F155" s="19" t="s">
        <v>225</v>
      </c>
      <c r="G155" s="21">
        <v>600</v>
      </c>
      <c r="H155" s="20"/>
      <c r="I155" s="20"/>
      <c r="J155" s="41">
        <f>J154+Table234535[[#This Row],[AMOUNT]]-Table234535[[#This Row],[AMOUNT2]]-Table234535[[#This Row],[AMOUNT3]]</f>
        <v>-203622</v>
      </c>
      <c r="K155" s="79"/>
    </row>
    <row r="156" spans="1:11" hidden="1" x14ac:dyDescent="0.35">
      <c r="A156" s="30">
        <v>46133</v>
      </c>
      <c r="B156" s="20"/>
      <c r="C156" s="20"/>
      <c r="D156" s="20" t="s">
        <v>91</v>
      </c>
      <c r="E156" s="20" t="s">
        <v>34</v>
      </c>
      <c r="F156" s="19" t="s">
        <v>226</v>
      </c>
      <c r="G156" s="21">
        <v>250</v>
      </c>
      <c r="H156" s="20"/>
      <c r="I156" s="20"/>
      <c r="J156" s="41">
        <f>J155+Table234535[[#This Row],[AMOUNT]]-Table234535[[#This Row],[AMOUNT2]]-Table234535[[#This Row],[AMOUNT3]]</f>
        <v>-203872</v>
      </c>
      <c r="K156" s="79"/>
    </row>
    <row r="157" spans="1:11" hidden="1" x14ac:dyDescent="0.35">
      <c r="A157" s="30">
        <v>46133</v>
      </c>
      <c r="B157" s="20"/>
      <c r="C157" s="20"/>
      <c r="D157" s="20" t="s">
        <v>65</v>
      </c>
      <c r="E157" s="20" t="s">
        <v>16</v>
      </c>
      <c r="F157" s="19" t="s">
        <v>70</v>
      </c>
      <c r="G157" s="21">
        <f>1*900</f>
        <v>900</v>
      </c>
      <c r="H157" s="20"/>
      <c r="I157" s="20"/>
      <c r="J157" s="41">
        <f>J156+Table234535[[#This Row],[AMOUNT]]-Table234535[[#This Row],[AMOUNT2]]-Table234535[[#This Row],[AMOUNT3]]</f>
        <v>-204772</v>
      </c>
      <c r="K157" s="79"/>
    </row>
    <row r="158" spans="1:11" hidden="1" x14ac:dyDescent="0.35">
      <c r="A158" s="30">
        <v>46133</v>
      </c>
      <c r="B158" s="20"/>
      <c r="C158" s="20"/>
      <c r="D158" s="20" t="s">
        <v>65</v>
      </c>
      <c r="E158" s="20" t="s">
        <v>682</v>
      </c>
      <c r="F158" s="19" t="s">
        <v>227</v>
      </c>
      <c r="G158" s="21">
        <v>300</v>
      </c>
      <c r="H158" s="20"/>
      <c r="I158" s="20"/>
      <c r="J158" s="41">
        <f>J157+Table234535[[#This Row],[AMOUNT]]-Table234535[[#This Row],[AMOUNT2]]-Table234535[[#This Row],[AMOUNT3]]</f>
        <v>-205072</v>
      </c>
      <c r="K158" s="79"/>
    </row>
    <row r="159" spans="1:11" hidden="1" x14ac:dyDescent="0.35">
      <c r="A159" s="30">
        <v>46133</v>
      </c>
      <c r="B159" s="20"/>
      <c r="C159" s="20"/>
      <c r="D159" s="20" t="s">
        <v>21</v>
      </c>
      <c r="E159" s="20" t="s">
        <v>67</v>
      </c>
      <c r="F159" s="19" t="s">
        <v>228</v>
      </c>
      <c r="G159" s="21">
        <v>100</v>
      </c>
      <c r="H159" s="20"/>
      <c r="I159" s="20"/>
      <c r="J159" s="41">
        <f>J158+Table234535[[#This Row],[AMOUNT]]-Table234535[[#This Row],[AMOUNT2]]-Table234535[[#This Row],[AMOUNT3]]</f>
        <v>-205172</v>
      </c>
      <c r="K159" s="79"/>
    </row>
    <row r="160" spans="1:11" hidden="1" x14ac:dyDescent="0.35">
      <c r="A160" s="30">
        <v>46134</v>
      </c>
      <c r="B160" s="20" t="s">
        <v>45</v>
      </c>
      <c r="C160" s="45">
        <v>2000</v>
      </c>
      <c r="D160" s="20" t="s">
        <v>21</v>
      </c>
      <c r="E160" s="20" t="s">
        <v>67</v>
      </c>
      <c r="F160" s="19" t="s">
        <v>228</v>
      </c>
      <c r="G160" s="21">
        <v>540</v>
      </c>
      <c r="H160" s="20"/>
      <c r="I160" s="20"/>
      <c r="J160" s="41">
        <f>J159+Table234535[[#This Row],[AMOUNT]]-Table234535[[#This Row],[AMOUNT2]]-Table234535[[#This Row],[AMOUNT3]]</f>
        <v>-203712</v>
      </c>
      <c r="K160" s="79"/>
    </row>
    <row r="161" spans="1:14" hidden="1" x14ac:dyDescent="0.35">
      <c r="A161" s="30">
        <v>46134</v>
      </c>
      <c r="B161" s="20" t="s">
        <v>45</v>
      </c>
      <c r="C161" s="45">
        <v>350</v>
      </c>
      <c r="D161" s="20" t="s">
        <v>65</v>
      </c>
      <c r="E161" s="20" t="s">
        <v>16</v>
      </c>
      <c r="F161" s="19" t="s">
        <v>70</v>
      </c>
      <c r="G161" s="21">
        <f>1*900</f>
        <v>900</v>
      </c>
      <c r="H161" s="20"/>
      <c r="I161" s="20"/>
      <c r="J161" s="41">
        <f>J160+Table234535[[#This Row],[AMOUNT]]-Table234535[[#This Row],[AMOUNT2]]-Table234535[[#This Row],[AMOUNT3]]</f>
        <v>-204262</v>
      </c>
      <c r="K161" s="79"/>
    </row>
    <row r="162" spans="1:14" hidden="1" x14ac:dyDescent="0.35">
      <c r="A162" s="30">
        <v>46134</v>
      </c>
      <c r="B162" s="20"/>
      <c r="C162" s="20"/>
      <c r="D162" s="20" t="s">
        <v>91</v>
      </c>
      <c r="E162" s="20" t="s">
        <v>68</v>
      </c>
      <c r="F162" s="19" t="s">
        <v>121</v>
      </c>
      <c r="G162" s="21">
        <f>3*700</f>
        <v>2100</v>
      </c>
      <c r="H162" s="20"/>
      <c r="I162" s="20"/>
      <c r="J162" s="41">
        <f>J161+Table234535[[#This Row],[AMOUNT]]-Table234535[[#This Row],[AMOUNT2]]-Table234535[[#This Row],[AMOUNT3]]</f>
        <v>-206362</v>
      </c>
      <c r="K162" s="79"/>
    </row>
    <row r="163" spans="1:14" hidden="1" x14ac:dyDescent="0.35">
      <c r="A163" s="30">
        <v>46134</v>
      </c>
      <c r="B163" s="20"/>
      <c r="C163" s="20"/>
      <c r="D163" s="20" t="s">
        <v>91</v>
      </c>
      <c r="E163" s="20" t="s">
        <v>34</v>
      </c>
      <c r="F163" s="19" t="s">
        <v>231</v>
      </c>
      <c r="G163" s="21">
        <v>250</v>
      </c>
      <c r="H163" s="20"/>
      <c r="I163" s="20"/>
      <c r="J163" s="41">
        <f>J162+Table234535[[#This Row],[AMOUNT]]-Table234535[[#This Row],[AMOUNT2]]-Table234535[[#This Row],[AMOUNT3]]</f>
        <v>-206612</v>
      </c>
      <c r="K163" s="79"/>
    </row>
    <row r="164" spans="1:14" hidden="1" x14ac:dyDescent="0.35">
      <c r="A164" s="30">
        <v>46134</v>
      </c>
      <c r="B164" s="20"/>
      <c r="C164" s="20"/>
      <c r="D164" s="20" t="s">
        <v>91</v>
      </c>
      <c r="E164" s="20" t="s">
        <v>682</v>
      </c>
      <c r="F164" s="19" t="s">
        <v>229</v>
      </c>
      <c r="G164" s="21">
        <v>1000</v>
      </c>
      <c r="H164" s="20"/>
      <c r="I164" s="20"/>
      <c r="J164" s="41">
        <f>J163+Table234535[[#This Row],[AMOUNT]]-Table234535[[#This Row],[AMOUNT2]]-Table234535[[#This Row],[AMOUNT3]]</f>
        <v>-207612</v>
      </c>
      <c r="K164" s="79"/>
    </row>
    <row r="165" spans="1:14" hidden="1" x14ac:dyDescent="0.35">
      <c r="A165" s="30">
        <v>46135</v>
      </c>
      <c r="B165" s="20" t="s">
        <v>230</v>
      </c>
      <c r="C165" s="45">
        <v>100000</v>
      </c>
      <c r="D165" s="20" t="s">
        <v>21</v>
      </c>
      <c r="E165" s="20" t="s">
        <v>82</v>
      </c>
      <c r="F165" s="19" t="s">
        <v>80</v>
      </c>
      <c r="G165" s="21">
        <v>350</v>
      </c>
      <c r="H165" s="20" t="s">
        <v>64</v>
      </c>
      <c r="I165" s="20">
        <v>1000</v>
      </c>
      <c r="J165" s="41">
        <f>J164+Table234535[[#This Row],[AMOUNT]]-Table234535[[#This Row],[AMOUNT2]]-Table234535[[#This Row],[AMOUNT3]]</f>
        <v>-108962</v>
      </c>
      <c r="K165" s="79"/>
      <c r="N165">
        <v>641389</v>
      </c>
    </row>
    <row r="166" spans="1:14" hidden="1" x14ac:dyDescent="0.35">
      <c r="A166" s="30">
        <v>46135</v>
      </c>
      <c r="B166" s="20" t="s">
        <v>45</v>
      </c>
      <c r="C166" s="45">
        <v>3400</v>
      </c>
      <c r="D166" s="20" t="s">
        <v>65</v>
      </c>
      <c r="E166" s="20" t="s">
        <v>16</v>
      </c>
      <c r="F166" s="19" t="s">
        <v>70</v>
      </c>
      <c r="G166" s="21">
        <f>1*900</f>
        <v>900</v>
      </c>
      <c r="H166" s="20"/>
      <c r="I166" s="20"/>
      <c r="J166" s="41">
        <f>J165+Table234535[[#This Row],[AMOUNT]]-Table234535[[#This Row],[AMOUNT2]]-Table234535[[#This Row],[AMOUNT3]]</f>
        <v>-106462</v>
      </c>
      <c r="K166" s="79"/>
    </row>
    <row r="167" spans="1:14" hidden="1" x14ac:dyDescent="0.35">
      <c r="A167" s="30">
        <v>46135</v>
      </c>
      <c r="B167" s="20" t="s">
        <v>45</v>
      </c>
      <c r="C167" s="45">
        <v>1000</v>
      </c>
      <c r="D167" s="20" t="s">
        <v>91</v>
      </c>
      <c r="E167" s="20" t="s">
        <v>68</v>
      </c>
      <c r="F167" s="19" t="s">
        <v>109</v>
      </c>
      <c r="G167" s="21">
        <f>5*700</f>
        <v>3500</v>
      </c>
      <c r="H167" s="20"/>
      <c r="I167" s="20"/>
      <c r="J167" s="41">
        <f>J166+Table234535[[#This Row],[AMOUNT]]-Table234535[[#This Row],[AMOUNT2]]-Table234535[[#This Row],[AMOUNT3]]</f>
        <v>-108962</v>
      </c>
      <c r="K167" s="79"/>
    </row>
    <row r="168" spans="1:14" hidden="1" x14ac:dyDescent="0.35">
      <c r="A168" s="30">
        <v>46135</v>
      </c>
      <c r="B168" s="20"/>
      <c r="C168" s="20"/>
      <c r="D168" s="20" t="s">
        <v>91</v>
      </c>
      <c r="E168" s="20" t="s">
        <v>34</v>
      </c>
      <c r="F168" s="19" t="s">
        <v>232</v>
      </c>
      <c r="G168" s="21">
        <v>270</v>
      </c>
      <c r="H168" s="20"/>
      <c r="I168" s="20"/>
      <c r="J168" s="41">
        <f>J167+Table234535[[#This Row],[AMOUNT]]-Table234535[[#This Row],[AMOUNT2]]-Table234535[[#This Row],[AMOUNT3]]</f>
        <v>-109232</v>
      </c>
      <c r="K168" s="79"/>
    </row>
    <row r="169" spans="1:14" hidden="1" x14ac:dyDescent="0.35">
      <c r="A169" s="30">
        <v>46135</v>
      </c>
      <c r="B169" s="20"/>
      <c r="C169" s="20"/>
      <c r="D169" s="20" t="s">
        <v>91</v>
      </c>
      <c r="E169" s="20" t="s">
        <v>20</v>
      </c>
      <c r="F169" s="19" t="s">
        <v>112</v>
      </c>
      <c r="G169" s="21">
        <v>6000</v>
      </c>
      <c r="H169" s="20"/>
      <c r="I169" s="20"/>
      <c r="J169" s="41">
        <f>J168+Table234535[[#This Row],[AMOUNT]]-Table234535[[#This Row],[AMOUNT2]]-Table234535[[#This Row],[AMOUNT3]]</f>
        <v>-115232</v>
      </c>
      <c r="K169" s="79"/>
    </row>
    <row r="170" spans="1:14" hidden="1" x14ac:dyDescent="0.35">
      <c r="A170" s="30">
        <v>46135</v>
      </c>
      <c r="B170" s="20"/>
      <c r="C170" s="20"/>
      <c r="D170" s="20" t="s">
        <v>65</v>
      </c>
      <c r="E170" s="20" t="s">
        <v>34</v>
      </c>
      <c r="F170" s="19" t="s">
        <v>233</v>
      </c>
      <c r="G170" s="21">
        <v>1370</v>
      </c>
      <c r="H170" s="20"/>
      <c r="I170" s="20"/>
      <c r="J170" s="41">
        <f>J169+Table234535[[#This Row],[AMOUNT]]-Table234535[[#This Row],[AMOUNT2]]-Table234535[[#This Row],[AMOUNT3]]</f>
        <v>-116602</v>
      </c>
      <c r="K170" s="79"/>
    </row>
    <row r="171" spans="1:14" hidden="1" x14ac:dyDescent="0.35">
      <c r="A171" s="30">
        <v>46136</v>
      </c>
      <c r="B171" s="20" t="s">
        <v>45</v>
      </c>
      <c r="C171" s="45">
        <v>2750</v>
      </c>
      <c r="D171" s="20" t="s">
        <v>65</v>
      </c>
      <c r="E171" s="20" t="s">
        <v>34</v>
      </c>
      <c r="F171" s="19" t="s">
        <v>235</v>
      </c>
      <c r="G171" s="21">
        <v>1200</v>
      </c>
      <c r="H171" s="20"/>
      <c r="I171" s="20"/>
      <c r="J171" s="41">
        <f>J170+Table234535[[#This Row],[AMOUNT]]-Table234535[[#This Row],[AMOUNT2]]-Table234535[[#This Row],[AMOUNT3]]</f>
        <v>-115052</v>
      </c>
      <c r="K171" s="79"/>
    </row>
    <row r="172" spans="1:14" hidden="1" x14ac:dyDescent="0.35">
      <c r="A172" s="30">
        <v>46136</v>
      </c>
      <c r="B172" s="20"/>
      <c r="C172" s="20"/>
      <c r="D172" s="20"/>
      <c r="E172" s="20"/>
      <c r="F172" s="19"/>
      <c r="G172" s="21"/>
      <c r="H172" s="20"/>
      <c r="I172" s="20"/>
      <c r="J172" s="41">
        <f>J171+Table234535[[#This Row],[AMOUNT]]-Table234535[[#This Row],[AMOUNT2]]-Table234535[[#This Row],[AMOUNT3]]</f>
        <v>-115052</v>
      </c>
      <c r="K172" s="79"/>
    </row>
    <row r="173" spans="1:14" hidden="1" x14ac:dyDescent="0.35">
      <c r="A173" s="30">
        <v>46136</v>
      </c>
      <c r="B173" s="20"/>
      <c r="C173" s="20"/>
      <c r="D173" s="20" t="s">
        <v>234</v>
      </c>
      <c r="E173" s="20" t="s">
        <v>68</v>
      </c>
      <c r="F173" s="19" t="s">
        <v>83</v>
      </c>
      <c r="G173" s="21">
        <f>1*800</f>
        <v>800</v>
      </c>
      <c r="H173" s="20"/>
      <c r="I173" s="20"/>
      <c r="J173" s="41">
        <f>J172+Table234535[[#This Row],[AMOUNT]]-Table234535[[#This Row],[AMOUNT2]]-Table234535[[#This Row],[AMOUNT3]]</f>
        <v>-115852</v>
      </c>
      <c r="K173" s="79"/>
    </row>
    <row r="174" spans="1:14" hidden="1" x14ac:dyDescent="0.35">
      <c r="A174" s="30">
        <v>46136</v>
      </c>
      <c r="B174" s="20"/>
      <c r="C174" s="20"/>
      <c r="D174" s="20" t="s">
        <v>65</v>
      </c>
      <c r="E174" s="20" t="s">
        <v>682</v>
      </c>
      <c r="F174" s="19" t="s">
        <v>89</v>
      </c>
      <c r="G174" s="21">
        <v>400</v>
      </c>
      <c r="H174" s="20"/>
      <c r="I174" s="20"/>
      <c r="J174" s="41">
        <f>J173+Table234535[[#This Row],[AMOUNT]]-Table234535[[#This Row],[AMOUNT2]]-Table234535[[#This Row],[AMOUNT3]]</f>
        <v>-116252</v>
      </c>
      <c r="K174" s="79"/>
    </row>
    <row r="175" spans="1:14" hidden="1" x14ac:dyDescent="0.35">
      <c r="A175" s="30">
        <v>46136</v>
      </c>
      <c r="B175" s="20"/>
      <c r="C175" s="20"/>
      <c r="D175" s="20" t="s">
        <v>91</v>
      </c>
      <c r="E175" s="20" t="s">
        <v>68</v>
      </c>
      <c r="F175" s="19" t="s">
        <v>123</v>
      </c>
      <c r="G175" s="21">
        <f>4*700</f>
        <v>2800</v>
      </c>
      <c r="H175" s="20"/>
      <c r="I175" s="20"/>
      <c r="J175" s="41">
        <f>J174+Table234535[[#This Row],[AMOUNT]]-Table234535[[#This Row],[AMOUNT2]]-Table234535[[#This Row],[AMOUNT3]]</f>
        <v>-119052</v>
      </c>
      <c r="K175" s="79"/>
    </row>
    <row r="176" spans="1:14" hidden="1" x14ac:dyDescent="0.35">
      <c r="A176" s="30">
        <v>46136</v>
      </c>
      <c r="B176" s="20"/>
      <c r="C176" s="20"/>
      <c r="D176" s="20" t="s">
        <v>21</v>
      </c>
      <c r="E176" s="20" t="s">
        <v>82</v>
      </c>
      <c r="F176" s="19" t="s">
        <v>205</v>
      </c>
      <c r="G176" s="21">
        <v>200</v>
      </c>
      <c r="H176" s="20"/>
      <c r="I176" s="20"/>
      <c r="J176" s="41">
        <f>J175+Table234535[[#This Row],[AMOUNT]]-Table234535[[#This Row],[AMOUNT2]]-Table234535[[#This Row],[AMOUNT3]]</f>
        <v>-119252</v>
      </c>
      <c r="K176" s="79"/>
    </row>
    <row r="177" spans="1:11" hidden="1" x14ac:dyDescent="0.35">
      <c r="A177" s="30">
        <v>46136</v>
      </c>
      <c r="B177" s="20"/>
      <c r="C177" s="20"/>
      <c r="D177" s="20" t="s">
        <v>65</v>
      </c>
      <c r="E177" s="20" t="s">
        <v>682</v>
      </c>
      <c r="F177" s="19" t="s">
        <v>255</v>
      </c>
      <c r="G177" s="21">
        <v>200</v>
      </c>
      <c r="H177" s="20"/>
      <c r="I177" s="20"/>
      <c r="J177" s="41">
        <f>J176+Table234535[[#This Row],[AMOUNT]]-Table234535[[#This Row],[AMOUNT2]]-Table234535[[#This Row],[AMOUNT3]]</f>
        <v>-119452</v>
      </c>
      <c r="K177" s="79"/>
    </row>
    <row r="178" spans="1:11" hidden="1" x14ac:dyDescent="0.35">
      <c r="A178" s="30">
        <v>46136</v>
      </c>
      <c r="B178" s="20"/>
      <c r="C178" s="20"/>
      <c r="D178" s="20" t="s">
        <v>91</v>
      </c>
      <c r="E178" s="20" t="s">
        <v>682</v>
      </c>
      <c r="F178" s="19" t="s">
        <v>256</v>
      </c>
      <c r="G178" s="21">
        <v>1200</v>
      </c>
      <c r="H178" s="20"/>
      <c r="I178" s="20"/>
      <c r="J178" s="41">
        <f>J177+Table234535[[#This Row],[AMOUNT]]-Table234535[[#This Row],[AMOUNT2]]-Table234535[[#This Row],[AMOUNT3]]</f>
        <v>-120652</v>
      </c>
      <c r="K178" s="79"/>
    </row>
    <row r="179" spans="1:11" hidden="1" x14ac:dyDescent="0.35">
      <c r="A179" s="30">
        <v>46136</v>
      </c>
      <c r="B179" s="20"/>
      <c r="C179" s="20"/>
      <c r="D179" s="20" t="s">
        <v>234</v>
      </c>
      <c r="E179" s="20" t="s">
        <v>68</v>
      </c>
      <c r="F179" s="19" t="s">
        <v>83</v>
      </c>
      <c r="G179" s="21">
        <f>1*800</f>
        <v>800</v>
      </c>
      <c r="H179" s="20"/>
      <c r="I179" s="20"/>
      <c r="J179" s="41">
        <f>J178+Table234535[[#This Row],[AMOUNT]]-Table234535[[#This Row],[AMOUNT2]]-Table234535[[#This Row],[AMOUNT3]]</f>
        <v>-121452</v>
      </c>
      <c r="K179" s="79"/>
    </row>
    <row r="180" spans="1:11" hidden="1" x14ac:dyDescent="0.35">
      <c r="A180" s="30">
        <v>46137</v>
      </c>
      <c r="B180" s="20" t="s">
        <v>45</v>
      </c>
      <c r="C180" s="45">
        <v>3000</v>
      </c>
      <c r="D180" s="20" t="s">
        <v>65</v>
      </c>
      <c r="E180" s="20" t="s">
        <v>16</v>
      </c>
      <c r="F180" s="19" t="s">
        <v>70</v>
      </c>
      <c r="G180" s="21">
        <f>1*900</f>
        <v>900</v>
      </c>
      <c r="H180" s="20" t="s">
        <v>64</v>
      </c>
      <c r="I180" s="20">
        <v>3000</v>
      </c>
      <c r="J180" s="41">
        <f>J179+Table234535[[#This Row],[AMOUNT]]-Table234535[[#This Row],[AMOUNT2]]-Table234535[[#This Row],[AMOUNT3]]</f>
        <v>-122352</v>
      </c>
      <c r="K180" s="79"/>
    </row>
    <row r="181" spans="1:11" hidden="1" x14ac:dyDescent="0.35">
      <c r="A181" s="30">
        <v>46137</v>
      </c>
      <c r="B181" s="20" t="s">
        <v>45</v>
      </c>
      <c r="C181" s="45">
        <v>5200</v>
      </c>
      <c r="D181" s="20" t="s">
        <v>91</v>
      </c>
      <c r="E181" s="20" t="s">
        <v>68</v>
      </c>
      <c r="F181" s="19" t="s">
        <v>109</v>
      </c>
      <c r="G181" s="21">
        <f>5*700</f>
        <v>3500</v>
      </c>
      <c r="H181" s="20"/>
      <c r="I181" s="20"/>
      <c r="J181" s="41">
        <f>J180+Table234535[[#This Row],[AMOUNT]]-Table234535[[#This Row],[AMOUNT2]]-Table234535[[#This Row],[AMOUNT3]]</f>
        <v>-120652</v>
      </c>
      <c r="K181" s="79"/>
    </row>
    <row r="182" spans="1:11" hidden="1" x14ac:dyDescent="0.35">
      <c r="A182" s="30">
        <v>46137</v>
      </c>
      <c r="B182" s="20" t="s">
        <v>45</v>
      </c>
      <c r="C182" s="45">
        <v>7350</v>
      </c>
      <c r="D182" s="20" t="s">
        <v>234</v>
      </c>
      <c r="E182" s="20" t="s">
        <v>20</v>
      </c>
      <c r="F182" s="19" t="s">
        <v>266</v>
      </c>
      <c r="G182" s="21">
        <v>5200</v>
      </c>
      <c r="H182" s="20"/>
      <c r="I182" s="20"/>
      <c r="J182" s="41">
        <f>J181+Table234535[[#This Row],[AMOUNT]]-Table234535[[#This Row],[AMOUNT2]]-Table234535[[#This Row],[AMOUNT3]]</f>
        <v>-118502</v>
      </c>
      <c r="K182" s="79"/>
    </row>
    <row r="183" spans="1:11" hidden="1" x14ac:dyDescent="0.35">
      <c r="A183" s="30">
        <v>46137</v>
      </c>
      <c r="B183" s="20"/>
      <c r="C183" s="20"/>
      <c r="D183" s="20" t="s">
        <v>234</v>
      </c>
      <c r="E183" s="20" t="s">
        <v>68</v>
      </c>
      <c r="F183" s="19" t="s">
        <v>83</v>
      </c>
      <c r="G183" s="21">
        <f>1*800</f>
        <v>800</v>
      </c>
      <c r="H183" s="20"/>
      <c r="I183" s="20"/>
      <c r="J183" s="41">
        <f>J182+Table234535[[#This Row],[AMOUNT]]-Table234535[[#This Row],[AMOUNT2]]-Table234535[[#This Row],[AMOUNT3]]</f>
        <v>-119302</v>
      </c>
      <c r="K183" s="79"/>
    </row>
    <row r="184" spans="1:11" hidden="1" x14ac:dyDescent="0.35">
      <c r="A184" s="30">
        <v>46137</v>
      </c>
      <c r="B184" s="20"/>
      <c r="C184" s="20"/>
      <c r="D184" s="20" t="s">
        <v>21</v>
      </c>
      <c r="E184" s="20" t="s">
        <v>82</v>
      </c>
      <c r="F184" s="19" t="s">
        <v>90</v>
      </c>
      <c r="G184" s="21">
        <v>2000</v>
      </c>
      <c r="H184" s="20"/>
      <c r="I184" s="20"/>
      <c r="J184" s="41">
        <f>J183+Table234535[[#This Row],[AMOUNT]]-Table234535[[#This Row],[AMOUNT2]]-Table234535[[#This Row],[AMOUNT3]]</f>
        <v>-121302</v>
      </c>
      <c r="K184" s="79"/>
    </row>
    <row r="185" spans="1:11" hidden="1" x14ac:dyDescent="0.35">
      <c r="A185" s="30">
        <v>46137</v>
      </c>
      <c r="B185" s="20"/>
      <c r="C185" s="20"/>
      <c r="D185" s="20" t="s">
        <v>91</v>
      </c>
      <c r="E185" s="20" t="s">
        <v>19</v>
      </c>
      <c r="F185" s="19" t="s">
        <v>107</v>
      </c>
      <c r="G185" s="21">
        <v>4000</v>
      </c>
      <c r="H185" s="20"/>
      <c r="I185" s="20"/>
      <c r="J185" s="41">
        <f>J184+Table234535[[#This Row],[AMOUNT]]-Table234535[[#This Row],[AMOUNT2]]-Table234535[[#This Row],[AMOUNT3]]</f>
        <v>-125302</v>
      </c>
      <c r="K185" s="79"/>
    </row>
    <row r="186" spans="1:11" hidden="1" x14ac:dyDescent="0.35">
      <c r="A186" s="30">
        <v>46137</v>
      </c>
      <c r="B186" s="20"/>
      <c r="C186" s="20"/>
      <c r="D186" s="20" t="s">
        <v>91</v>
      </c>
      <c r="E186" s="20" t="s">
        <v>20</v>
      </c>
      <c r="F186" s="19" t="s">
        <v>267</v>
      </c>
      <c r="G186" s="21">
        <v>1000</v>
      </c>
      <c r="H186" s="20"/>
      <c r="I186" s="20"/>
      <c r="J186" s="41">
        <f>J185+Table234535[[#This Row],[AMOUNT]]-Table234535[[#This Row],[AMOUNT2]]-Table234535[[#This Row],[AMOUNT3]]</f>
        <v>-126302</v>
      </c>
      <c r="K186" s="79"/>
    </row>
    <row r="187" spans="1:11" hidden="1" x14ac:dyDescent="0.35">
      <c r="A187" s="30">
        <v>46137</v>
      </c>
      <c r="B187" s="20"/>
      <c r="C187" s="20"/>
      <c r="D187" s="20" t="s">
        <v>91</v>
      </c>
      <c r="E187" s="20" t="s">
        <v>34</v>
      </c>
      <c r="F187" s="19" t="s">
        <v>268</v>
      </c>
      <c r="G187" s="21">
        <v>170</v>
      </c>
      <c r="H187" s="20"/>
      <c r="I187" s="20"/>
      <c r="J187" s="41">
        <f>J186+Table234535[[#This Row],[AMOUNT]]-Table234535[[#This Row],[AMOUNT2]]-Table234535[[#This Row],[AMOUNT3]]</f>
        <v>-126472</v>
      </c>
      <c r="K187" s="79"/>
    </row>
    <row r="188" spans="1:11" hidden="1" x14ac:dyDescent="0.35">
      <c r="A188" s="30">
        <v>46137</v>
      </c>
      <c r="B188" s="20"/>
      <c r="C188" s="20"/>
      <c r="D188" s="20" t="s">
        <v>65</v>
      </c>
      <c r="E188" s="20" t="s">
        <v>16</v>
      </c>
      <c r="F188" s="19" t="s">
        <v>70</v>
      </c>
      <c r="G188" s="21">
        <f>1*900</f>
        <v>900</v>
      </c>
      <c r="H188" s="20"/>
      <c r="I188" s="20"/>
      <c r="J188" s="41">
        <f>J187+Table234535[[#This Row],[AMOUNT]]-Table234535[[#This Row],[AMOUNT2]]-Table234535[[#This Row],[AMOUNT3]]</f>
        <v>-127372</v>
      </c>
      <c r="K188" s="79"/>
    </row>
    <row r="189" spans="1:11" hidden="1" x14ac:dyDescent="0.35">
      <c r="A189" s="30">
        <v>46138</v>
      </c>
      <c r="B189" s="20"/>
      <c r="C189" s="20"/>
      <c r="D189" s="20" t="s">
        <v>91</v>
      </c>
      <c r="E189" s="20" t="s">
        <v>68</v>
      </c>
      <c r="F189" s="19" t="s">
        <v>77</v>
      </c>
      <c r="G189" s="21">
        <f>6*700</f>
        <v>4200</v>
      </c>
      <c r="H189" s="20"/>
      <c r="I189" s="20"/>
      <c r="J189" s="41">
        <f>J188+Table234535[[#This Row],[AMOUNT]]-Table234535[[#This Row],[AMOUNT2]]-Table234535[[#This Row],[AMOUNT3]]</f>
        <v>-131572</v>
      </c>
      <c r="K189" s="79"/>
    </row>
    <row r="190" spans="1:11" hidden="1" x14ac:dyDescent="0.35">
      <c r="A190" s="30">
        <v>46138</v>
      </c>
      <c r="B190" s="20"/>
      <c r="C190" s="20"/>
      <c r="D190" s="20" t="s">
        <v>39</v>
      </c>
      <c r="E190" s="20" t="s">
        <v>679</v>
      </c>
      <c r="F190" s="19" t="s">
        <v>66</v>
      </c>
      <c r="G190" s="21">
        <v>1500</v>
      </c>
      <c r="H190" s="20"/>
      <c r="I190" s="20"/>
      <c r="J190" s="41">
        <f>J189+Table234535[[#This Row],[AMOUNT]]-Table234535[[#This Row],[AMOUNT2]]-Table234535[[#This Row],[AMOUNT3]]</f>
        <v>-133072</v>
      </c>
      <c r="K190" s="79"/>
    </row>
    <row r="191" spans="1:11" hidden="1" x14ac:dyDescent="0.35">
      <c r="A191" s="30">
        <v>46138</v>
      </c>
      <c r="B191" s="20"/>
      <c r="C191" s="20"/>
      <c r="D191" s="20" t="s">
        <v>234</v>
      </c>
      <c r="E191" s="20" t="s">
        <v>68</v>
      </c>
      <c r="F191" s="19" t="s">
        <v>83</v>
      </c>
      <c r="G191" s="21">
        <f>1*800</f>
        <v>800</v>
      </c>
      <c r="H191" s="20"/>
      <c r="I191" s="20"/>
      <c r="J191" s="41">
        <f>J190+Table234535[[#This Row],[AMOUNT]]-Table234535[[#This Row],[AMOUNT2]]-Table234535[[#This Row],[AMOUNT3]]</f>
        <v>-133872</v>
      </c>
      <c r="K191" s="79"/>
    </row>
    <row r="192" spans="1:11" hidden="1" x14ac:dyDescent="0.35">
      <c r="A192" s="30">
        <v>46138</v>
      </c>
      <c r="B192" s="20"/>
      <c r="C192" s="20"/>
      <c r="D192" s="20" t="s">
        <v>65</v>
      </c>
      <c r="E192" s="20" t="s">
        <v>679</v>
      </c>
      <c r="F192" s="19" t="s">
        <v>1</v>
      </c>
      <c r="G192" s="21">
        <v>500</v>
      </c>
      <c r="H192" s="20"/>
      <c r="I192" s="20"/>
      <c r="J192" s="41">
        <f>J191+Table234535[[#This Row],[AMOUNT]]-Table234535[[#This Row],[AMOUNT2]]-Table234535[[#This Row],[AMOUNT3]]</f>
        <v>-134372</v>
      </c>
      <c r="K192" s="79"/>
    </row>
    <row r="193" spans="1:11" hidden="1" x14ac:dyDescent="0.35">
      <c r="A193" s="30">
        <v>46138</v>
      </c>
      <c r="B193" s="20"/>
      <c r="C193" s="20"/>
      <c r="D193" s="20" t="s">
        <v>91</v>
      </c>
      <c r="E193" s="20" t="s">
        <v>679</v>
      </c>
      <c r="F193" s="19" t="s">
        <v>1</v>
      </c>
      <c r="G193" s="21">
        <v>500</v>
      </c>
      <c r="H193" s="20"/>
      <c r="I193" s="20"/>
      <c r="J193" s="41">
        <f>J192+Table234535[[#This Row],[AMOUNT]]-Table234535[[#This Row],[AMOUNT2]]-Table234535[[#This Row],[AMOUNT3]]</f>
        <v>-134872</v>
      </c>
      <c r="K193" s="79"/>
    </row>
    <row r="194" spans="1:11" hidden="1" x14ac:dyDescent="0.35">
      <c r="A194" s="30">
        <v>46138</v>
      </c>
      <c r="B194" s="20"/>
      <c r="C194" s="20"/>
      <c r="D194" s="20" t="s">
        <v>234</v>
      </c>
      <c r="E194" s="20" t="s">
        <v>20</v>
      </c>
      <c r="F194" s="19" t="s">
        <v>269</v>
      </c>
      <c r="G194" s="21">
        <v>2000</v>
      </c>
      <c r="H194" s="20"/>
      <c r="I194" s="20"/>
      <c r="J194" s="41">
        <f>J193+Table234535[[#This Row],[AMOUNT]]-Table234535[[#This Row],[AMOUNT2]]-Table234535[[#This Row],[AMOUNT3]]</f>
        <v>-136872</v>
      </c>
      <c r="K194" s="79"/>
    </row>
    <row r="195" spans="1:11" hidden="1" x14ac:dyDescent="0.35">
      <c r="A195" s="30">
        <v>46138</v>
      </c>
      <c r="B195" s="20"/>
      <c r="C195" s="20"/>
      <c r="D195" s="20" t="s">
        <v>234</v>
      </c>
      <c r="E195" s="20" t="s">
        <v>682</v>
      </c>
      <c r="F195" s="19" t="s">
        <v>270</v>
      </c>
      <c r="G195" s="21">
        <v>150</v>
      </c>
      <c r="H195" s="20"/>
      <c r="I195" s="20"/>
      <c r="J195" s="41">
        <f>J194+Table234535[[#This Row],[AMOUNT]]-Table234535[[#This Row],[AMOUNT2]]-Table234535[[#This Row],[AMOUNT3]]</f>
        <v>-137022</v>
      </c>
      <c r="K195" s="79"/>
    </row>
    <row r="196" spans="1:11" hidden="1" x14ac:dyDescent="0.35">
      <c r="A196" s="30">
        <v>46138</v>
      </c>
      <c r="B196" s="20"/>
      <c r="C196" s="20"/>
      <c r="D196" s="20" t="s">
        <v>91</v>
      </c>
      <c r="E196" s="20" t="s">
        <v>679</v>
      </c>
      <c r="F196" s="19" t="s">
        <v>271</v>
      </c>
      <c r="G196" s="21">
        <v>200</v>
      </c>
      <c r="H196" s="20"/>
      <c r="I196" s="20"/>
      <c r="J196" s="41">
        <f>J195+Table234535[[#This Row],[AMOUNT]]-Table234535[[#This Row],[AMOUNT2]]-Table234535[[#This Row],[AMOUNT3]]</f>
        <v>-137222</v>
      </c>
      <c r="K196" s="79"/>
    </row>
    <row r="197" spans="1:11" hidden="1" x14ac:dyDescent="0.35">
      <c r="A197" s="30">
        <v>46138</v>
      </c>
      <c r="B197" s="20"/>
      <c r="C197" s="20"/>
      <c r="D197" s="20" t="s">
        <v>65</v>
      </c>
      <c r="E197" s="20" t="s">
        <v>34</v>
      </c>
      <c r="F197" s="19" t="s">
        <v>272</v>
      </c>
      <c r="G197" s="21">
        <v>1130</v>
      </c>
      <c r="H197" s="20"/>
      <c r="I197" s="20"/>
      <c r="J197" s="41">
        <f>J196+Table234535[[#This Row],[AMOUNT]]-Table234535[[#This Row],[AMOUNT2]]-Table234535[[#This Row],[AMOUNT3]]</f>
        <v>-138352</v>
      </c>
      <c r="K197" s="79"/>
    </row>
    <row r="198" spans="1:11" hidden="1" x14ac:dyDescent="0.35">
      <c r="A198" s="30">
        <v>46138</v>
      </c>
      <c r="B198" s="20"/>
      <c r="C198" s="20"/>
      <c r="D198" s="20" t="s">
        <v>65</v>
      </c>
      <c r="E198" s="20" t="s">
        <v>34</v>
      </c>
      <c r="F198" s="19" t="s">
        <v>273</v>
      </c>
      <c r="G198" s="21">
        <v>450</v>
      </c>
      <c r="H198" s="20"/>
      <c r="I198" s="20"/>
      <c r="J198" s="41">
        <f>J197+Table234535[[#This Row],[AMOUNT]]-Table234535[[#This Row],[AMOUNT2]]-Table234535[[#This Row],[AMOUNT3]]</f>
        <v>-138802</v>
      </c>
      <c r="K198" s="79"/>
    </row>
    <row r="199" spans="1:11" hidden="1" x14ac:dyDescent="0.35">
      <c r="A199" s="30">
        <v>46139</v>
      </c>
      <c r="B199" s="20" t="s">
        <v>45</v>
      </c>
      <c r="C199" s="45">
        <v>7100</v>
      </c>
      <c r="D199" s="20" t="s">
        <v>21</v>
      </c>
      <c r="E199" s="20" t="s">
        <v>31</v>
      </c>
      <c r="F199" s="19" t="s">
        <v>104</v>
      </c>
      <c r="G199" s="21">
        <v>7100</v>
      </c>
      <c r="H199" s="20"/>
      <c r="I199" s="20"/>
      <c r="J199" s="41">
        <f>J198+Table234535[[#This Row],[AMOUNT]]-Table234535[[#This Row],[AMOUNT2]]-Table234535[[#This Row],[AMOUNT3]]</f>
        <v>-138802</v>
      </c>
      <c r="K199" s="79"/>
    </row>
    <row r="200" spans="1:11" hidden="1" x14ac:dyDescent="0.35">
      <c r="A200" s="30">
        <v>46139</v>
      </c>
      <c r="B200" s="20" t="s">
        <v>45</v>
      </c>
      <c r="C200" s="45">
        <v>5000</v>
      </c>
      <c r="D200" s="20" t="s">
        <v>91</v>
      </c>
      <c r="E200" s="20" t="s">
        <v>19</v>
      </c>
      <c r="F200" s="19" t="s">
        <v>105</v>
      </c>
      <c r="G200" s="21">
        <v>5000</v>
      </c>
      <c r="H200" s="20"/>
      <c r="I200" s="20"/>
      <c r="J200" s="41">
        <f>J199+Table234535[[#This Row],[AMOUNT]]-Table234535[[#This Row],[AMOUNT2]]-Table234535[[#This Row],[AMOUNT3]]</f>
        <v>-138802</v>
      </c>
      <c r="K200" s="79"/>
    </row>
    <row r="201" spans="1:11" x14ac:dyDescent="0.35">
      <c r="A201" s="30">
        <v>46139</v>
      </c>
      <c r="B201" s="20" t="s">
        <v>45</v>
      </c>
      <c r="C201" s="45">
        <v>4000</v>
      </c>
      <c r="D201" s="20" t="s">
        <v>21</v>
      </c>
      <c r="E201" s="20" t="s">
        <v>27</v>
      </c>
      <c r="F201" s="19" t="s">
        <v>1283</v>
      </c>
      <c r="G201" s="21">
        <v>4000</v>
      </c>
      <c r="H201" s="20"/>
      <c r="I201" s="20"/>
      <c r="J201" s="41">
        <f>J200+Table234535[[#This Row],[AMOUNT]]-Table234535[[#This Row],[AMOUNT2]]-Table234535[[#This Row],[AMOUNT3]]</f>
        <v>-138802</v>
      </c>
      <c r="K201" s="79"/>
    </row>
    <row r="202" spans="1:11" hidden="1" x14ac:dyDescent="0.35">
      <c r="A202" s="30">
        <v>46139</v>
      </c>
      <c r="B202" s="20" t="s">
        <v>45</v>
      </c>
      <c r="C202" s="45">
        <v>4500</v>
      </c>
      <c r="D202" s="20" t="s">
        <v>21</v>
      </c>
      <c r="E202" s="20" t="s">
        <v>82</v>
      </c>
      <c r="F202" s="19" t="s">
        <v>90</v>
      </c>
      <c r="G202" s="21">
        <v>5000</v>
      </c>
      <c r="H202" s="20"/>
      <c r="I202" s="20"/>
      <c r="J202" s="41">
        <f>J201+Table234535[[#This Row],[AMOUNT]]-Table234535[[#This Row],[AMOUNT2]]-Table234535[[#This Row],[AMOUNT3]]</f>
        <v>-139302</v>
      </c>
      <c r="K202" s="79"/>
    </row>
    <row r="203" spans="1:11" hidden="1" x14ac:dyDescent="0.35">
      <c r="A203" s="30">
        <v>46139</v>
      </c>
      <c r="B203" s="20" t="s">
        <v>32</v>
      </c>
      <c r="C203" s="45">
        <v>40000</v>
      </c>
      <c r="D203" s="20" t="s">
        <v>65</v>
      </c>
      <c r="E203" s="20" t="s">
        <v>19</v>
      </c>
      <c r="F203" s="19" t="s">
        <v>106</v>
      </c>
      <c r="G203" s="21">
        <v>4500</v>
      </c>
      <c r="H203" s="20"/>
      <c r="I203" s="20"/>
      <c r="J203" s="41">
        <f>J202+Table234535[[#This Row],[AMOUNT]]-Table234535[[#This Row],[AMOUNT2]]-Table234535[[#This Row],[AMOUNT3]]</f>
        <v>-103802</v>
      </c>
      <c r="K203" s="79"/>
    </row>
    <row r="204" spans="1:11" hidden="1" x14ac:dyDescent="0.35">
      <c r="A204" s="30">
        <v>46139</v>
      </c>
      <c r="B204" s="20" t="s">
        <v>45</v>
      </c>
      <c r="C204" s="45">
        <v>5000</v>
      </c>
      <c r="D204" s="20" t="s">
        <v>65</v>
      </c>
      <c r="E204" s="20" t="s">
        <v>16</v>
      </c>
      <c r="F204" s="19" t="s">
        <v>70</v>
      </c>
      <c r="G204" s="21">
        <f>1*900</f>
        <v>900</v>
      </c>
      <c r="H204" s="20"/>
      <c r="I204" s="20"/>
      <c r="J204" s="41">
        <f>J203+Table234535[[#This Row],[AMOUNT]]-Table234535[[#This Row],[AMOUNT2]]-Table234535[[#This Row],[AMOUNT3]]</f>
        <v>-99702</v>
      </c>
      <c r="K204" s="79"/>
    </row>
    <row r="205" spans="1:11" hidden="1" x14ac:dyDescent="0.35">
      <c r="A205" s="30">
        <v>46139</v>
      </c>
      <c r="B205" s="20"/>
      <c r="C205" s="20"/>
      <c r="D205" s="20" t="s">
        <v>91</v>
      </c>
      <c r="E205" s="20" t="s">
        <v>68</v>
      </c>
      <c r="F205" s="19" t="s">
        <v>76</v>
      </c>
      <c r="G205" s="21">
        <f>4*700</f>
        <v>2800</v>
      </c>
      <c r="H205" s="20"/>
      <c r="I205" s="20"/>
      <c r="J205" s="41">
        <f>J204+Table234535[[#This Row],[AMOUNT]]-Table234535[[#This Row],[AMOUNT2]]-Table234535[[#This Row],[AMOUNT3]]</f>
        <v>-102502</v>
      </c>
      <c r="K205" s="79"/>
    </row>
    <row r="206" spans="1:11" hidden="1" x14ac:dyDescent="0.35">
      <c r="A206" s="30">
        <v>46139</v>
      </c>
      <c r="B206" s="20"/>
      <c r="C206" s="20"/>
      <c r="D206" s="20" t="s">
        <v>234</v>
      </c>
      <c r="E206" s="20" t="s">
        <v>68</v>
      </c>
      <c r="F206" s="19" t="s">
        <v>83</v>
      </c>
      <c r="G206" s="21">
        <f>1*800</f>
        <v>800</v>
      </c>
      <c r="H206" s="20"/>
      <c r="I206" s="20"/>
      <c r="J206" s="41">
        <f>J205+Table234535[[#This Row],[AMOUNT]]-Table234535[[#This Row],[AMOUNT2]]-Table234535[[#This Row],[AMOUNT3]]</f>
        <v>-103302</v>
      </c>
      <c r="K206" s="79"/>
    </row>
    <row r="207" spans="1:11" hidden="1" x14ac:dyDescent="0.35">
      <c r="A207" s="30">
        <v>46140</v>
      </c>
      <c r="B207" s="20" t="s">
        <v>45</v>
      </c>
      <c r="C207" s="45">
        <v>1600</v>
      </c>
      <c r="D207" s="20" t="s">
        <v>274</v>
      </c>
      <c r="E207" s="20" t="s">
        <v>16</v>
      </c>
      <c r="F207" s="19" t="s">
        <v>275</v>
      </c>
      <c r="G207" s="21">
        <f>1*800</f>
        <v>800</v>
      </c>
      <c r="H207" s="20"/>
      <c r="I207" s="20"/>
      <c r="J207" s="41">
        <f>J206+Table234535[[#This Row],[AMOUNT]]-Table234535[[#This Row],[AMOUNT2]]-Table234535[[#This Row],[AMOUNT3]]</f>
        <v>-102502</v>
      </c>
      <c r="K207" s="79"/>
    </row>
    <row r="208" spans="1:11" hidden="1" x14ac:dyDescent="0.35">
      <c r="A208" s="30">
        <v>46140</v>
      </c>
      <c r="B208" s="20"/>
      <c r="C208" s="20"/>
      <c r="D208" s="20" t="s">
        <v>274</v>
      </c>
      <c r="E208" s="20" t="s">
        <v>68</v>
      </c>
      <c r="F208" s="19" t="s">
        <v>276</v>
      </c>
      <c r="G208" s="21">
        <f>3*900-200</f>
        <v>2500</v>
      </c>
      <c r="H208" s="20"/>
      <c r="I208" s="20"/>
      <c r="J208" s="41">
        <f>J207+Table234535[[#This Row],[AMOUNT]]-Table234535[[#This Row],[AMOUNT2]]-Table234535[[#This Row],[AMOUNT3]]</f>
        <v>-105002</v>
      </c>
      <c r="K208" s="79"/>
    </row>
    <row r="209" spans="1:11" hidden="1" x14ac:dyDescent="0.35">
      <c r="A209" s="30">
        <v>46140</v>
      </c>
      <c r="B209" s="20"/>
      <c r="C209" s="20"/>
      <c r="D209" s="20" t="s">
        <v>91</v>
      </c>
      <c r="E209" s="20" t="s">
        <v>68</v>
      </c>
      <c r="F209" s="19" t="s">
        <v>76</v>
      </c>
      <c r="G209" s="21">
        <f>4*700</f>
        <v>2800</v>
      </c>
      <c r="H209" s="20"/>
      <c r="I209" s="20"/>
      <c r="J209" s="41">
        <f>J208+Table234535[[#This Row],[AMOUNT]]-Table234535[[#This Row],[AMOUNT2]]-Table234535[[#This Row],[AMOUNT3]]</f>
        <v>-107802</v>
      </c>
      <c r="K209" s="79"/>
    </row>
    <row r="210" spans="1:11" hidden="1" x14ac:dyDescent="0.35">
      <c r="A210" s="30">
        <v>46140</v>
      </c>
      <c r="B210" s="20"/>
      <c r="C210" s="20"/>
      <c r="D210" s="20" t="s">
        <v>234</v>
      </c>
      <c r="E210" s="20" t="s">
        <v>68</v>
      </c>
      <c r="F210" s="19" t="s">
        <v>83</v>
      </c>
      <c r="G210" s="21">
        <f>1*800</f>
        <v>800</v>
      </c>
      <c r="H210" s="20"/>
      <c r="I210" s="20"/>
      <c r="J210" s="41">
        <f>J209+Table234535[[#This Row],[AMOUNT]]-Table234535[[#This Row],[AMOUNT2]]-Table234535[[#This Row],[AMOUNT3]]</f>
        <v>-108602</v>
      </c>
      <c r="K210" s="79"/>
    </row>
    <row r="211" spans="1:11" hidden="1" x14ac:dyDescent="0.35">
      <c r="A211" s="30">
        <v>46140</v>
      </c>
      <c r="B211" s="20"/>
      <c r="C211" s="20"/>
      <c r="D211" s="20" t="s">
        <v>39</v>
      </c>
      <c r="E211" s="20" t="s">
        <v>0</v>
      </c>
      <c r="F211" s="19" t="s">
        <v>279</v>
      </c>
      <c r="G211" s="21">
        <v>500</v>
      </c>
      <c r="H211" s="20"/>
      <c r="I211" s="20"/>
      <c r="J211" s="41">
        <f>J210+Table234535[[#This Row],[AMOUNT]]-Table234535[[#This Row],[AMOUNT2]]-Table234535[[#This Row],[AMOUNT3]]</f>
        <v>-109102</v>
      </c>
      <c r="K211" s="79"/>
    </row>
    <row r="212" spans="1:11" hidden="1" x14ac:dyDescent="0.35">
      <c r="A212" s="30">
        <v>46140</v>
      </c>
      <c r="B212" s="20"/>
      <c r="C212" s="20"/>
      <c r="D212" s="20" t="s">
        <v>91</v>
      </c>
      <c r="E212" s="20" t="s">
        <v>34</v>
      </c>
      <c r="F212" s="19" t="s">
        <v>280</v>
      </c>
      <c r="G212" s="21">
        <v>360</v>
      </c>
      <c r="H212" s="20"/>
      <c r="I212" s="20"/>
      <c r="J212" s="41">
        <f>J211+Table234535[[#This Row],[AMOUNT]]-Table234535[[#This Row],[AMOUNT2]]-Table234535[[#This Row],[AMOUNT3]]</f>
        <v>-109462</v>
      </c>
      <c r="K212" s="79"/>
    </row>
    <row r="213" spans="1:11" hidden="1" x14ac:dyDescent="0.35">
      <c r="A213" s="30">
        <v>46141</v>
      </c>
      <c r="B213" s="20" t="s">
        <v>45</v>
      </c>
      <c r="C213" s="45">
        <v>3000</v>
      </c>
      <c r="D213" s="20" t="s">
        <v>21</v>
      </c>
      <c r="E213" s="20" t="s">
        <v>27</v>
      </c>
      <c r="F213" s="19" t="s">
        <v>28</v>
      </c>
      <c r="G213" s="21">
        <v>3000</v>
      </c>
      <c r="H213" s="20"/>
      <c r="I213" s="20"/>
      <c r="J213" s="41">
        <f>J212+Table234535[[#This Row],[AMOUNT]]-Table234535[[#This Row],[AMOUNT2]]-Table234535[[#This Row],[AMOUNT3]]</f>
        <v>-109462</v>
      </c>
      <c r="K213" s="79"/>
    </row>
    <row r="214" spans="1:11" hidden="1" x14ac:dyDescent="0.35">
      <c r="A214" s="30">
        <v>46141</v>
      </c>
      <c r="B214" s="20"/>
      <c r="C214" s="20"/>
      <c r="D214" s="20" t="s">
        <v>65</v>
      </c>
      <c r="E214" s="20" t="s">
        <v>16</v>
      </c>
      <c r="F214" s="19" t="s">
        <v>70</v>
      </c>
      <c r="G214" s="21">
        <f>1*900</f>
        <v>900</v>
      </c>
      <c r="H214" s="20"/>
      <c r="I214" s="20"/>
      <c r="J214" s="41">
        <f>J213+Table234535[[#This Row],[AMOUNT]]-Table234535[[#This Row],[AMOUNT2]]-Table234535[[#This Row],[AMOUNT3]]</f>
        <v>-110362</v>
      </c>
      <c r="K214" s="79"/>
    </row>
    <row r="215" spans="1:11" hidden="1" x14ac:dyDescent="0.35">
      <c r="A215" s="30">
        <v>46141</v>
      </c>
      <c r="B215" s="20"/>
      <c r="C215" s="20"/>
      <c r="D215" s="20" t="s">
        <v>91</v>
      </c>
      <c r="E215" s="20" t="s">
        <v>34</v>
      </c>
      <c r="F215" s="19" t="s">
        <v>277</v>
      </c>
      <c r="G215" s="21">
        <v>875</v>
      </c>
      <c r="H215" s="20"/>
      <c r="I215" s="20"/>
      <c r="J215" s="41">
        <f>J214+Table234535[[#This Row],[AMOUNT]]-Table234535[[#This Row],[AMOUNT2]]-Table234535[[#This Row],[AMOUNT3]]</f>
        <v>-111237</v>
      </c>
      <c r="K215" s="79"/>
    </row>
    <row r="216" spans="1:11" hidden="1" x14ac:dyDescent="0.35">
      <c r="A216" s="30">
        <v>46141</v>
      </c>
      <c r="B216" s="20"/>
      <c r="C216" s="20"/>
      <c r="D216" s="20" t="s">
        <v>91</v>
      </c>
      <c r="E216" s="20" t="s">
        <v>682</v>
      </c>
      <c r="F216" s="19" t="s">
        <v>278</v>
      </c>
      <c r="G216" s="21">
        <v>1200</v>
      </c>
      <c r="H216" s="20"/>
      <c r="I216" s="20"/>
      <c r="J216" s="41">
        <f>J215+Table234535[[#This Row],[AMOUNT]]-Table234535[[#This Row],[AMOUNT2]]-Table234535[[#This Row],[AMOUNT3]]</f>
        <v>-112437</v>
      </c>
      <c r="K216" s="79"/>
    </row>
    <row r="217" spans="1:11" hidden="1" x14ac:dyDescent="0.35">
      <c r="A217" s="30">
        <v>46141</v>
      </c>
      <c r="B217" s="20"/>
      <c r="C217" s="20"/>
      <c r="D217" s="20" t="s">
        <v>91</v>
      </c>
      <c r="E217" s="20" t="s">
        <v>68</v>
      </c>
      <c r="F217" s="19" t="s">
        <v>76</v>
      </c>
      <c r="G217" s="21">
        <f>4*700</f>
        <v>2800</v>
      </c>
      <c r="H217" s="20"/>
      <c r="I217" s="20"/>
      <c r="J217" s="41">
        <f>J216+Table234535[[#This Row],[AMOUNT]]-Table234535[[#This Row],[AMOUNT2]]-Table234535[[#This Row],[AMOUNT3]]</f>
        <v>-115237</v>
      </c>
      <c r="K217" s="79"/>
    </row>
    <row r="218" spans="1:11" hidden="1" x14ac:dyDescent="0.35">
      <c r="A218" s="30">
        <v>46141</v>
      </c>
      <c r="B218" s="20"/>
      <c r="C218" s="20"/>
      <c r="D218" s="20" t="s">
        <v>234</v>
      </c>
      <c r="E218" s="20" t="s">
        <v>68</v>
      </c>
      <c r="F218" s="19" t="s">
        <v>83</v>
      </c>
      <c r="G218" s="21">
        <f>1*800</f>
        <v>800</v>
      </c>
      <c r="H218" s="20"/>
      <c r="I218" s="20"/>
      <c r="J218" s="41">
        <f>J217+Table234535[[#This Row],[AMOUNT]]-Table234535[[#This Row],[AMOUNT2]]-Table234535[[#This Row],[AMOUNT3]]</f>
        <v>-116037</v>
      </c>
      <c r="K218" s="79"/>
    </row>
    <row r="219" spans="1:11" hidden="1" x14ac:dyDescent="0.35">
      <c r="A219" s="30">
        <v>46142</v>
      </c>
      <c r="B219" s="20" t="s">
        <v>45</v>
      </c>
      <c r="C219" s="45">
        <v>10000</v>
      </c>
      <c r="D219" s="20" t="s">
        <v>65</v>
      </c>
      <c r="E219" s="20" t="s">
        <v>16</v>
      </c>
      <c r="F219" s="19" t="s">
        <v>70</v>
      </c>
      <c r="G219" s="21">
        <f>1*900</f>
        <v>900</v>
      </c>
      <c r="H219" s="20"/>
      <c r="I219" s="20"/>
      <c r="J219" s="41">
        <f>J218+Table234535[[#This Row],[AMOUNT]]-Table234535[[#This Row],[AMOUNT2]]-Table234535[[#This Row],[AMOUNT3]]</f>
        <v>-106937</v>
      </c>
      <c r="K219" s="79"/>
    </row>
    <row r="220" spans="1:11" hidden="1" x14ac:dyDescent="0.35">
      <c r="A220" s="30">
        <v>46142</v>
      </c>
      <c r="B220" s="20" t="s">
        <v>32</v>
      </c>
      <c r="C220" s="45">
        <v>30000</v>
      </c>
      <c r="D220" s="20" t="s">
        <v>234</v>
      </c>
      <c r="E220" s="20" t="s">
        <v>68</v>
      </c>
      <c r="F220" s="19" t="s">
        <v>83</v>
      </c>
      <c r="G220" s="21">
        <f>1*800</f>
        <v>800</v>
      </c>
      <c r="H220" s="20"/>
      <c r="I220" s="20"/>
      <c r="J220" s="41">
        <f>J219+Table234535[[#This Row],[AMOUNT]]-Table234535[[#This Row],[AMOUNT2]]-Table234535[[#This Row],[AMOUNT3]]</f>
        <v>-77737</v>
      </c>
      <c r="K220" s="79"/>
    </row>
    <row r="221" spans="1:11" hidden="1" x14ac:dyDescent="0.35">
      <c r="A221" s="30">
        <v>46142</v>
      </c>
      <c r="B221" s="20"/>
      <c r="C221" s="20"/>
      <c r="D221" s="20" t="s">
        <v>91</v>
      </c>
      <c r="E221" s="20" t="s">
        <v>68</v>
      </c>
      <c r="F221" s="19" t="s">
        <v>76</v>
      </c>
      <c r="G221" s="21">
        <f>4*700</f>
        <v>2800</v>
      </c>
      <c r="H221" s="20"/>
      <c r="I221" s="20"/>
      <c r="J221" s="41">
        <f>J220+Table234535[[#This Row],[AMOUNT]]-Table234535[[#This Row],[AMOUNT2]]-Table234535[[#This Row],[AMOUNT3]]</f>
        <v>-80537</v>
      </c>
      <c r="K221" s="79"/>
    </row>
    <row r="222" spans="1:11" hidden="1" x14ac:dyDescent="0.35">
      <c r="A222" s="30">
        <v>46142</v>
      </c>
      <c r="B222" s="20"/>
      <c r="C222" s="20"/>
      <c r="D222" s="20" t="s">
        <v>39</v>
      </c>
      <c r="E222" s="20" t="s">
        <v>679</v>
      </c>
      <c r="F222" s="19" t="s">
        <v>22</v>
      </c>
      <c r="G222" s="21">
        <v>500</v>
      </c>
      <c r="H222" s="20"/>
      <c r="I222" s="20"/>
      <c r="J222" s="41">
        <f>J221+Table234535[[#This Row],[AMOUNT]]-Table234535[[#This Row],[AMOUNT2]]-Table234535[[#This Row],[AMOUNT3]]</f>
        <v>-81037</v>
      </c>
      <c r="K222" s="79"/>
    </row>
    <row r="223" spans="1:11" hidden="1" x14ac:dyDescent="0.35">
      <c r="A223" s="30">
        <v>46143</v>
      </c>
      <c r="B223" s="20" t="s">
        <v>45</v>
      </c>
      <c r="C223" s="45">
        <v>1600</v>
      </c>
      <c r="D223" s="20" t="s">
        <v>234</v>
      </c>
      <c r="E223" s="20" t="s">
        <v>68</v>
      </c>
      <c r="F223" s="19" t="s">
        <v>83</v>
      </c>
      <c r="G223" s="21">
        <f>1*800</f>
        <v>800</v>
      </c>
      <c r="H223" s="20"/>
      <c r="I223" s="20"/>
      <c r="J223" s="41">
        <f>J222+Table234535[[#This Row],[AMOUNT]]-Table234535[[#This Row],[AMOUNT2]]-Table234535[[#This Row],[AMOUNT3]]</f>
        <v>-80237</v>
      </c>
      <c r="K223" s="79"/>
    </row>
    <row r="224" spans="1:11" hidden="1" x14ac:dyDescent="0.35">
      <c r="A224" s="30">
        <v>46143</v>
      </c>
      <c r="B224" s="20"/>
      <c r="C224" s="20"/>
      <c r="D224" s="20" t="s">
        <v>39</v>
      </c>
      <c r="E224" s="20" t="s">
        <v>16</v>
      </c>
      <c r="F224" s="19" t="s">
        <v>70</v>
      </c>
      <c r="G224" s="21">
        <f>1*900</f>
        <v>900</v>
      </c>
      <c r="H224" s="20"/>
      <c r="I224" s="20"/>
      <c r="J224" s="41">
        <f>J223+Table234535[[#This Row],[AMOUNT]]-Table234535[[#This Row],[AMOUNT2]]-Table234535[[#This Row],[AMOUNT3]]</f>
        <v>-81137</v>
      </c>
      <c r="K224" s="79"/>
    </row>
    <row r="225" spans="1:11" hidden="1" x14ac:dyDescent="0.35">
      <c r="A225" s="30">
        <v>46143</v>
      </c>
      <c r="B225" s="20"/>
      <c r="C225" s="20"/>
      <c r="D225" s="20" t="s">
        <v>234</v>
      </c>
      <c r="E225" s="20" t="s">
        <v>20</v>
      </c>
      <c r="F225" s="19" t="s">
        <v>281</v>
      </c>
      <c r="G225" s="21">
        <v>1600</v>
      </c>
      <c r="H225" s="20"/>
      <c r="I225" s="20"/>
      <c r="J225" s="41">
        <f>J224+Table234535[[#This Row],[AMOUNT]]-Table234535[[#This Row],[AMOUNT2]]-Table234535[[#This Row],[AMOUNT3]]</f>
        <v>-82737</v>
      </c>
      <c r="K225" s="79"/>
    </row>
    <row r="226" spans="1:11" hidden="1" x14ac:dyDescent="0.35">
      <c r="A226" s="30">
        <v>46143</v>
      </c>
      <c r="B226" s="20"/>
      <c r="C226" s="20"/>
      <c r="D226" s="20" t="s">
        <v>39</v>
      </c>
      <c r="E226" s="20" t="s">
        <v>679</v>
      </c>
      <c r="F226" s="19" t="s">
        <v>1</v>
      </c>
      <c r="G226" s="21">
        <v>1000</v>
      </c>
      <c r="H226" s="20"/>
      <c r="I226" s="20"/>
      <c r="J226" s="41">
        <f>J225+Table234535[[#This Row],[AMOUNT]]-Table234535[[#This Row],[AMOUNT2]]-Table234535[[#This Row],[AMOUNT3]]</f>
        <v>-83737</v>
      </c>
      <c r="K226" s="79"/>
    </row>
    <row r="227" spans="1:11" hidden="1" x14ac:dyDescent="0.35">
      <c r="A227" s="30">
        <v>46143</v>
      </c>
      <c r="B227" s="20"/>
      <c r="C227" s="20"/>
      <c r="D227" s="20" t="s">
        <v>91</v>
      </c>
      <c r="E227" s="20" t="s">
        <v>68</v>
      </c>
      <c r="F227" s="19" t="s">
        <v>35</v>
      </c>
      <c r="G227" s="21">
        <f>1*700</f>
        <v>700</v>
      </c>
      <c r="H227" s="20"/>
      <c r="I227" s="20"/>
      <c r="J227" s="41">
        <f>J226+Table234535[[#This Row],[AMOUNT]]-Table234535[[#This Row],[AMOUNT2]]-Table234535[[#This Row],[AMOUNT3]]</f>
        <v>-84437</v>
      </c>
      <c r="K227" s="79"/>
    </row>
    <row r="228" spans="1:11" hidden="1" x14ac:dyDescent="0.35">
      <c r="A228" s="30">
        <v>46144</v>
      </c>
      <c r="B228" s="20" t="s">
        <v>45</v>
      </c>
      <c r="C228" s="45">
        <v>9000</v>
      </c>
      <c r="D228" s="20" t="s">
        <v>39</v>
      </c>
      <c r="E228" s="20" t="s">
        <v>20</v>
      </c>
      <c r="F228" s="19" t="s">
        <v>304</v>
      </c>
      <c r="G228" s="21">
        <v>9000</v>
      </c>
      <c r="H228" s="20"/>
      <c r="I228" s="20"/>
      <c r="J228" s="41">
        <f>J227+Table234535[[#This Row],[AMOUNT]]-Table234535[[#This Row],[AMOUNT2]]-Table234535[[#This Row],[AMOUNT3]]</f>
        <v>-84437</v>
      </c>
      <c r="K228" s="79"/>
    </row>
    <row r="229" spans="1:11" hidden="1" x14ac:dyDescent="0.35">
      <c r="A229" s="30">
        <v>46144</v>
      </c>
      <c r="B229" s="20" t="s">
        <v>45</v>
      </c>
      <c r="C229" s="45">
        <v>2700</v>
      </c>
      <c r="D229" s="20" t="s">
        <v>39</v>
      </c>
      <c r="E229" s="20" t="s">
        <v>34</v>
      </c>
      <c r="F229" s="19" t="s">
        <v>282</v>
      </c>
      <c r="G229" s="21">
        <v>2830</v>
      </c>
      <c r="H229" s="20"/>
      <c r="I229" s="20"/>
      <c r="J229" s="41">
        <f>J228+Table234535[[#This Row],[AMOUNT]]-Table234535[[#This Row],[AMOUNT2]]-Table234535[[#This Row],[AMOUNT3]]</f>
        <v>-84567</v>
      </c>
      <c r="K229" s="79"/>
    </row>
    <row r="230" spans="1:11" hidden="1" x14ac:dyDescent="0.35">
      <c r="A230" s="30">
        <v>46144</v>
      </c>
      <c r="B230" s="20" t="s">
        <v>45</v>
      </c>
      <c r="C230" s="45">
        <v>3650</v>
      </c>
      <c r="D230" s="20" t="s">
        <v>91</v>
      </c>
      <c r="E230" s="20" t="s">
        <v>68</v>
      </c>
      <c r="F230" s="19" t="s">
        <v>289</v>
      </c>
      <c r="G230" s="21">
        <f>5*700+1*800</f>
        <v>4300</v>
      </c>
      <c r="H230" s="20"/>
      <c r="I230" s="20"/>
      <c r="J230" s="41">
        <f>J229+Table234535[[#This Row],[AMOUNT]]-Table234535[[#This Row],[AMOUNT2]]-Table234535[[#This Row],[AMOUNT3]]</f>
        <v>-85217</v>
      </c>
      <c r="K230" s="79"/>
    </row>
    <row r="231" spans="1:11" hidden="1" x14ac:dyDescent="0.35">
      <c r="A231" s="30">
        <v>46144</v>
      </c>
      <c r="B231" s="20" t="s">
        <v>32</v>
      </c>
      <c r="C231" s="45">
        <v>10000</v>
      </c>
      <c r="D231" s="20" t="s">
        <v>91</v>
      </c>
      <c r="E231" s="20" t="s">
        <v>16</v>
      </c>
      <c r="F231" s="19" t="s">
        <v>286</v>
      </c>
      <c r="G231" s="21">
        <v>900</v>
      </c>
      <c r="H231" s="20"/>
      <c r="I231" s="20"/>
      <c r="J231" s="41">
        <f>J230+Table234535[[#This Row],[AMOUNT]]-Table234535[[#This Row],[AMOUNT2]]-Table234535[[#This Row],[AMOUNT3]]</f>
        <v>-76117</v>
      </c>
      <c r="K231" s="79"/>
    </row>
    <row r="232" spans="1:11" hidden="1" x14ac:dyDescent="0.35">
      <c r="A232" s="30">
        <v>46144</v>
      </c>
      <c r="B232" s="20"/>
      <c r="C232" s="20"/>
      <c r="D232" s="20" t="s">
        <v>234</v>
      </c>
      <c r="E232" s="20" t="s">
        <v>68</v>
      </c>
      <c r="F232" s="19" t="s">
        <v>83</v>
      </c>
      <c r="G232" s="21">
        <f>1*800</f>
        <v>800</v>
      </c>
      <c r="H232" s="20"/>
      <c r="I232" s="20"/>
      <c r="J232" s="41">
        <f>J231+Table234535[[#This Row],[AMOUNT]]-Table234535[[#This Row],[AMOUNT2]]-Table234535[[#This Row],[AMOUNT3]]</f>
        <v>-76917</v>
      </c>
      <c r="K232" s="79"/>
    </row>
    <row r="233" spans="1:11" hidden="1" x14ac:dyDescent="0.35">
      <c r="A233" s="30">
        <v>46144</v>
      </c>
      <c r="B233" s="20"/>
      <c r="C233" s="20"/>
      <c r="D233" s="20" t="s">
        <v>39</v>
      </c>
      <c r="E233" s="20" t="s">
        <v>16</v>
      </c>
      <c r="F233" s="19" t="s">
        <v>70</v>
      </c>
      <c r="G233" s="21">
        <f>1*900</f>
        <v>900</v>
      </c>
      <c r="H233" s="20"/>
      <c r="I233" s="20"/>
      <c r="J233" s="41">
        <f>J232+Table234535[[#This Row],[AMOUNT]]-Table234535[[#This Row],[AMOUNT2]]-Table234535[[#This Row],[AMOUNT3]]</f>
        <v>-77817</v>
      </c>
      <c r="K233" s="79"/>
    </row>
    <row r="234" spans="1:11" hidden="1" x14ac:dyDescent="0.35">
      <c r="A234" s="30">
        <v>46144</v>
      </c>
      <c r="B234" s="20"/>
      <c r="C234" s="20"/>
      <c r="D234" s="20" t="s">
        <v>39</v>
      </c>
      <c r="E234" s="20" t="s">
        <v>679</v>
      </c>
      <c r="F234" s="19" t="s">
        <v>283</v>
      </c>
      <c r="G234" s="21">
        <v>1000</v>
      </c>
      <c r="H234" s="20"/>
      <c r="I234" s="20"/>
      <c r="J234" s="41">
        <f>J233+Table234535[[#This Row],[AMOUNT]]-Table234535[[#This Row],[AMOUNT2]]-Table234535[[#This Row],[AMOUNT3]]</f>
        <v>-78817</v>
      </c>
      <c r="K234" s="79"/>
    </row>
    <row r="235" spans="1:11" hidden="1" x14ac:dyDescent="0.35">
      <c r="A235" s="30">
        <v>46144</v>
      </c>
      <c r="B235" s="20"/>
      <c r="C235" s="20"/>
      <c r="D235" s="20" t="s">
        <v>91</v>
      </c>
      <c r="E235" s="20" t="s">
        <v>20</v>
      </c>
      <c r="F235" s="19" t="s">
        <v>284</v>
      </c>
      <c r="G235" s="21">
        <v>2256</v>
      </c>
      <c r="H235" s="20"/>
      <c r="I235" s="20"/>
      <c r="J235" s="41">
        <f>J234+Table234535[[#This Row],[AMOUNT]]-Table234535[[#This Row],[AMOUNT2]]-Table234535[[#This Row],[AMOUNT3]]</f>
        <v>-81073</v>
      </c>
      <c r="K235" s="79"/>
    </row>
    <row r="236" spans="1:11" hidden="1" x14ac:dyDescent="0.35">
      <c r="A236" s="30">
        <v>46146</v>
      </c>
      <c r="B236" s="20" t="s">
        <v>45</v>
      </c>
      <c r="C236" s="45">
        <v>8800</v>
      </c>
      <c r="D236" s="20" t="s">
        <v>65</v>
      </c>
      <c r="E236" s="20" t="s">
        <v>68</v>
      </c>
      <c r="F236" s="19" t="s">
        <v>285</v>
      </c>
      <c r="G236" s="21">
        <f>2*800</f>
        <v>1600</v>
      </c>
      <c r="H236" s="20"/>
      <c r="I236" s="20"/>
      <c r="J236" s="41">
        <f>J235+Table234535[[#This Row],[AMOUNT]]-Table234535[[#This Row],[AMOUNT2]]-Table234535[[#This Row],[AMOUNT3]]</f>
        <v>-73873</v>
      </c>
      <c r="K236" s="79"/>
    </row>
    <row r="237" spans="1:11" hidden="1" x14ac:dyDescent="0.35">
      <c r="A237" s="30">
        <v>46146</v>
      </c>
      <c r="B237" s="20" t="s">
        <v>45</v>
      </c>
      <c r="C237" s="45">
        <v>9300</v>
      </c>
      <c r="D237" s="20" t="s">
        <v>65</v>
      </c>
      <c r="E237" s="20" t="s">
        <v>16</v>
      </c>
      <c r="F237" s="19" t="s">
        <v>70</v>
      </c>
      <c r="G237" s="21">
        <f>1*900</f>
        <v>900</v>
      </c>
      <c r="H237" s="20"/>
      <c r="I237" s="20"/>
      <c r="J237" s="41">
        <f>J236+Table234535[[#This Row],[AMOUNT]]-Table234535[[#This Row],[AMOUNT2]]-Table234535[[#This Row],[AMOUNT3]]</f>
        <v>-65473</v>
      </c>
      <c r="K237" s="79"/>
    </row>
    <row r="238" spans="1:11" hidden="1" x14ac:dyDescent="0.35">
      <c r="A238" s="30">
        <v>46146</v>
      </c>
      <c r="B238" s="20" t="s">
        <v>32</v>
      </c>
      <c r="C238" s="45">
        <v>10000</v>
      </c>
      <c r="D238" s="20" t="s">
        <v>91</v>
      </c>
      <c r="E238" s="20" t="s">
        <v>68</v>
      </c>
      <c r="F238" s="19" t="s">
        <v>287</v>
      </c>
      <c r="G238" s="21">
        <f>5*700</f>
        <v>3500</v>
      </c>
      <c r="H238" s="20"/>
      <c r="I238" s="20"/>
      <c r="J238" s="41">
        <f>J237+Table234535[[#This Row],[AMOUNT]]-Table234535[[#This Row],[AMOUNT2]]-Table234535[[#This Row],[AMOUNT3]]</f>
        <v>-58973</v>
      </c>
      <c r="K238" s="79"/>
    </row>
    <row r="239" spans="1:11" hidden="1" x14ac:dyDescent="0.35">
      <c r="A239" s="30">
        <v>46146</v>
      </c>
      <c r="B239" s="20"/>
      <c r="C239" s="20"/>
      <c r="D239" s="20" t="s">
        <v>91</v>
      </c>
      <c r="E239" s="20" t="s">
        <v>16</v>
      </c>
      <c r="F239" s="19" t="s">
        <v>288</v>
      </c>
      <c r="G239" s="21">
        <f>1*900</f>
        <v>900</v>
      </c>
      <c r="H239" s="20"/>
      <c r="I239" s="20"/>
      <c r="J239" s="41">
        <f>J238+Table234535[[#This Row],[AMOUNT]]-Table234535[[#This Row],[AMOUNT2]]-Table234535[[#This Row],[AMOUNT3]]</f>
        <v>-59873</v>
      </c>
      <c r="K239" s="79"/>
    </row>
    <row r="240" spans="1:11" hidden="1" x14ac:dyDescent="0.35">
      <c r="A240" s="30">
        <v>46146</v>
      </c>
      <c r="B240" s="20"/>
      <c r="C240" s="20"/>
      <c r="D240" s="20" t="s">
        <v>91</v>
      </c>
      <c r="E240" s="20" t="s">
        <v>68</v>
      </c>
      <c r="F240" s="19" t="s">
        <v>290</v>
      </c>
      <c r="G240" s="21">
        <f>4*700+1*800</f>
        <v>3600</v>
      </c>
      <c r="H240" s="20"/>
      <c r="I240" s="20"/>
      <c r="J240" s="41">
        <f>J239+Table234535[[#This Row],[AMOUNT]]-Table234535[[#This Row],[AMOUNT2]]-Table234535[[#This Row],[AMOUNT3]]</f>
        <v>-63473</v>
      </c>
      <c r="K240" s="79"/>
    </row>
    <row r="241" spans="1:11" hidden="1" x14ac:dyDescent="0.35">
      <c r="A241" s="30">
        <v>46146</v>
      </c>
      <c r="B241" s="20"/>
      <c r="C241" s="20"/>
      <c r="D241" s="20" t="s">
        <v>91</v>
      </c>
      <c r="E241" s="20" t="s">
        <v>16</v>
      </c>
      <c r="F241" s="19" t="s">
        <v>286</v>
      </c>
      <c r="G241" s="21">
        <f>1*900</f>
        <v>900</v>
      </c>
      <c r="H241" s="20"/>
      <c r="I241" s="20"/>
      <c r="J241" s="41">
        <f>J240+Table234535[[#This Row],[AMOUNT]]-Table234535[[#This Row],[AMOUNT2]]-Table234535[[#This Row],[AMOUNT3]]</f>
        <v>-64373</v>
      </c>
      <c r="K241" s="79"/>
    </row>
    <row r="242" spans="1:11" hidden="1" x14ac:dyDescent="0.35">
      <c r="A242" s="30">
        <v>46146</v>
      </c>
      <c r="B242" s="20"/>
      <c r="C242" s="20"/>
      <c r="D242" s="20" t="s">
        <v>234</v>
      </c>
      <c r="E242" s="20" t="s">
        <v>68</v>
      </c>
      <c r="F242" s="19" t="s">
        <v>291</v>
      </c>
      <c r="G242" s="21">
        <f>1*800</f>
        <v>800</v>
      </c>
      <c r="H242" s="20"/>
      <c r="I242" s="20"/>
      <c r="J242" s="41">
        <f>J241+Table234535[[#This Row],[AMOUNT]]-Table234535[[#This Row],[AMOUNT2]]-Table234535[[#This Row],[AMOUNT3]]</f>
        <v>-65173</v>
      </c>
      <c r="K242" s="79"/>
    </row>
    <row r="243" spans="1:11" hidden="1" x14ac:dyDescent="0.35">
      <c r="A243" s="30">
        <v>46146</v>
      </c>
      <c r="B243" s="20"/>
      <c r="C243" s="20"/>
      <c r="D243" s="20" t="s">
        <v>234</v>
      </c>
      <c r="E243" s="20" t="s">
        <v>68</v>
      </c>
      <c r="F243" s="19" t="s">
        <v>83</v>
      </c>
      <c r="G243" s="21">
        <f>1*800</f>
        <v>800</v>
      </c>
      <c r="H243" s="20"/>
      <c r="I243" s="20"/>
      <c r="J243" s="41">
        <f>J242+Table234535[[#This Row],[AMOUNT]]-Table234535[[#This Row],[AMOUNT2]]-Table234535[[#This Row],[AMOUNT3]]</f>
        <v>-65973</v>
      </c>
      <c r="K243" s="79"/>
    </row>
    <row r="244" spans="1:11" hidden="1" x14ac:dyDescent="0.35">
      <c r="A244" s="30">
        <v>46146</v>
      </c>
      <c r="B244" s="20"/>
      <c r="C244" s="20"/>
      <c r="D244" s="20" t="s">
        <v>39</v>
      </c>
      <c r="E244" s="20" t="s">
        <v>679</v>
      </c>
      <c r="F244" s="19" t="s">
        <v>292</v>
      </c>
      <c r="G244" s="21">
        <v>500</v>
      </c>
      <c r="H244" s="20"/>
      <c r="I244" s="20"/>
      <c r="J244" s="41">
        <f>J243+Table234535[[#This Row],[AMOUNT]]-Table234535[[#This Row],[AMOUNT2]]-Table234535[[#This Row],[AMOUNT3]]</f>
        <v>-66473</v>
      </c>
      <c r="K244" s="79"/>
    </row>
    <row r="245" spans="1:11" hidden="1" x14ac:dyDescent="0.35">
      <c r="A245" s="30">
        <v>46146</v>
      </c>
      <c r="B245" s="20"/>
      <c r="C245" s="20"/>
      <c r="D245" s="20" t="s">
        <v>91</v>
      </c>
      <c r="E245" s="20" t="s">
        <v>38</v>
      </c>
      <c r="F245" s="19" t="s">
        <v>293</v>
      </c>
      <c r="G245" s="21">
        <v>1000</v>
      </c>
      <c r="H245" s="20"/>
      <c r="I245" s="20"/>
      <c r="J245" s="41">
        <f>J244+Table234535[[#This Row],[AMOUNT]]-Table234535[[#This Row],[AMOUNT2]]-Table234535[[#This Row],[AMOUNT3]]</f>
        <v>-67473</v>
      </c>
      <c r="K245" s="79"/>
    </row>
    <row r="246" spans="1:11" hidden="1" x14ac:dyDescent="0.35">
      <c r="A246" s="30">
        <v>46146</v>
      </c>
      <c r="B246" s="20"/>
      <c r="C246" s="20"/>
      <c r="D246" s="20" t="s">
        <v>91</v>
      </c>
      <c r="E246" s="20" t="s">
        <v>34</v>
      </c>
      <c r="F246" s="19" t="s">
        <v>294</v>
      </c>
      <c r="G246" s="21">
        <v>100</v>
      </c>
      <c r="H246" s="20"/>
      <c r="I246" s="20"/>
      <c r="J246" s="41">
        <f>J245+Table234535[[#This Row],[AMOUNT]]-Table234535[[#This Row],[AMOUNT2]]-Table234535[[#This Row],[AMOUNT3]]</f>
        <v>-67573</v>
      </c>
      <c r="K246" s="79"/>
    </row>
    <row r="247" spans="1:11" hidden="1" x14ac:dyDescent="0.35">
      <c r="A247" s="30">
        <v>46146</v>
      </c>
      <c r="B247" s="20"/>
      <c r="C247" s="20"/>
      <c r="D247" s="20" t="s">
        <v>91</v>
      </c>
      <c r="E247" s="20" t="s">
        <v>34</v>
      </c>
      <c r="F247" s="19" t="s">
        <v>295</v>
      </c>
      <c r="G247" s="21">
        <v>240</v>
      </c>
      <c r="H247" s="20"/>
      <c r="I247" s="20"/>
      <c r="J247" s="41">
        <f>J246+Table234535[[#This Row],[AMOUNT]]-Table234535[[#This Row],[AMOUNT2]]-Table234535[[#This Row],[AMOUNT3]]</f>
        <v>-67813</v>
      </c>
      <c r="K247" s="79"/>
    </row>
    <row r="248" spans="1:11" hidden="1" x14ac:dyDescent="0.35">
      <c r="A248" s="30">
        <v>46147</v>
      </c>
      <c r="B248" s="20" t="s">
        <v>45</v>
      </c>
      <c r="C248" s="45">
        <v>5200</v>
      </c>
      <c r="D248" s="20" t="s">
        <v>91</v>
      </c>
      <c r="E248" s="20" t="s">
        <v>74</v>
      </c>
      <c r="F248" s="19" t="s">
        <v>393</v>
      </c>
      <c r="G248" s="21">
        <v>5000</v>
      </c>
      <c r="H248" s="20" t="s">
        <v>64</v>
      </c>
      <c r="I248" s="20">
        <v>5000</v>
      </c>
      <c r="J248" s="41">
        <f>J247+Table234535[[#This Row],[AMOUNT]]-Table234535[[#This Row],[AMOUNT2]]-Table234535[[#This Row],[AMOUNT3]]</f>
        <v>-72613</v>
      </c>
      <c r="K248" s="79"/>
    </row>
    <row r="249" spans="1:11" hidden="1" x14ac:dyDescent="0.35">
      <c r="A249" s="30">
        <v>46147</v>
      </c>
      <c r="B249" s="20" t="s">
        <v>45</v>
      </c>
      <c r="C249" s="45">
        <v>5000</v>
      </c>
      <c r="D249" s="20" t="s">
        <v>65</v>
      </c>
      <c r="E249" s="20" t="s">
        <v>16</v>
      </c>
      <c r="F249" s="19" t="s">
        <v>70</v>
      </c>
      <c r="G249" s="21">
        <f>1*900</f>
        <v>900</v>
      </c>
      <c r="H249" s="20"/>
      <c r="I249" s="20"/>
      <c r="J249" s="41">
        <f>J248+Table234535[[#This Row],[AMOUNT]]-Table234535[[#This Row],[AMOUNT2]]-Table234535[[#This Row],[AMOUNT3]]</f>
        <v>-68513</v>
      </c>
      <c r="K249" s="79"/>
    </row>
    <row r="250" spans="1:11" hidden="1" x14ac:dyDescent="0.35">
      <c r="A250" s="30">
        <v>46147</v>
      </c>
      <c r="B250" s="20" t="s">
        <v>45</v>
      </c>
      <c r="C250" s="45">
        <v>9500</v>
      </c>
      <c r="D250" s="20" t="s">
        <v>65</v>
      </c>
      <c r="E250" s="20" t="s">
        <v>68</v>
      </c>
      <c r="F250" s="19" t="s">
        <v>285</v>
      </c>
      <c r="G250" s="21">
        <f>2*800</f>
        <v>1600</v>
      </c>
      <c r="H250" s="20"/>
      <c r="I250" s="20"/>
      <c r="J250" s="41">
        <f>J249+Table234535[[#This Row],[AMOUNT]]-Table234535[[#This Row],[AMOUNT2]]-Table234535[[#This Row],[AMOUNT3]]</f>
        <v>-60613</v>
      </c>
      <c r="K250" s="79"/>
    </row>
    <row r="251" spans="1:11" hidden="1" x14ac:dyDescent="0.35">
      <c r="A251" s="30">
        <v>46147</v>
      </c>
      <c r="B251" s="20" t="s">
        <v>45</v>
      </c>
      <c r="C251" s="45">
        <v>1400</v>
      </c>
      <c r="D251" s="20" t="s">
        <v>91</v>
      </c>
      <c r="E251" s="20" t="s">
        <v>68</v>
      </c>
      <c r="F251" s="19" t="s">
        <v>290</v>
      </c>
      <c r="G251" s="21">
        <f>4*700+1*800</f>
        <v>3600</v>
      </c>
      <c r="H251" s="20"/>
      <c r="I251" s="20"/>
      <c r="J251" s="41">
        <f>J250+Table234535[[#This Row],[AMOUNT]]-Table234535[[#This Row],[AMOUNT2]]-Table234535[[#This Row],[AMOUNT3]]</f>
        <v>-62813</v>
      </c>
      <c r="K251" s="79"/>
    </row>
    <row r="252" spans="1:11" hidden="1" x14ac:dyDescent="0.35">
      <c r="A252" s="30">
        <v>46147</v>
      </c>
      <c r="B252" s="20"/>
      <c r="C252" s="20"/>
      <c r="D252" s="20" t="s">
        <v>91</v>
      </c>
      <c r="E252" s="20" t="s">
        <v>16</v>
      </c>
      <c r="F252" s="19" t="s">
        <v>286</v>
      </c>
      <c r="G252" s="21">
        <f>1*900</f>
        <v>900</v>
      </c>
      <c r="H252" s="20"/>
      <c r="I252" s="20"/>
      <c r="J252" s="41">
        <f>J251+Table234535[[#This Row],[AMOUNT]]-Table234535[[#This Row],[AMOUNT2]]-Table234535[[#This Row],[AMOUNT3]]</f>
        <v>-63713</v>
      </c>
      <c r="K252" s="79"/>
    </row>
    <row r="253" spans="1:11" hidden="1" x14ac:dyDescent="0.35">
      <c r="A253" s="30">
        <v>46147</v>
      </c>
      <c r="B253" s="20"/>
      <c r="C253" s="20"/>
      <c r="D253" s="20" t="s">
        <v>234</v>
      </c>
      <c r="E253" s="20" t="s">
        <v>68</v>
      </c>
      <c r="F253" s="19" t="s">
        <v>83</v>
      </c>
      <c r="G253" s="21">
        <f>1*800</f>
        <v>800</v>
      </c>
      <c r="H253" s="20"/>
      <c r="I253" s="20"/>
      <c r="J253" s="41">
        <f>J252+Table234535[[#This Row],[AMOUNT]]-Table234535[[#This Row],[AMOUNT2]]-Table234535[[#This Row],[AMOUNT3]]</f>
        <v>-64513</v>
      </c>
      <c r="K253" s="79"/>
    </row>
    <row r="254" spans="1:11" hidden="1" x14ac:dyDescent="0.35">
      <c r="A254" s="30">
        <v>46147</v>
      </c>
      <c r="B254" s="20"/>
      <c r="C254" s="20"/>
      <c r="D254" s="20" t="s">
        <v>91</v>
      </c>
      <c r="E254" s="20" t="s">
        <v>679</v>
      </c>
      <c r="F254" s="19" t="s">
        <v>1</v>
      </c>
      <c r="G254" s="21">
        <v>500</v>
      </c>
      <c r="H254" s="20"/>
      <c r="I254" s="20"/>
      <c r="J254" s="41">
        <f>J253+Table234535[[#This Row],[AMOUNT]]-Table234535[[#This Row],[AMOUNT2]]-Table234535[[#This Row],[AMOUNT3]]</f>
        <v>-65013</v>
      </c>
      <c r="K254" s="79"/>
    </row>
    <row r="255" spans="1:11" hidden="1" x14ac:dyDescent="0.35">
      <c r="A255" s="30">
        <v>46147</v>
      </c>
      <c r="B255" s="20"/>
      <c r="C255" s="20"/>
      <c r="D255" s="20" t="s">
        <v>65</v>
      </c>
      <c r="E255" s="20" t="s">
        <v>679</v>
      </c>
      <c r="F255" s="19" t="s">
        <v>1</v>
      </c>
      <c r="G255" s="21">
        <v>500</v>
      </c>
      <c r="H255" s="20"/>
      <c r="I255" s="20"/>
      <c r="J255" s="41">
        <f>J254+Table234535[[#This Row],[AMOUNT]]-Table234535[[#This Row],[AMOUNT2]]-Table234535[[#This Row],[AMOUNT3]]</f>
        <v>-65513</v>
      </c>
      <c r="K255" s="79"/>
    </row>
    <row r="256" spans="1:11" hidden="1" x14ac:dyDescent="0.35">
      <c r="A256" s="30">
        <v>46148</v>
      </c>
      <c r="B256" s="20"/>
      <c r="C256" s="20"/>
      <c r="D256" s="20" t="s">
        <v>234</v>
      </c>
      <c r="E256" s="20" t="s">
        <v>20</v>
      </c>
      <c r="F256" s="19" t="s">
        <v>394</v>
      </c>
      <c r="G256" s="21">
        <v>400</v>
      </c>
      <c r="H256" s="20" t="s">
        <v>53</v>
      </c>
      <c r="I256" s="45">
        <v>1000</v>
      </c>
      <c r="J256" s="41">
        <f>J255+Table234535[[#This Row],[AMOUNT]]-Table234535[[#This Row],[AMOUNT2]]-Table234535[[#This Row],[AMOUNT3]]</f>
        <v>-66913</v>
      </c>
      <c r="K256" s="79"/>
    </row>
    <row r="257" spans="1:12" hidden="1" x14ac:dyDescent="0.35">
      <c r="A257" s="30">
        <v>46148</v>
      </c>
      <c r="B257" s="20"/>
      <c r="C257" s="20"/>
      <c r="D257" s="20" t="s">
        <v>65</v>
      </c>
      <c r="E257" s="20" t="s">
        <v>34</v>
      </c>
      <c r="F257" s="19" t="s">
        <v>396</v>
      </c>
      <c r="G257" s="21">
        <v>510</v>
      </c>
      <c r="H257" s="20" t="s">
        <v>395</v>
      </c>
      <c r="I257" s="20">
        <v>350</v>
      </c>
      <c r="J257" s="41">
        <f>J256+Table234535[[#This Row],[AMOUNT]]-Table234535[[#This Row],[AMOUNT2]]-Table234535[[#This Row],[AMOUNT3]]</f>
        <v>-67773</v>
      </c>
      <c r="K257" s="79"/>
    </row>
    <row r="258" spans="1:12" hidden="1" x14ac:dyDescent="0.35">
      <c r="A258" s="30">
        <v>46148</v>
      </c>
      <c r="B258" s="20"/>
      <c r="C258" s="20"/>
      <c r="D258" s="20" t="s">
        <v>65</v>
      </c>
      <c r="E258" s="20" t="s">
        <v>34</v>
      </c>
      <c r="F258" s="19" t="s">
        <v>397</v>
      </c>
      <c r="G258" s="21">
        <v>190</v>
      </c>
      <c r="H258" s="20"/>
      <c r="I258" s="20"/>
      <c r="J258" s="41">
        <f>J257+Table234535[[#This Row],[AMOUNT]]-Table234535[[#This Row],[AMOUNT2]]-Table234535[[#This Row],[AMOUNT3]]</f>
        <v>-67963</v>
      </c>
      <c r="K258" s="79"/>
    </row>
    <row r="259" spans="1:12" hidden="1" x14ac:dyDescent="0.35">
      <c r="A259" s="30">
        <v>46148</v>
      </c>
      <c r="B259" s="20"/>
      <c r="C259" s="20"/>
      <c r="D259" s="20" t="s">
        <v>21</v>
      </c>
      <c r="E259" s="20" t="s">
        <v>82</v>
      </c>
      <c r="F259" s="19" t="s">
        <v>205</v>
      </c>
      <c r="G259" s="21">
        <v>500</v>
      </c>
      <c r="H259" s="20"/>
      <c r="I259" s="20"/>
      <c r="J259" s="41">
        <f>J258+Table234535[[#This Row],[AMOUNT]]-Table234535[[#This Row],[AMOUNT2]]-Table234535[[#This Row],[AMOUNT3]]</f>
        <v>-68463</v>
      </c>
      <c r="K259" s="79"/>
    </row>
    <row r="260" spans="1:12" hidden="1" x14ac:dyDescent="0.35">
      <c r="A260" s="30">
        <v>46148</v>
      </c>
      <c r="B260" s="20"/>
      <c r="C260" s="20"/>
      <c r="D260" s="20" t="s">
        <v>65</v>
      </c>
      <c r="E260" s="20" t="s">
        <v>16</v>
      </c>
      <c r="F260" s="19" t="s">
        <v>70</v>
      </c>
      <c r="G260" s="21">
        <f>1*900</f>
        <v>900</v>
      </c>
      <c r="H260" s="20"/>
      <c r="I260" s="20"/>
      <c r="J260" s="41">
        <f>J259+Table234535[[#This Row],[AMOUNT]]-Table234535[[#This Row],[AMOUNT2]]-Table234535[[#This Row],[AMOUNT3]]</f>
        <v>-69363</v>
      </c>
      <c r="K260" s="79"/>
    </row>
    <row r="261" spans="1:12" hidden="1" x14ac:dyDescent="0.35">
      <c r="A261" s="30">
        <v>46148</v>
      </c>
      <c r="B261" s="20"/>
      <c r="C261" s="20"/>
      <c r="D261" s="20" t="s">
        <v>91</v>
      </c>
      <c r="E261" s="20" t="s">
        <v>68</v>
      </c>
      <c r="F261" s="19" t="s">
        <v>290</v>
      </c>
      <c r="G261" s="21">
        <f>4*700+1*800</f>
        <v>3600</v>
      </c>
      <c r="H261" s="20"/>
      <c r="I261" s="20"/>
      <c r="J261" s="41">
        <f>J260+Table234535[[#This Row],[AMOUNT]]-Table234535[[#This Row],[AMOUNT2]]-Table234535[[#This Row],[AMOUNT3]]</f>
        <v>-72963</v>
      </c>
      <c r="K261" s="79"/>
    </row>
    <row r="262" spans="1:12" hidden="1" x14ac:dyDescent="0.35">
      <c r="A262" s="30">
        <v>46148</v>
      </c>
      <c r="B262" s="20"/>
      <c r="C262" s="20"/>
      <c r="D262" s="20" t="s">
        <v>91</v>
      </c>
      <c r="E262" s="20" t="s">
        <v>16</v>
      </c>
      <c r="F262" s="19" t="s">
        <v>286</v>
      </c>
      <c r="G262" s="21">
        <f>1*900</f>
        <v>900</v>
      </c>
      <c r="H262" s="20"/>
      <c r="I262" s="20"/>
      <c r="J262" s="41">
        <f>J261+Table234535[[#This Row],[AMOUNT]]-Table234535[[#This Row],[AMOUNT2]]-Table234535[[#This Row],[AMOUNT3]]</f>
        <v>-73863</v>
      </c>
      <c r="K262" s="79"/>
    </row>
    <row r="263" spans="1:12" hidden="1" x14ac:dyDescent="0.35">
      <c r="A263" s="30">
        <v>46148</v>
      </c>
      <c r="B263" s="20"/>
      <c r="C263" s="20"/>
      <c r="D263" s="20" t="s">
        <v>234</v>
      </c>
      <c r="E263" s="20" t="s">
        <v>68</v>
      </c>
      <c r="F263" s="19" t="s">
        <v>83</v>
      </c>
      <c r="G263" s="21">
        <f>1*800</f>
        <v>800</v>
      </c>
      <c r="H263" s="20"/>
      <c r="I263" s="20"/>
      <c r="J263" s="41">
        <f>J262+Table234535[[#This Row],[AMOUNT]]-Table234535[[#This Row],[AMOUNT2]]-Table234535[[#This Row],[AMOUNT3]]</f>
        <v>-74663</v>
      </c>
      <c r="K263" s="79"/>
    </row>
    <row r="264" spans="1:12" hidden="1" x14ac:dyDescent="0.35">
      <c r="A264" s="30">
        <v>46148</v>
      </c>
      <c r="B264" s="20"/>
      <c r="C264" s="20"/>
      <c r="D264" s="20" t="s">
        <v>39</v>
      </c>
      <c r="E264" s="20" t="s">
        <v>679</v>
      </c>
      <c r="F264" s="19" t="s">
        <v>66</v>
      </c>
      <c r="G264" s="21">
        <v>500</v>
      </c>
      <c r="H264" s="20"/>
      <c r="I264" s="20"/>
      <c r="J264" s="41">
        <f>J263+Table234535[[#This Row],[AMOUNT]]-Table234535[[#This Row],[AMOUNT2]]-Table234535[[#This Row],[AMOUNT3]]</f>
        <v>-75163</v>
      </c>
      <c r="K264" s="79"/>
      <c r="L264">
        <v>96563</v>
      </c>
    </row>
    <row r="265" spans="1:12" hidden="1" x14ac:dyDescent="0.35">
      <c r="A265" s="30">
        <v>46149</v>
      </c>
      <c r="B265" s="20" t="s">
        <v>45</v>
      </c>
      <c r="C265" s="45">
        <v>4500</v>
      </c>
      <c r="D265" s="20" t="s">
        <v>65</v>
      </c>
      <c r="E265" s="20" t="s">
        <v>68</v>
      </c>
      <c r="F265" s="19" t="s">
        <v>83</v>
      </c>
      <c r="G265" s="21">
        <f>1*800</f>
        <v>800</v>
      </c>
      <c r="H265" s="20" t="s">
        <v>71</v>
      </c>
      <c r="I265" s="20">
        <v>2000</v>
      </c>
      <c r="J265" s="41">
        <f>J264+Table234535[[#This Row],[AMOUNT]]-Table234535[[#This Row],[AMOUNT2]]-Table234535[[#This Row],[AMOUNT3]]</f>
        <v>-73463</v>
      </c>
      <c r="K265" s="79"/>
      <c r="L265">
        <v>94963</v>
      </c>
    </row>
    <row r="266" spans="1:12" hidden="1" x14ac:dyDescent="0.35">
      <c r="A266" s="30">
        <v>46149</v>
      </c>
      <c r="B266" s="20" t="s">
        <v>45</v>
      </c>
      <c r="C266" s="45">
        <v>1000</v>
      </c>
      <c r="D266" s="20" t="s">
        <v>65</v>
      </c>
      <c r="E266" s="20" t="s">
        <v>16</v>
      </c>
      <c r="F266" s="19" t="s">
        <v>70</v>
      </c>
      <c r="G266" s="21">
        <f>1*900</f>
        <v>900</v>
      </c>
      <c r="H266" s="20"/>
      <c r="I266" s="20"/>
      <c r="J266" s="41">
        <f>J265+Table234535[[#This Row],[AMOUNT]]-Table234535[[#This Row],[AMOUNT2]]-Table234535[[#This Row],[AMOUNT3]]</f>
        <v>-73363</v>
      </c>
      <c r="K266" s="79"/>
      <c r="L266">
        <f>+L264-L265</f>
        <v>1600</v>
      </c>
    </row>
    <row r="267" spans="1:12" x14ac:dyDescent="0.35">
      <c r="A267" s="30">
        <v>46149</v>
      </c>
      <c r="B267" s="20" t="s">
        <v>32</v>
      </c>
      <c r="C267" s="45">
        <v>20000</v>
      </c>
      <c r="D267" s="20" t="s">
        <v>21</v>
      </c>
      <c r="E267" s="20" t="s">
        <v>27</v>
      </c>
      <c r="F267" s="19" t="s">
        <v>1283</v>
      </c>
      <c r="G267" s="21">
        <v>1000</v>
      </c>
      <c r="H267" s="20"/>
      <c r="I267" s="20"/>
      <c r="J267" s="41">
        <f>J266+Table234535[[#This Row],[AMOUNT]]-Table234535[[#This Row],[AMOUNT2]]-Table234535[[#This Row],[AMOUNT3]]</f>
        <v>-54363</v>
      </c>
      <c r="K267" s="79"/>
    </row>
    <row r="268" spans="1:12" hidden="1" x14ac:dyDescent="0.35">
      <c r="A268" s="30">
        <v>46149</v>
      </c>
      <c r="B268" s="20" t="s">
        <v>45</v>
      </c>
      <c r="C268" s="45">
        <v>2800</v>
      </c>
      <c r="D268" s="20" t="s">
        <v>91</v>
      </c>
      <c r="E268" s="20" t="s">
        <v>68</v>
      </c>
      <c r="F268" s="19" t="s">
        <v>290</v>
      </c>
      <c r="G268" s="21">
        <f>4*700+1*800</f>
        <v>3600</v>
      </c>
      <c r="H268" s="20"/>
      <c r="I268" s="20"/>
      <c r="J268" s="41">
        <f>J267+Table234535[[#This Row],[AMOUNT]]-Table234535[[#This Row],[AMOUNT2]]-Table234535[[#This Row],[AMOUNT3]]</f>
        <v>-55163</v>
      </c>
      <c r="K268" s="79"/>
    </row>
    <row r="269" spans="1:12" hidden="1" x14ac:dyDescent="0.35">
      <c r="A269" s="30">
        <v>46149</v>
      </c>
      <c r="B269" s="20"/>
      <c r="C269" s="20"/>
      <c r="D269" s="20" t="s">
        <v>91</v>
      </c>
      <c r="E269" s="20" t="s">
        <v>16</v>
      </c>
      <c r="F269" s="19" t="s">
        <v>286</v>
      </c>
      <c r="G269" s="21">
        <f>1*900</f>
        <v>900</v>
      </c>
      <c r="H269" s="20"/>
      <c r="I269" s="20"/>
      <c r="J269" s="41">
        <f>J268+Table234535[[#This Row],[AMOUNT]]-Table234535[[#This Row],[AMOUNT2]]-Table234535[[#This Row],[AMOUNT3]]</f>
        <v>-56063</v>
      </c>
      <c r="K269" s="79"/>
    </row>
    <row r="270" spans="1:12" hidden="1" x14ac:dyDescent="0.35">
      <c r="A270" s="30">
        <v>46149</v>
      </c>
      <c r="B270" s="20"/>
      <c r="C270" s="20"/>
      <c r="D270" s="20" t="s">
        <v>234</v>
      </c>
      <c r="E270" s="20" t="s">
        <v>68</v>
      </c>
      <c r="F270" s="19" t="s">
        <v>83</v>
      </c>
      <c r="G270" s="21">
        <f>1*800</f>
        <v>800</v>
      </c>
      <c r="H270" s="20"/>
      <c r="I270" s="20"/>
      <c r="J270" s="41">
        <f>J269+Table234535[[#This Row],[AMOUNT]]-Table234535[[#This Row],[AMOUNT2]]-Table234535[[#This Row],[AMOUNT3]]</f>
        <v>-56863</v>
      </c>
      <c r="K270" s="79"/>
    </row>
    <row r="271" spans="1:12" hidden="1" x14ac:dyDescent="0.35">
      <c r="A271" s="30">
        <v>46149</v>
      </c>
      <c r="B271" s="20"/>
      <c r="C271" s="20"/>
      <c r="D271" s="20" t="s">
        <v>39</v>
      </c>
      <c r="E271" s="20" t="s">
        <v>679</v>
      </c>
      <c r="F271" s="19" t="s">
        <v>66</v>
      </c>
      <c r="G271" s="21">
        <v>500</v>
      </c>
      <c r="H271" s="20"/>
      <c r="I271" s="20"/>
      <c r="J271" s="41">
        <f>J270+Table234535[[#This Row],[AMOUNT]]-Table234535[[#This Row],[AMOUNT2]]-Table234535[[#This Row],[AMOUNT3]]</f>
        <v>-57363</v>
      </c>
      <c r="K271" s="79"/>
    </row>
    <row r="272" spans="1:12" hidden="1" x14ac:dyDescent="0.35">
      <c r="A272" s="30">
        <v>46149</v>
      </c>
      <c r="B272" s="20"/>
      <c r="C272" s="20"/>
      <c r="D272" s="20" t="s">
        <v>65</v>
      </c>
      <c r="E272" s="20" t="s">
        <v>38</v>
      </c>
      <c r="F272" s="19" t="s">
        <v>398</v>
      </c>
      <c r="G272" s="21">
        <v>1600</v>
      </c>
      <c r="H272" s="20"/>
      <c r="I272" s="20"/>
      <c r="J272" s="41">
        <f>J271+Table234535[[#This Row],[AMOUNT]]-Table234535[[#This Row],[AMOUNT2]]-Table234535[[#This Row],[AMOUNT3]]</f>
        <v>-58963</v>
      </c>
      <c r="K272" s="79"/>
      <c r="L272">
        <v>80363</v>
      </c>
    </row>
    <row r="273" spans="1:13" hidden="1" x14ac:dyDescent="0.35">
      <c r="A273" s="30">
        <v>46150</v>
      </c>
      <c r="B273" s="20" t="s">
        <v>45</v>
      </c>
      <c r="C273" s="45">
        <v>10000</v>
      </c>
      <c r="D273" s="20" t="s">
        <v>234</v>
      </c>
      <c r="E273" s="20" t="s">
        <v>20</v>
      </c>
      <c r="F273" s="19" t="s">
        <v>394</v>
      </c>
      <c r="G273" s="21">
        <v>400</v>
      </c>
      <c r="H273" s="20" t="s">
        <v>53</v>
      </c>
      <c r="I273" s="45">
        <v>1000</v>
      </c>
      <c r="J273" s="41">
        <f>J272+Table234535[[#This Row],[AMOUNT]]-Table234535[[#This Row],[AMOUNT2]]-Table234535[[#This Row],[AMOUNT3]]</f>
        <v>-50363</v>
      </c>
      <c r="K273" s="79"/>
      <c r="L273">
        <v>78763</v>
      </c>
    </row>
    <row r="274" spans="1:13" hidden="1" x14ac:dyDescent="0.35">
      <c r="A274" s="30">
        <v>46150</v>
      </c>
      <c r="B274" s="20" t="s">
        <v>45</v>
      </c>
      <c r="C274" s="45">
        <v>10000</v>
      </c>
      <c r="D274" s="20" t="s">
        <v>65</v>
      </c>
      <c r="E274" s="20" t="s">
        <v>16</v>
      </c>
      <c r="F274" s="19" t="s">
        <v>70</v>
      </c>
      <c r="G274" s="21">
        <f>1*900</f>
        <v>900</v>
      </c>
      <c r="H274" s="20" t="s">
        <v>64</v>
      </c>
      <c r="I274" s="20">
        <v>1000</v>
      </c>
      <c r="J274" s="41">
        <f>J273+Table234535[[#This Row],[AMOUNT]]-Table234535[[#This Row],[AMOUNT2]]-Table234535[[#This Row],[AMOUNT3]]</f>
        <v>-42263</v>
      </c>
      <c r="K274" s="79"/>
      <c r="L274">
        <f>+L272-L273</f>
        <v>1600</v>
      </c>
    </row>
    <row r="275" spans="1:13" hidden="1" x14ac:dyDescent="0.35">
      <c r="A275" s="30">
        <v>46150</v>
      </c>
      <c r="B275" s="20" t="s">
        <v>45</v>
      </c>
      <c r="C275" s="45">
        <v>2000</v>
      </c>
      <c r="D275" s="20" t="s">
        <v>234</v>
      </c>
      <c r="E275" s="20" t="s">
        <v>68</v>
      </c>
      <c r="F275" s="19" t="s">
        <v>83</v>
      </c>
      <c r="G275" s="21">
        <f>1*800</f>
        <v>800</v>
      </c>
      <c r="H275" s="20"/>
      <c r="I275" s="20"/>
      <c r="J275" s="41">
        <f>J274+Table234535[[#This Row],[AMOUNT]]-Table234535[[#This Row],[AMOUNT2]]-Table234535[[#This Row],[AMOUNT3]]</f>
        <v>-41063</v>
      </c>
      <c r="K275" s="79"/>
    </row>
    <row r="276" spans="1:13" hidden="1" x14ac:dyDescent="0.35">
      <c r="A276" s="30">
        <v>46150</v>
      </c>
      <c r="B276" s="20"/>
      <c r="C276" s="20"/>
      <c r="D276" s="20" t="s">
        <v>91</v>
      </c>
      <c r="E276" s="20" t="s">
        <v>68</v>
      </c>
      <c r="F276" s="19" t="s">
        <v>399</v>
      </c>
      <c r="G276" s="21">
        <f>6*700</f>
        <v>4200</v>
      </c>
      <c r="H276" s="20"/>
      <c r="I276" s="20"/>
      <c r="J276" s="41">
        <f>J275+Table234535[[#This Row],[AMOUNT]]-Table234535[[#This Row],[AMOUNT2]]-Table234535[[#This Row],[AMOUNT3]]</f>
        <v>-45263</v>
      </c>
      <c r="K276" s="79"/>
    </row>
    <row r="277" spans="1:13" hidden="1" x14ac:dyDescent="0.35">
      <c r="A277" s="30">
        <v>46150</v>
      </c>
      <c r="B277" s="20"/>
      <c r="C277" s="20"/>
      <c r="D277" s="20" t="s">
        <v>91</v>
      </c>
      <c r="E277" s="20" t="s">
        <v>34</v>
      </c>
      <c r="F277" s="19" t="s">
        <v>400</v>
      </c>
      <c r="G277" s="21">
        <v>693</v>
      </c>
      <c r="H277" s="20"/>
      <c r="I277" s="20"/>
      <c r="J277" s="41">
        <f>J276+Table234535[[#This Row],[AMOUNT]]-Table234535[[#This Row],[AMOUNT2]]-Table234535[[#This Row],[AMOUNT3]]</f>
        <v>-45956</v>
      </c>
      <c r="K277" s="79"/>
    </row>
    <row r="278" spans="1:13" hidden="1" x14ac:dyDescent="0.35">
      <c r="A278" s="30">
        <v>46150</v>
      </c>
      <c r="B278" s="20"/>
      <c r="C278" s="20"/>
      <c r="D278" s="20" t="s">
        <v>65</v>
      </c>
      <c r="E278" s="20" t="s">
        <v>19</v>
      </c>
      <c r="F278" s="19" t="s">
        <v>107</v>
      </c>
      <c r="G278" s="21">
        <v>2500</v>
      </c>
      <c r="H278" s="20"/>
      <c r="I278" s="20"/>
      <c r="J278" s="41">
        <f>J277+Table234535[[#This Row],[AMOUNT]]-Table234535[[#This Row],[AMOUNT2]]-Table234535[[#This Row],[AMOUNT3]]</f>
        <v>-48456</v>
      </c>
      <c r="K278" s="79"/>
      <c r="L278">
        <v>69856</v>
      </c>
    </row>
    <row r="279" spans="1:13" hidden="1" x14ac:dyDescent="0.35">
      <c r="A279" s="30">
        <v>46151</v>
      </c>
      <c r="B279" s="20" t="s">
        <v>45</v>
      </c>
      <c r="C279" s="45">
        <v>5000</v>
      </c>
      <c r="D279" s="20" t="s">
        <v>39</v>
      </c>
      <c r="E279" s="20" t="s">
        <v>16</v>
      </c>
      <c r="F279" s="19" t="s">
        <v>286</v>
      </c>
      <c r="G279" s="21">
        <f>1*900</f>
        <v>900</v>
      </c>
      <c r="H279" s="20"/>
      <c r="I279" s="20">
        <v>5000</v>
      </c>
      <c r="J279" s="41">
        <f>J278+Table234535[[#This Row],[AMOUNT]]-Table234535[[#This Row],[AMOUNT2]]-Table234535[[#This Row],[AMOUNT3]]</f>
        <v>-49356</v>
      </c>
      <c r="K279" s="79"/>
      <c r="L279">
        <v>68256</v>
      </c>
    </row>
    <row r="280" spans="1:13" hidden="1" x14ac:dyDescent="0.35">
      <c r="A280" s="30">
        <v>46151</v>
      </c>
      <c r="B280" s="20" t="s">
        <v>32</v>
      </c>
      <c r="C280" s="45">
        <v>20000</v>
      </c>
      <c r="D280" s="20" t="s">
        <v>91</v>
      </c>
      <c r="E280" s="20" t="s">
        <v>68</v>
      </c>
      <c r="F280" s="19" t="s">
        <v>109</v>
      </c>
      <c r="G280" s="21">
        <f>5*700</f>
        <v>3500</v>
      </c>
      <c r="H280" s="20"/>
      <c r="I280" s="20"/>
      <c r="J280" s="41">
        <f>J279+Table234535[[#This Row],[AMOUNT]]-Table234535[[#This Row],[AMOUNT2]]-Table234535[[#This Row],[AMOUNT3]]</f>
        <v>-32856</v>
      </c>
      <c r="K280" s="79"/>
      <c r="L280">
        <f>+L278-L279</f>
        <v>1600</v>
      </c>
    </row>
    <row r="281" spans="1:13" hidden="1" x14ac:dyDescent="0.35">
      <c r="A281" s="30">
        <v>46151</v>
      </c>
      <c r="B281" s="20"/>
      <c r="C281" s="20"/>
      <c r="D281" s="20" t="s">
        <v>234</v>
      </c>
      <c r="E281" s="20" t="s">
        <v>68</v>
      </c>
      <c r="F281" s="19" t="s">
        <v>83</v>
      </c>
      <c r="G281" s="21">
        <f>1*800</f>
        <v>800</v>
      </c>
      <c r="H281" s="20"/>
      <c r="I281" s="20"/>
      <c r="J281" s="41">
        <f>J280+Table234535[[#This Row],[AMOUNT]]-Table234535[[#This Row],[AMOUNT2]]-Table234535[[#This Row],[AMOUNT3]]</f>
        <v>-33656</v>
      </c>
      <c r="K281" s="79"/>
    </row>
    <row r="282" spans="1:13" hidden="1" x14ac:dyDescent="0.35">
      <c r="A282" s="30">
        <v>46151</v>
      </c>
      <c r="B282" s="20"/>
      <c r="C282" s="20"/>
      <c r="D282" s="20" t="s">
        <v>91</v>
      </c>
      <c r="E282" s="20" t="s">
        <v>34</v>
      </c>
      <c r="F282" s="19" t="s">
        <v>401</v>
      </c>
      <c r="G282" s="21">
        <v>290</v>
      </c>
      <c r="H282" s="20"/>
      <c r="I282" s="20"/>
      <c r="J282" s="41">
        <f>J281+Table234535[[#This Row],[AMOUNT]]-Table234535[[#This Row],[AMOUNT2]]-Table234535[[#This Row],[AMOUNT3]]</f>
        <v>-33946</v>
      </c>
      <c r="K282" s="79"/>
    </row>
    <row r="283" spans="1:13" hidden="1" x14ac:dyDescent="0.35">
      <c r="A283" s="30">
        <v>46151</v>
      </c>
      <c r="B283" s="20"/>
      <c r="C283" s="20"/>
      <c r="D283" s="20" t="s">
        <v>91</v>
      </c>
      <c r="E283" s="20" t="s">
        <v>38</v>
      </c>
      <c r="F283" s="19" t="s">
        <v>402</v>
      </c>
      <c r="G283" s="21">
        <v>1000</v>
      </c>
      <c r="H283" s="20"/>
      <c r="I283" s="20"/>
      <c r="J283" s="41">
        <f>J282+Table234535[[#This Row],[AMOUNT]]-Table234535[[#This Row],[AMOUNT2]]-Table234535[[#This Row],[AMOUNT3]]</f>
        <v>-34946</v>
      </c>
      <c r="K283" s="79"/>
    </row>
    <row r="284" spans="1:13" hidden="1" x14ac:dyDescent="0.35">
      <c r="A284" s="30">
        <v>46151</v>
      </c>
      <c r="B284" s="20"/>
      <c r="C284" s="20"/>
      <c r="D284" s="20" t="s">
        <v>91</v>
      </c>
      <c r="E284" s="20" t="s">
        <v>19</v>
      </c>
      <c r="F284" s="19" t="s">
        <v>403</v>
      </c>
      <c r="G284" s="21">
        <v>32800</v>
      </c>
      <c r="H284" s="20"/>
      <c r="I284" s="20"/>
      <c r="J284" s="41">
        <f>J283+Table234535[[#This Row],[AMOUNT]]-Table234535[[#This Row],[AMOUNT2]]-Table234535[[#This Row],[AMOUNT3]]</f>
        <v>-67746</v>
      </c>
      <c r="K284" s="79"/>
    </row>
    <row r="285" spans="1:13" hidden="1" x14ac:dyDescent="0.35">
      <c r="A285" s="30">
        <v>46152</v>
      </c>
      <c r="B285" s="20" t="s">
        <v>45</v>
      </c>
      <c r="C285" s="45">
        <v>1740</v>
      </c>
      <c r="D285" s="20" t="s">
        <v>91</v>
      </c>
      <c r="E285" s="20" t="s">
        <v>68</v>
      </c>
      <c r="F285" s="19" t="s">
        <v>109</v>
      </c>
      <c r="G285" s="21">
        <f>5*700</f>
        <v>3500</v>
      </c>
      <c r="H285" s="20"/>
      <c r="I285" s="20"/>
      <c r="J285" s="41">
        <f>J284+Table234535[[#This Row],[AMOUNT]]-Table234535[[#This Row],[AMOUNT2]]-Table234535[[#This Row],[AMOUNT3]]</f>
        <v>-69506</v>
      </c>
      <c r="K285" s="79"/>
      <c r="L285">
        <v>-89146</v>
      </c>
      <c r="M285" s="55">
        <f>+J284</f>
        <v>-67746</v>
      </c>
    </row>
    <row r="286" spans="1:13" hidden="1" x14ac:dyDescent="0.35">
      <c r="A286" s="30">
        <v>46152</v>
      </c>
      <c r="B286" s="20"/>
      <c r="C286" s="20"/>
      <c r="D286" s="20" t="s">
        <v>39</v>
      </c>
      <c r="E286" s="20" t="s">
        <v>16</v>
      </c>
      <c r="F286" s="19" t="s">
        <v>286</v>
      </c>
      <c r="G286" s="21">
        <f>1*900</f>
        <v>900</v>
      </c>
      <c r="H286" s="20"/>
      <c r="I286" s="20"/>
      <c r="J286" s="41">
        <f>J285+Table234535[[#This Row],[AMOUNT]]-Table234535[[#This Row],[AMOUNT2]]-Table234535[[#This Row],[AMOUNT3]]</f>
        <v>-70406</v>
      </c>
      <c r="K286" s="79"/>
      <c r="M286" s="55">
        <f>+L285-M285</f>
        <v>-21400</v>
      </c>
    </row>
    <row r="287" spans="1:13" hidden="1" x14ac:dyDescent="0.35">
      <c r="A287" s="30">
        <v>46152</v>
      </c>
      <c r="B287" s="20"/>
      <c r="C287" s="20"/>
      <c r="D287" s="20" t="s">
        <v>234</v>
      </c>
      <c r="E287" s="20" t="s">
        <v>68</v>
      </c>
      <c r="F287" s="19" t="s">
        <v>83</v>
      </c>
      <c r="G287" s="21">
        <f>1*800</f>
        <v>800</v>
      </c>
      <c r="H287" s="20"/>
      <c r="I287" s="20"/>
      <c r="J287" s="41">
        <f>J286+Table234535[[#This Row],[AMOUNT]]-Table234535[[#This Row],[AMOUNT2]]-Table234535[[#This Row],[AMOUNT3]]</f>
        <v>-71206</v>
      </c>
      <c r="K287" s="79"/>
      <c r="L287">
        <f>-89146+1740</f>
        <v>-87406</v>
      </c>
    </row>
    <row r="288" spans="1:13" hidden="1" x14ac:dyDescent="0.35">
      <c r="A288" s="30">
        <v>46152</v>
      </c>
      <c r="B288" s="20"/>
      <c r="C288" s="20"/>
      <c r="D288" s="20" t="s">
        <v>21</v>
      </c>
      <c r="E288" s="20" t="s">
        <v>82</v>
      </c>
      <c r="F288" s="19" t="s">
        <v>404</v>
      </c>
      <c r="G288" s="21">
        <v>9610</v>
      </c>
      <c r="H288" s="20"/>
      <c r="I288" s="20"/>
      <c r="J288" s="41">
        <f>J287+Table234535[[#This Row],[AMOUNT]]-Table234535[[#This Row],[AMOUNT2]]-Table234535[[#This Row],[AMOUNT3]]</f>
        <v>-80816</v>
      </c>
      <c r="K288" s="79"/>
      <c r="L288">
        <f>3500+900+800+9610</f>
        <v>14810</v>
      </c>
    </row>
    <row r="289" spans="1:12" hidden="1" x14ac:dyDescent="0.35">
      <c r="A289" s="30">
        <v>46152</v>
      </c>
      <c r="B289" s="20"/>
      <c r="C289" s="20"/>
      <c r="D289" s="20" t="s">
        <v>39</v>
      </c>
      <c r="E289" s="20" t="s">
        <v>679</v>
      </c>
      <c r="F289" s="19" t="s">
        <v>1</v>
      </c>
      <c r="G289" s="21">
        <v>1000</v>
      </c>
      <c r="H289" s="20"/>
      <c r="I289" s="20"/>
      <c r="J289" s="41">
        <f>J288+Table234535[[#This Row],[AMOUNT]]-Table234535[[#This Row],[AMOUNT2]]-Table234535[[#This Row],[AMOUNT3]]</f>
        <v>-81816</v>
      </c>
      <c r="K289" s="79"/>
      <c r="L289">
        <f>+L287-L288</f>
        <v>-102216</v>
      </c>
    </row>
    <row r="290" spans="1:12" hidden="1" x14ac:dyDescent="0.35">
      <c r="A290" s="30">
        <v>46152</v>
      </c>
      <c r="B290" s="20"/>
      <c r="C290" s="20"/>
      <c r="D290" s="20" t="s">
        <v>91</v>
      </c>
      <c r="E290" s="20" t="s">
        <v>679</v>
      </c>
      <c r="F290" s="19" t="s">
        <v>271</v>
      </c>
      <c r="G290" s="21">
        <v>200</v>
      </c>
      <c r="H290" s="20"/>
      <c r="I290" s="20"/>
      <c r="J290" s="41">
        <f>J289+Table234535[[#This Row],[AMOUNT]]-Table234535[[#This Row],[AMOUNT2]]-Table234535[[#This Row],[AMOUNT3]]</f>
        <v>-82016</v>
      </c>
      <c r="K290" s="79"/>
    </row>
    <row r="291" spans="1:12" hidden="1" x14ac:dyDescent="0.35">
      <c r="A291" s="30">
        <v>46153</v>
      </c>
      <c r="B291" s="20" t="s">
        <v>45</v>
      </c>
      <c r="C291" s="45">
        <v>1050</v>
      </c>
      <c r="D291" s="20" t="s">
        <v>39</v>
      </c>
      <c r="E291" s="20" t="s">
        <v>34</v>
      </c>
      <c r="F291" s="19" t="s">
        <v>406</v>
      </c>
      <c r="G291" s="21">
        <v>1050</v>
      </c>
      <c r="H291" s="20" t="s">
        <v>53</v>
      </c>
      <c r="I291" s="45">
        <v>1000</v>
      </c>
      <c r="J291" s="41">
        <f>J290+Table234535[[#This Row],[AMOUNT]]-Table234535[[#This Row],[AMOUNT2]]-Table234535[[#This Row],[AMOUNT3]]</f>
        <v>-83016</v>
      </c>
      <c r="K291" s="79"/>
    </row>
    <row r="292" spans="1:12" hidden="1" x14ac:dyDescent="0.35">
      <c r="A292" s="30">
        <v>46153</v>
      </c>
      <c r="B292" s="20" t="s">
        <v>45</v>
      </c>
      <c r="C292" s="45">
        <v>6000</v>
      </c>
      <c r="D292" s="20" t="s">
        <v>39</v>
      </c>
      <c r="E292" s="20" t="s">
        <v>682</v>
      </c>
      <c r="F292" s="19" t="s">
        <v>405</v>
      </c>
      <c r="G292" s="21">
        <v>200</v>
      </c>
      <c r="H292" s="20"/>
      <c r="I292" s="20"/>
      <c r="J292" s="41">
        <f>J291+Table234535[[#This Row],[AMOUNT]]-Table234535[[#This Row],[AMOUNT2]]-Table234535[[#This Row],[AMOUNT3]]</f>
        <v>-77216</v>
      </c>
      <c r="K292" s="79"/>
    </row>
    <row r="293" spans="1:12" hidden="1" x14ac:dyDescent="0.35">
      <c r="A293" s="30">
        <v>46153</v>
      </c>
      <c r="B293" s="20" t="s">
        <v>45</v>
      </c>
      <c r="C293" s="45">
        <v>4000</v>
      </c>
      <c r="D293" s="20" t="s">
        <v>21</v>
      </c>
      <c r="E293" s="20" t="s">
        <v>31</v>
      </c>
      <c r="F293" s="19" t="s">
        <v>81</v>
      </c>
      <c r="G293" s="21">
        <v>6000</v>
      </c>
      <c r="H293" s="20"/>
      <c r="I293" s="20"/>
      <c r="J293" s="41">
        <f>J292+Table234535[[#This Row],[AMOUNT]]-Table234535[[#This Row],[AMOUNT2]]-Table234535[[#This Row],[AMOUNT3]]</f>
        <v>-79216</v>
      </c>
      <c r="K293" s="79"/>
    </row>
    <row r="294" spans="1:12" hidden="1" x14ac:dyDescent="0.35">
      <c r="A294" s="30">
        <v>46153</v>
      </c>
      <c r="B294" s="20" t="s">
        <v>45</v>
      </c>
      <c r="C294" s="45">
        <v>1000</v>
      </c>
      <c r="D294" s="20" t="s">
        <v>91</v>
      </c>
      <c r="E294" s="20" t="s">
        <v>24</v>
      </c>
      <c r="F294" s="19" t="s">
        <v>407</v>
      </c>
      <c r="G294" s="21">
        <v>5000</v>
      </c>
      <c r="H294" s="20"/>
      <c r="I294" s="20"/>
      <c r="J294" s="41">
        <f>J293+Table234535[[#This Row],[AMOUNT]]-Table234535[[#This Row],[AMOUNT2]]-Table234535[[#This Row],[AMOUNT3]]</f>
        <v>-83216</v>
      </c>
      <c r="K294" s="79"/>
    </row>
    <row r="295" spans="1:12" hidden="1" x14ac:dyDescent="0.35">
      <c r="A295" s="30">
        <v>46153</v>
      </c>
      <c r="B295" s="20" t="s">
        <v>45</v>
      </c>
      <c r="C295" s="45">
        <v>3550</v>
      </c>
      <c r="D295" s="20" t="s">
        <v>91</v>
      </c>
      <c r="E295" s="20" t="s">
        <v>68</v>
      </c>
      <c r="F295" s="19" t="s">
        <v>109</v>
      </c>
      <c r="G295" s="21">
        <f>5*700</f>
        <v>3500</v>
      </c>
      <c r="H295" s="20"/>
      <c r="I295" s="20"/>
      <c r="J295" s="41">
        <f>J294+Table234535[[#This Row],[AMOUNT]]-Table234535[[#This Row],[AMOUNT2]]-Table234535[[#This Row],[AMOUNT3]]</f>
        <v>-83166</v>
      </c>
      <c r="K295" s="79"/>
    </row>
    <row r="296" spans="1:12" hidden="1" x14ac:dyDescent="0.35">
      <c r="A296" s="30">
        <v>46153</v>
      </c>
      <c r="B296" s="20"/>
      <c r="C296" s="20"/>
      <c r="D296" s="20" t="s">
        <v>39</v>
      </c>
      <c r="E296" s="20" t="s">
        <v>16</v>
      </c>
      <c r="F296" s="19" t="s">
        <v>409</v>
      </c>
      <c r="G296" s="21">
        <f>1*900+300</f>
        <v>1200</v>
      </c>
      <c r="H296" s="20"/>
      <c r="I296" s="20"/>
      <c r="J296" s="41">
        <f>J295+Table234535[[#This Row],[AMOUNT]]-Table234535[[#This Row],[AMOUNT2]]-Table234535[[#This Row],[AMOUNT3]]</f>
        <v>-84366</v>
      </c>
      <c r="K296" s="79"/>
    </row>
    <row r="297" spans="1:12" hidden="1" x14ac:dyDescent="0.35">
      <c r="A297" s="30">
        <v>46153</v>
      </c>
      <c r="B297" s="20"/>
      <c r="C297" s="20"/>
      <c r="D297" s="20" t="s">
        <v>21</v>
      </c>
      <c r="E297" s="20" t="s">
        <v>43</v>
      </c>
      <c r="F297" s="19" t="s">
        <v>408</v>
      </c>
      <c r="G297" s="21">
        <v>100</v>
      </c>
      <c r="H297" s="20"/>
      <c r="I297" s="20"/>
      <c r="J297" s="41">
        <f>J296+Table234535[[#This Row],[AMOUNT]]-Table234535[[#This Row],[AMOUNT2]]-Table234535[[#This Row],[AMOUNT3]]</f>
        <v>-84466</v>
      </c>
      <c r="K297" s="79"/>
    </row>
    <row r="298" spans="1:12" hidden="1" x14ac:dyDescent="0.35">
      <c r="A298" s="30">
        <v>46154</v>
      </c>
      <c r="B298" s="20" t="s">
        <v>45</v>
      </c>
      <c r="C298" s="45">
        <v>1000</v>
      </c>
      <c r="D298" s="20" t="s">
        <v>91</v>
      </c>
      <c r="E298" s="20" t="s">
        <v>68</v>
      </c>
      <c r="F298" s="19" t="s">
        <v>109</v>
      </c>
      <c r="G298" s="21">
        <f>5*700</f>
        <v>3500</v>
      </c>
      <c r="H298" s="20" t="s">
        <v>64</v>
      </c>
      <c r="I298" s="20">
        <v>1000</v>
      </c>
      <c r="J298" s="41">
        <f>J297+Table234535[[#This Row],[AMOUNT]]-Table234535[[#This Row],[AMOUNT2]]-Table234535[[#This Row],[AMOUNT3]]</f>
        <v>-87966</v>
      </c>
      <c r="K298" s="79"/>
    </row>
    <row r="299" spans="1:12" hidden="1" x14ac:dyDescent="0.35">
      <c r="A299" s="30">
        <v>46154</v>
      </c>
      <c r="B299" s="20" t="s">
        <v>45</v>
      </c>
      <c r="C299" s="45">
        <v>2000</v>
      </c>
      <c r="D299" s="20" t="s">
        <v>21</v>
      </c>
      <c r="E299" s="20" t="s">
        <v>43</v>
      </c>
      <c r="F299" s="19" t="s">
        <v>410</v>
      </c>
      <c r="G299" s="21">
        <v>1403</v>
      </c>
      <c r="H299" s="20" t="s">
        <v>53</v>
      </c>
      <c r="I299" s="45">
        <v>1000</v>
      </c>
      <c r="J299" s="41">
        <f>J298+Table234535[[#This Row],[AMOUNT]]-Table234535[[#This Row],[AMOUNT2]]-Table234535[[#This Row],[AMOUNT3]]</f>
        <v>-88369</v>
      </c>
      <c r="K299" s="79"/>
    </row>
    <row r="300" spans="1:12" hidden="1" x14ac:dyDescent="0.35">
      <c r="A300" s="30">
        <v>46154</v>
      </c>
      <c r="B300" s="20"/>
      <c r="C300" s="20"/>
      <c r="D300" s="20" t="s">
        <v>65</v>
      </c>
      <c r="E300" s="20" t="s">
        <v>16</v>
      </c>
      <c r="F300" s="19" t="s">
        <v>286</v>
      </c>
      <c r="G300" s="21">
        <f>1*900</f>
        <v>900</v>
      </c>
      <c r="H300" s="20"/>
      <c r="I300" s="20"/>
      <c r="J300" s="41">
        <f>J299+Table234535[[#This Row],[AMOUNT]]-Table234535[[#This Row],[AMOUNT2]]-Table234535[[#This Row],[AMOUNT3]]</f>
        <v>-89269</v>
      </c>
      <c r="K300" s="79"/>
    </row>
    <row r="301" spans="1:12" x14ac:dyDescent="0.35">
      <c r="A301" s="30">
        <v>46154</v>
      </c>
      <c r="B301" s="20"/>
      <c r="C301" s="20"/>
      <c r="D301" s="20" t="s">
        <v>21</v>
      </c>
      <c r="E301" s="20" t="s">
        <v>27</v>
      </c>
      <c r="F301" s="19" t="s">
        <v>1283</v>
      </c>
      <c r="G301" s="21">
        <v>2000</v>
      </c>
      <c r="H301" s="20"/>
      <c r="I301" s="20"/>
      <c r="J301" s="41">
        <f>J300+Table234535[[#This Row],[AMOUNT]]-Table234535[[#This Row],[AMOUNT2]]-Table234535[[#This Row],[AMOUNT3]]</f>
        <v>-91269</v>
      </c>
      <c r="K301" s="79"/>
    </row>
    <row r="302" spans="1:12" hidden="1" x14ac:dyDescent="0.35">
      <c r="A302" s="30">
        <v>46155</v>
      </c>
      <c r="B302" s="20" t="s">
        <v>45</v>
      </c>
      <c r="C302" s="45">
        <v>7000</v>
      </c>
      <c r="D302" s="20" t="s">
        <v>91</v>
      </c>
      <c r="E302" s="20" t="s">
        <v>68</v>
      </c>
      <c r="F302" s="19" t="s">
        <v>109</v>
      </c>
      <c r="G302" s="21">
        <f>5*700</f>
        <v>3500</v>
      </c>
      <c r="H302" s="20"/>
      <c r="I302" s="20"/>
      <c r="J302" s="41">
        <f>J301+Table234535[[#This Row],[AMOUNT]]-Table234535[[#This Row],[AMOUNT2]]-Table234535[[#This Row],[AMOUNT3]]</f>
        <v>-87769</v>
      </c>
      <c r="K302" s="79"/>
      <c r="L302">
        <v>87546</v>
      </c>
    </row>
    <row r="303" spans="1:12" hidden="1" x14ac:dyDescent="0.35">
      <c r="A303" s="30">
        <v>46155</v>
      </c>
      <c r="B303" s="20" t="s">
        <v>528</v>
      </c>
      <c r="C303" s="45">
        <v>36000</v>
      </c>
      <c r="D303" s="20" t="s">
        <v>65</v>
      </c>
      <c r="E303" s="20" t="s">
        <v>16</v>
      </c>
      <c r="F303" s="19" t="s">
        <v>286</v>
      </c>
      <c r="G303" s="21">
        <f>1*900</f>
        <v>900</v>
      </c>
      <c r="H303" s="20"/>
      <c r="I303" s="20"/>
      <c r="J303" s="41">
        <f>J302+Table234535[[#This Row],[AMOUNT]]-Table234535[[#This Row],[AMOUNT2]]-Table234535[[#This Row],[AMOUNT3]]</f>
        <v>-52669</v>
      </c>
      <c r="K303" s="79"/>
    </row>
    <row r="304" spans="1:12" hidden="1" x14ac:dyDescent="0.35">
      <c r="A304" s="30">
        <v>46156</v>
      </c>
      <c r="B304" s="20" t="s">
        <v>411</v>
      </c>
      <c r="C304" s="45">
        <v>38000</v>
      </c>
      <c r="D304" s="20" t="s">
        <v>91</v>
      </c>
      <c r="E304" s="20" t="s">
        <v>68</v>
      </c>
      <c r="F304" s="19" t="s">
        <v>77</v>
      </c>
      <c r="G304" s="21">
        <f>6*700</f>
        <v>4200</v>
      </c>
      <c r="H304" s="20"/>
      <c r="I304" s="20"/>
      <c r="J304" s="41">
        <f>J303+Table234535[[#This Row],[AMOUNT]]-Table234535[[#This Row],[AMOUNT2]]-Table234535[[#This Row],[AMOUNT3]]</f>
        <v>-18869</v>
      </c>
      <c r="K304" s="79"/>
    </row>
    <row r="305" spans="1:12" hidden="1" x14ac:dyDescent="0.35">
      <c r="A305" s="30">
        <v>46156</v>
      </c>
      <c r="B305" s="20"/>
      <c r="C305" s="20"/>
      <c r="D305" s="20" t="s">
        <v>65</v>
      </c>
      <c r="E305" s="20" t="s">
        <v>16</v>
      </c>
      <c r="F305" s="19" t="s">
        <v>286</v>
      </c>
      <c r="G305" s="21">
        <f>1*900</f>
        <v>900</v>
      </c>
      <c r="H305" s="20"/>
      <c r="I305" s="20"/>
      <c r="J305" s="41">
        <f>J304+Table234535[[#This Row],[AMOUNT]]-Table234535[[#This Row],[AMOUNT2]]-Table234535[[#This Row],[AMOUNT3]]</f>
        <v>-19769</v>
      </c>
      <c r="K305" s="79"/>
    </row>
    <row r="306" spans="1:12" hidden="1" x14ac:dyDescent="0.35">
      <c r="A306" s="30">
        <v>46156</v>
      </c>
      <c r="B306" s="20"/>
      <c r="C306" s="20"/>
      <c r="D306" s="20" t="s">
        <v>65</v>
      </c>
      <c r="E306" s="20" t="s">
        <v>0</v>
      </c>
      <c r="F306" s="19" t="s">
        <v>427</v>
      </c>
      <c r="G306" s="21">
        <f>120+120</f>
        <v>240</v>
      </c>
      <c r="H306" s="20"/>
      <c r="I306" s="20"/>
      <c r="J306" s="41">
        <f>J305+Table234535[[#This Row],[AMOUNT]]-Table234535[[#This Row],[AMOUNT2]]-Table234535[[#This Row],[AMOUNT3]]</f>
        <v>-20009</v>
      </c>
      <c r="K306" s="79"/>
    </row>
    <row r="307" spans="1:12" hidden="1" x14ac:dyDescent="0.35">
      <c r="A307" s="30">
        <v>46156</v>
      </c>
      <c r="B307" s="20"/>
      <c r="C307" s="20"/>
      <c r="D307" s="20" t="s">
        <v>79</v>
      </c>
      <c r="E307" s="20" t="s">
        <v>0</v>
      </c>
      <c r="F307" s="19" t="s">
        <v>428</v>
      </c>
      <c r="G307" s="21">
        <f>120+150+50</f>
        <v>320</v>
      </c>
      <c r="H307" s="20"/>
      <c r="I307" s="20"/>
      <c r="J307" s="41">
        <f>J306+Table234535[[#This Row],[AMOUNT]]-Table234535[[#This Row],[AMOUNT2]]-Table234535[[#This Row],[AMOUNT3]]</f>
        <v>-20329</v>
      </c>
      <c r="K307" s="79"/>
      <c r="L307">
        <f>SUM(G306:G314)</f>
        <v>4780</v>
      </c>
    </row>
    <row r="308" spans="1:12" hidden="1" x14ac:dyDescent="0.35">
      <c r="A308" s="30">
        <v>46156</v>
      </c>
      <c r="B308" s="20"/>
      <c r="C308" s="20"/>
      <c r="D308" s="20" t="s">
        <v>111</v>
      </c>
      <c r="E308" s="20" t="s">
        <v>0</v>
      </c>
      <c r="F308" s="19" t="s">
        <v>429</v>
      </c>
      <c r="G308" s="21">
        <f>150+50+150</f>
        <v>350</v>
      </c>
      <c r="H308" s="20"/>
      <c r="I308" s="20"/>
      <c r="J308" s="41">
        <f>J307+Table234535[[#This Row],[AMOUNT]]-Table234535[[#This Row],[AMOUNT2]]-Table234535[[#This Row],[AMOUNT3]]</f>
        <v>-20679</v>
      </c>
      <c r="K308" s="79"/>
      <c r="L308">
        <v>4780</v>
      </c>
    </row>
    <row r="309" spans="1:12" hidden="1" x14ac:dyDescent="0.35">
      <c r="A309" s="30">
        <v>46156</v>
      </c>
      <c r="B309" s="20"/>
      <c r="C309" s="20"/>
      <c r="D309" s="20" t="s">
        <v>111</v>
      </c>
      <c r="E309" s="20" t="s">
        <v>682</v>
      </c>
      <c r="F309" s="19" t="s">
        <v>432</v>
      </c>
      <c r="G309" s="21">
        <v>150</v>
      </c>
      <c r="H309" s="20"/>
      <c r="I309" s="20"/>
      <c r="J309" s="41">
        <f>J308+Table234535[[#This Row],[AMOUNT]]-Table234535[[#This Row],[AMOUNT2]]-Table234535[[#This Row],[AMOUNT3]]</f>
        <v>-20829</v>
      </c>
      <c r="K309" s="79"/>
      <c r="L309">
        <f>+L307-L308</f>
        <v>0</v>
      </c>
    </row>
    <row r="310" spans="1:12" hidden="1" x14ac:dyDescent="0.35">
      <c r="A310" s="30">
        <v>46156</v>
      </c>
      <c r="B310" s="20"/>
      <c r="C310" s="20"/>
      <c r="D310" s="20" t="s">
        <v>430</v>
      </c>
      <c r="E310" s="20" t="s">
        <v>0</v>
      </c>
      <c r="F310" s="19" t="s">
        <v>431</v>
      </c>
      <c r="G310" s="21">
        <f>150+150</f>
        <v>300</v>
      </c>
      <c r="H310" s="20"/>
      <c r="I310" s="20"/>
      <c r="J310" s="41">
        <f>J309+Table234535[[#This Row],[AMOUNT]]-Table234535[[#This Row],[AMOUNT2]]-Table234535[[#This Row],[AMOUNT3]]</f>
        <v>-21129</v>
      </c>
      <c r="K310" s="79"/>
    </row>
    <row r="311" spans="1:12" hidden="1" x14ac:dyDescent="0.35">
      <c r="A311" s="30">
        <v>46156</v>
      </c>
      <c r="B311" s="20"/>
      <c r="C311" s="20"/>
      <c r="D311" s="20" t="s">
        <v>430</v>
      </c>
      <c r="E311" s="20" t="s">
        <v>34</v>
      </c>
      <c r="F311" s="19" t="s">
        <v>433</v>
      </c>
      <c r="G311" s="21">
        <v>320</v>
      </c>
      <c r="H311" s="20"/>
      <c r="I311" s="20"/>
      <c r="J311" s="41">
        <f>J310+Table234535[[#This Row],[AMOUNT]]-Table234535[[#This Row],[AMOUNT2]]-Table234535[[#This Row],[AMOUNT3]]</f>
        <v>-21449</v>
      </c>
      <c r="K311" s="79"/>
    </row>
    <row r="312" spans="1:12" hidden="1" x14ac:dyDescent="0.35">
      <c r="A312" s="30">
        <v>46156</v>
      </c>
      <c r="B312" s="20"/>
      <c r="C312" s="20"/>
      <c r="D312" s="20" t="s">
        <v>108</v>
      </c>
      <c r="E312" s="20" t="s">
        <v>679</v>
      </c>
      <c r="F312" s="19" t="s">
        <v>434</v>
      </c>
      <c r="G312" s="21">
        <f>250+250+250+250</f>
        <v>1000</v>
      </c>
      <c r="H312" s="20"/>
      <c r="I312" s="20"/>
      <c r="J312" s="41">
        <f>J311+Table234535[[#This Row],[AMOUNT]]-Table234535[[#This Row],[AMOUNT2]]-Table234535[[#This Row],[AMOUNT3]]</f>
        <v>-22449</v>
      </c>
      <c r="K312" s="79"/>
    </row>
    <row r="313" spans="1:12" hidden="1" x14ac:dyDescent="0.35">
      <c r="A313" s="30">
        <v>46156</v>
      </c>
      <c r="B313" s="20"/>
      <c r="C313" s="20"/>
      <c r="D313" s="20" t="s">
        <v>234</v>
      </c>
      <c r="E313" s="20" t="s">
        <v>679</v>
      </c>
      <c r="F313" s="19" t="s">
        <v>435</v>
      </c>
      <c r="G313" s="21">
        <f>300+200+100+200+100+100+300+500</f>
        <v>1800</v>
      </c>
      <c r="H313" s="20"/>
      <c r="I313" s="20"/>
      <c r="J313" s="41">
        <f>J312+Table234535[[#This Row],[AMOUNT]]-Table234535[[#This Row],[AMOUNT2]]-Table234535[[#This Row],[AMOUNT3]]</f>
        <v>-24249</v>
      </c>
      <c r="K313" s="79"/>
    </row>
    <row r="314" spans="1:12" hidden="1" x14ac:dyDescent="0.35">
      <c r="A314" s="30">
        <v>46156</v>
      </c>
      <c r="B314" s="20"/>
      <c r="C314" s="20"/>
      <c r="D314" s="20" t="s">
        <v>234</v>
      </c>
      <c r="E314" s="20" t="s">
        <v>27</v>
      </c>
      <c r="F314" s="19" t="s">
        <v>436</v>
      </c>
      <c r="G314" s="21">
        <v>300</v>
      </c>
      <c r="H314" s="20"/>
      <c r="I314" s="20"/>
      <c r="J314" s="41">
        <f>J313+Table234535[[#This Row],[AMOUNT]]-Table234535[[#This Row],[AMOUNT2]]-Table234535[[#This Row],[AMOUNT3]]</f>
        <v>-24549</v>
      </c>
      <c r="K314" s="79"/>
    </row>
    <row r="315" spans="1:12" hidden="1" x14ac:dyDescent="0.35">
      <c r="A315" s="30">
        <v>46157</v>
      </c>
      <c r="B315" s="20" t="s">
        <v>45</v>
      </c>
      <c r="C315" s="45">
        <v>6800</v>
      </c>
      <c r="D315" s="20" t="s">
        <v>65</v>
      </c>
      <c r="E315" s="20" t="s">
        <v>16</v>
      </c>
      <c r="F315" s="19" t="s">
        <v>286</v>
      </c>
      <c r="G315" s="21">
        <f>1*900</f>
        <v>900</v>
      </c>
      <c r="H315" s="20"/>
      <c r="I315" s="20"/>
      <c r="J315" s="41">
        <f>J314+Table234535[[#This Row],[AMOUNT]]-Table234535[[#This Row],[AMOUNT2]]-Table234535[[#This Row],[AMOUNT3]]</f>
        <v>-18649</v>
      </c>
      <c r="K315" s="79"/>
    </row>
    <row r="316" spans="1:12" hidden="1" x14ac:dyDescent="0.35">
      <c r="A316" s="30">
        <v>46157</v>
      </c>
      <c r="B316" s="20" t="s">
        <v>45</v>
      </c>
      <c r="C316" s="45">
        <v>10000</v>
      </c>
      <c r="D316" s="20" t="s">
        <v>91</v>
      </c>
      <c r="E316" s="20" t="s">
        <v>68</v>
      </c>
      <c r="F316" s="19" t="s">
        <v>222</v>
      </c>
      <c r="G316" s="21">
        <f>3*700</f>
        <v>2100</v>
      </c>
      <c r="H316" s="20"/>
      <c r="I316" s="20"/>
      <c r="J316" s="41">
        <f>J315+Table234535[[#This Row],[AMOUNT]]-Table234535[[#This Row],[AMOUNT2]]-Table234535[[#This Row],[AMOUNT3]]</f>
        <v>-10749</v>
      </c>
      <c r="K316" s="79"/>
    </row>
    <row r="317" spans="1:12" hidden="1" x14ac:dyDescent="0.35">
      <c r="A317" s="30">
        <v>46157</v>
      </c>
      <c r="B317" s="20"/>
      <c r="C317" s="20"/>
      <c r="D317" s="20" t="s">
        <v>91</v>
      </c>
      <c r="E317" s="20" t="s">
        <v>40</v>
      </c>
      <c r="F317" s="19" t="s">
        <v>484</v>
      </c>
      <c r="G317" s="21">
        <v>150</v>
      </c>
      <c r="H317" s="20"/>
      <c r="I317" s="20"/>
      <c r="J317" s="41">
        <f>J316+Table234535[[#This Row],[AMOUNT]]-Table234535[[#This Row],[AMOUNT2]]-Table234535[[#This Row],[AMOUNT3]]</f>
        <v>-10899</v>
      </c>
      <c r="K317" s="79"/>
    </row>
    <row r="318" spans="1:12" hidden="1" x14ac:dyDescent="0.35">
      <c r="A318" s="30">
        <v>46157</v>
      </c>
      <c r="B318" s="20"/>
      <c r="C318" s="20"/>
      <c r="D318" s="20" t="s">
        <v>91</v>
      </c>
      <c r="E318" s="20" t="s">
        <v>38</v>
      </c>
      <c r="F318" s="19" t="s">
        <v>451</v>
      </c>
      <c r="G318" s="21">
        <v>1200</v>
      </c>
      <c r="H318" s="20"/>
      <c r="I318" s="20"/>
      <c r="J318" s="41">
        <f>J317+Table234535[[#This Row],[AMOUNT]]-Table234535[[#This Row],[AMOUNT2]]-Table234535[[#This Row],[AMOUNT3]]</f>
        <v>-12099</v>
      </c>
      <c r="K318" s="79"/>
      <c r="L318">
        <f>3*700</f>
        <v>2100</v>
      </c>
    </row>
    <row r="319" spans="1:12" hidden="1" x14ac:dyDescent="0.35">
      <c r="A319" s="30">
        <v>46157</v>
      </c>
      <c r="B319" s="20"/>
      <c r="C319" s="20"/>
      <c r="D319" s="20" t="s">
        <v>65</v>
      </c>
      <c r="E319" s="20" t="s">
        <v>34</v>
      </c>
      <c r="F319" s="19" t="s">
        <v>452</v>
      </c>
      <c r="G319" s="21">
        <v>450</v>
      </c>
      <c r="H319" s="20"/>
      <c r="I319" s="20"/>
      <c r="J319" s="41">
        <f>J318+Table234535[[#This Row],[AMOUNT]]-Table234535[[#This Row],[AMOUNT2]]-Table234535[[#This Row],[AMOUNT3]]</f>
        <v>-12549</v>
      </c>
      <c r="K319" s="79"/>
      <c r="L319">
        <f>+G316-L318</f>
        <v>0</v>
      </c>
    </row>
    <row r="320" spans="1:12" hidden="1" x14ac:dyDescent="0.35">
      <c r="A320" s="30">
        <v>46157</v>
      </c>
      <c r="B320" s="20"/>
      <c r="C320" s="20"/>
      <c r="D320" s="20" t="s">
        <v>65</v>
      </c>
      <c r="E320" s="20" t="s">
        <v>68</v>
      </c>
      <c r="F320" s="19" t="s">
        <v>488</v>
      </c>
      <c r="G320" s="21">
        <v>800</v>
      </c>
      <c r="H320" s="20"/>
      <c r="I320" s="20"/>
      <c r="J320" s="41">
        <f>J319+Table234535[[#This Row],[AMOUNT]]-Table234535[[#This Row],[AMOUNT2]]-Table234535[[#This Row],[AMOUNT3]]</f>
        <v>-13349</v>
      </c>
      <c r="K320" s="79"/>
    </row>
    <row r="321" spans="1:13" hidden="1" x14ac:dyDescent="0.35">
      <c r="A321" s="30">
        <v>46157</v>
      </c>
      <c r="B321" s="20"/>
      <c r="C321" s="20"/>
      <c r="D321" s="20" t="s">
        <v>21</v>
      </c>
      <c r="E321" s="20" t="s">
        <v>27</v>
      </c>
      <c r="F321" s="19" t="s">
        <v>28</v>
      </c>
      <c r="G321" s="21">
        <v>10000</v>
      </c>
      <c r="H321" s="20"/>
      <c r="I321" s="20"/>
      <c r="J321" s="41">
        <f>J320+Table234535[[#This Row],[AMOUNT]]-Table234535[[#This Row],[AMOUNT2]]-Table234535[[#This Row],[AMOUNT3]]</f>
        <v>-23349</v>
      </c>
      <c r="K321" s="79"/>
      <c r="L321">
        <v>-49349</v>
      </c>
      <c r="M321">
        <f>+Table234535[[#This Row],[BALANCE]]-L321</f>
        <v>26000</v>
      </c>
    </row>
    <row r="322" spans="1:13" hidden="1" x14ac:dyDescent="0.35">
      <c r="A322" s="30">
        <v>46158</v>
      </c>
      <c r="B322" s="20" t="s">
        <v>45</v>
      </c>
      <c r="C322" s="45">
        <v>2000</v>
      </c>
      <c r="D322" s="20" t="s">
        <v>65</v>
      </c>
      <c r="E322" s="20" t="s">
        <v>16</v>
      </c>
      <c r="F322" s="19" t="s">
        <v>286</v>
      </c>
      <c r="G322" s="21">
        <f>1*900</f>
        <v>900</v>
      </c>
      <c r="H322" s="20" t="s">
        <v>53</v>
      </c>
      <c r="I322" s="45">
        <v>2000</v>
      </c>
      <c r="J322" s="41">
        <f>J321+Table234535[[#This Row],[AMOUNT]]-Table234535[[#This Row],[AMOUNT2]]-Table234535[[#This Row],[AMOUNT3]]</f>
        <v>-24249</v>
      </c>
      <c r="K322" s="79"/>
    </row>
    <row r="323" spans="1:13" hidden="1" x14ac:dyDescent="0.35">
      <c r="A323" s="30">
        <v>46158</v>
      </c>
      <c r="B323" s="20"/>
      <c r="C323" s="20"/>
      <c r="D323" s="20" t="s">
        <v>65</v>
      </c>
      <c r="E323" s="20" t="s">
        <v>34</v>
      </c>
      <c r="F323" s="19" t="s">
        <v>453</v>
      </c>
      <c r="G323" s="21">
        <v>170</v>
      </c>
      <c r="H323" s="20"/>
      <c r="I323" s="20"/>
      <c r="J323" s="41">
        <f>J322+Table234535[[#This Row],[AMOUNT]]-Table234535[[#This Row],[AMOUNT2]]-Table234535[[#This Row],[AMOUNT3]]</f>
        <v>-24419</v>
      </c>
      <c r="K323" s="79"/>
    </row>
    <row r="324" spans="1:13" hidden="1" x14ac:dyDescent="0.35">
      <c r="A324" s="30">
        <v>46159</v>
      </c>
      <c r="B324" s="20"/>
      <c r="C324" s="20"/>
      <c r="D324" s="20" t="s">
        <v>91</v>
      </c>
      <c r="E324" s="20" t="s">
        <v>68</v>
      </c>
      <c r="F324" s="19" t="s">
        <v>35</v>
      </c>
      <c r="G324" s="21">
        <v>700</v>
      </c>
      <c r="H324" s="20"/>
      <c r="I324" s="20"/>
      <c r="J324" s="41">
        <f>J323+Table234535[[#This Row],[AMOUNT]]-Table234535[[#This Row],[AMOUNT2]]-Table234535[[#This Row],[AMOUNT3]]</f>
        <v>-25119</v>
      </c>
      <c r="K324" s="79"/>
    </row>
    <row r="325" spans="1:13" hidden="1" x14ac:dyDescent="0.35">
      <c r="A325" s="30">
        <v>46159</v>
      </c>
      <c r="B325" s="20"/>
      <c r="C325" s="20"/>
      <c r="D325" s="20" t="s">
        <v>91</v>
      </c>
      <c r="E325" s="20" t="s">
        <v>40</v>
      </c>
      <c r="F325" s="19" t="s">
        <v>484</v>
      </c>
      <c r="G325" s="21">
        <v>50</v>
      </c>
      <c r="H325" s="20"/>
      <c r="I325" s="20"/>
      <c r="J325" s="41">
        <f>J324+Table234535[[#This Row],[AMOUNT]]-Table234535[[#This Row],[AMOUNT2]]-Table234535[[#This Row],[AMOUNT3]]</f>
        <v>-25169</v>
      </c>
      <c r="K325" s="79"/>
    </row>
    <row r="326" spans="1:13" hidden="1" x14ac:dyDescent="0.35">
      <c r="A326" s="30">
        <v>46159</v>
      </c>
      <c r="B326" s="20"/>
      <c r="C326" s="20"/>
      <c r="D326" s="20" t="s">
        <v>65</v>
      </c>
      <c r="E326" s="20" t="s">
        <v>16</v>
      </c>
      <c r="F326" s="19" t="s">
        <v>286</v>
      </c>
      <c r="G326" s="21">
        <f>1*900</f>
        <v>900</v>
      </c>
      <c r="H326" s="20"/>
      <c r="I326" s="20"/>
      <c r="J326" s="41">
        <f>J325+Table234535[[#This Row],[AMOUNT]]-Table234535[[#This Row],[AMOUNT2]]-Table234535[[#This Row],[AMOUNT3]]</f>
        <v>-26069</v>
      </c>
      <c r="K326" s="79"/>
    </row>
    <row r="327" spans="1:13" hidden="1" x14ac:dyDescent="0.35">
      <c r="A327" s="30">
        <v>46159</v>
      </c>
      <c r="B327" s="20"/>
      <c r="C327" s="20"/>
      <c r="D327" s="20" t="s">
        <v>65</v>
      </c>
      <c r="E327" s="20" t="s">
        <v>679</v>
      </c>
      <c r="F327" s="19" t="s">
        <v>1</v>
      </c>
      <c r="G327" s="21">
        <v>250</v>
      </c>
      <c r="H327" s="20"/>
      <c r="I327" s="20"/>
      <c r="J327" s="41">
        <f>J326+Table234535[[#This Row],[AMOUNT]]-Table234535[[#This Row],[AMOUNT2]]-Table234535[[#This Row],[AMOUNT3]]</f>
        <v>-26319</v>
      </c>
      <c r="K327" s="79"/>
    </row>
    <row r="328" spans="1:13" hidden="1" x14ac:dyDescent="0.35">
      <c r="A328" s="30">
        <v>46159</v>
      </c>
      <c r="B328" s="20"/>
      <c r="C328" s="20"/>
      <c r="D328" s="20" t="s">
        <v>91</v>
      </c>
      <c r="E328" s="20" t="s">
        <v>679</v>
      </c>
      <c r="F328" s="19" t="s">
        <v>1</v>
      </c>
      <c r="G328" s="21">
        <v>250</v>
      </c>
      <c r="H328" s="20"/>
      <c r="I328" s="20"/>
      <c r="J328" s="41">
        <f>J327+Table234535[[#This Row],[AMOUNT]]-Table234535[[#This Row],[AMOUNT2]]-Table234535[[#This Row],[AMOUNT3]]</f>
        <v>-26569</v>
      </c>
      <c r="K328" s="79"/>
    </row>
    <row r="329" spans="1:13" hidden="1" x14ac:dyDescent="0.35">
      <c r="A329" s="30">
        <v>46159</v>
      </c>
      <c r="B329" s="20"/>
      <c r="C329" s="20"/>
      <c r="D329" s="20" t="s">
        <v>39</v>
      </c>
      <c r="E329" s="20" t="s">
        <v>679</v>
      </c>
      <c r="F329" s="19" t="s">
        <v>1</v>
      </c>
      <c r="G329" s="21">
        <v>500</v>
      </c>
      <c r="H329" s="20"/>
      <c r="I329" s="20"/>
      <c r="J329" s="41">
        <f>J328+Table234535[[#This Row],[AMOUNT]]-Table234535[[#This Row],[AMOUNT2]]-Table234535[[#This Row],[AMOUNT3]]</f>
        <v>-27069</v>
      </c>
      <c r="K329" s="79"/>
    </row>
    <row r="330" spans="1:13" hidden="1" x14ac:dyDescent="0.35">
      <c r="A330" s="30">
        <v>46160</v>
      </c>
      <c r="B330" s="20"/>
      <c r="C330" s="20"/>
      <c r="D330" s="20" t="s">
        <v>91</v>
      </c>
      <c r="E330" s="20" t="s">
        <v>68</v>
      </c>
      <c r="F330" s="19" t="s">
        <v>35</v>
      </c>
      <c r="G330" s="21">
        <v>700</v>
      </c>
      <c r="H330" s="20"/>
      <c r="I330" s="20"/>
      <c r="J330" s="41">
        <f>J329+Table234535[[#This Row],[AMOUNT]]-Table234535[[#This Row],[AMOUNT2]]-Table234535[[#This Row],[AMOUNT3]]</f>
        <v>-27769</v>
      </c>
      <c r="K330" s="79"/>
    </row>
    <row r="331" spans="1:13" hidden="1" x14ac:dyDescent="0.35">
      <c r="A331" s="30">
        <v>46160</v>
      </c>
      <c r="B331" s="20"/>
      <c r="C331" s="20"/>
      <c r="D331" s="20" t="s">
        <v>91</v>
      </c>
      <c r="E331" s="20" t="s">
        <v>40</v>
      </c>
      <c r="F331" s="19" t="s">
        <v>484</v>
      </c>
      <c r="G331" s="21">
        <v>50</v>
      </c>
      <c r="H331" s="20"/>
      <c r="I331" s="20"/>
      <c r="J331" s="41">
        <f>J330+Table234535[[#This Row],[AMOUNT]]-Table234535[[#This Row],[AMOUNT2]]-Table234535[[#This Row],[AMOUNT3]]</f>
        <v>-27819</v>
      </c>
      <c r="K331" s="79"/>
    </row>
    <row r="332" spans="1:13" hidden="1" x14ac:dyDescent="0.35">
      <c r="A332" s="30">
        <v>46160</v>
      </c>
      <c r="B332" s="20"/>
      <c r="C332" s="20"/>
      <c r="D332" s="20" t="s">
        <v>65</v>
      </c>
      <c r="E332" s="20" t="s">
        <v>16</v>
      </c>
      <c r="F332" s="19" t="s">
        <v>286</v>
      </c>
      <c r="G332" s="21">
        <f>1*900</f>
        <v>900</v>
      </c>
      <c r="H332" s="20"/>
      <c r="I332" s="20"/>
      <c r="J332" s="41">
        <f>J331+Table234535[[#This Row],[AMOUNT]]-Table234535[[#This Row],[AMOUNT2]]-Table234535[[#This Row],[AMOUNT3]]</f>
        <v>-28719</v>
      </c>
      <c r="K332" s="79"/>
    </row>
    <row r="333" spans="1:13" hidden="1" x14ac:dyDescent="0.35">
      <c r="A333" s="30">
        <v>46160</v>
      </c>
      <c r="B333" s="20"/>
      <c r="C333" s="20"/>
      <c r="D333" s="20" t="s">
        <v>65</v>
      </c>
      <c r="E333" s="20" t="s">
        <v>34</v>
      </c>
      <c r="F333" s="19" t="s">
        <v>454</v>
      </c>
      <c r="G333" s="21">
        <v>490</v>
      </c>
      <c r="H333" s="20"/>
      <c r="I333" s="20"/>
      <c r="J333" s="41">
        <f>J332+Table234535[[#This Row],[AMOUNT]]-Table234535[[#This Row],[AMOUNT2]]-Table234535[[#This Row],[AMOUNT3]]</f>
        <v>-29209</v>
      </c>
      <c r="K333" s="79"/>
    </row>
    <row r="334" spans="1:13" hidden="1" x14ac:dyDescent="0.35">
      <c r="A334" s="30">
        <v>46161</v>
      </c>
      <c r="B334" s="20"/>
      <c r="C334" s="20"/>
      <c r="D334" s="20" t="s">
        <v>91</v>
      </c>
      <c r="E334" s="20" t="s">
        <v>68</v>
      </c>
      <c r="F334" s="19" t="s">
        <v>35</v>
      </c>
      <c r="G334" s="21">
        <v>700</v>
      </c>
      <c r="H334" s="20" t="s">
        <v>53</v>
      </c>
      <c r="I334" s="45">
        <v>1000</v>
      </c>
      <c r="J334" s="41">
        <f>J333+Table234535[[#This Row],[AMOUNT]]-Table234535[[#This Row],[AMOUNT2]]-Table234535[[#This Row],[AMOUNT3]]</f>
        <v>-30909</v>
      </c>
      <c r="K334" s="79"/>
    </row>
    <row r="335" spans="1:13" hidden="1" x14ac:dyDescent="0.35">
      <c r="A335" s="30">
        <v>46161</v>
      </c>
      <c r="B335" s="20"/>
      <c r="C335" s="20"/>
      <c r="D335" s="20" t="s">
        <v>91</v>
      </c>
      <c r="E335" s="20" t="s">
        <v>40</v>
      </c>
      <c r="F335" s="19" t="s">
        <v>484</v>
      </c>
      <c r="G335" s="21">
        <v>50</v>
      </c>
      <c r="H335" s="20"/>
      <c r="I335" s="20"/>
      <c r="J335" s="41">
        <f>J334+Table234535[[#This Row],[AMOUNT]]-Table234535[[#This Row],[AMOUNT2]]-Table234535[[#This Row],[AMOUNT3]]</f>
        <v>-30959</v>
      </c>
      <c r="K335" s="79"/>
    </row>
    <row r="336" spans="1:13" hidden="1" x14ac:dyDescent="0.35">
      <c r="A336" s="30">
        <v>46161</v>
      </c>
      <c r="B336" s="20"/>
      <c r="C336" s="20"/>
      <c r="D336" s="20" t="s">
        <v>65</v>
      </c>
      <c r="E336" s="20" t="s">
        <v>16</v>
      </c>
      <c r="F336" s="19" t="s">
        <v>286</v>
      </c>
      <c r="G336" s="21">
        <f>1*900</f>
        <v>900</v>
      </c>
      <c r="H336" s="20"/>
      <c r="I336" s="20"/>
      <c r="J336" s="41">
        <f>J335+Table234535[[#This Row],[AMOUNT]]-Table234535[[#This Row],[AMOUNT2]]-Table234535[[#This Row],[AMOUNT3]]</f>
        <v>-31859</v>
      </c>
      <c r="K336" s="79"/>
    </row>
    <row r="337" spans="1:11" hidden="1" x14ac:dyDescent="0.35">
      <c r="A337" s="30">
        <v>46161</v>
      </c>
      <c r="B337" s="20"/>
      <c r="C337" s="20"/>
      <c r="D337" s="20" t="s">
        <v>65</v>
      </c>
      <c r="E337" s="20" t="s">
        <v>34</v>
      </c>
      <c r="F337" s="19" t="s">
        <v>455</v>
      </c>
      <c r="G337" s="21">
        <v>160</v>
      </c>
      <c r="H337" s="20"/>
      <c r="I337" s="20"/>
      <c r="J337" s="41">
        <f>J336+Table234535[[#This Row],[AMOUNT]]-Table234535[[#This Row],[AMOUNT2]]-Table234535[[#This Row],[AMOUNT3]]</f>
        <v>-32019</v>
      </c>
      <c r="K337" s="79"/>
    </row>
    <row r="338" spans="1:11" hidden="1" x14ac:dyDescent="0.35">
      <c r="A338" s="30">
        <v>46162</v>
      </c>
      <c r="B338" s="20" t="s">
        <v>45</v>
      </c>
      <c r="C338" s="45">
        <v>1000</v>
      </c>
      <c r="D338" s="20" t="s">
        <v>91</v>
      </c>
      <c r="E338" s="20" t="s">
        <v>68</v>
      </c>
      <c r="F338" s="19" t="s">
        <v>35</v>
      </c>
      <c r="G338" s="21">
        <v>700</v>
      </c>
      <c r="H338" s="20"/>
      <c r="I338" s="20"/>
      <c r="J338" s="41">
        <f>J337+Table234535[[#This Row],[AMOUNT]]-Table234535[[#This Row],[AMOUNT2]]-Table234535[[#This Row],[AMOUNT3]]</f>
        <v>-31719</v>
      </c>
      <c r="K338" s="79"/>
    </row>
    <row r="339" spans="1:11" hidden="1" x14ac:dyDescent="0.35">
      <c r="A339" s="30">
        <v>46162</v>
      </c>
      <c r="B339" s="20"/>
      <c r="C339" s="20"/>
      <c r="D339" s="20" t="s">
        <v>91</v>
      </c>
      <c r="E339" s="20" t="s">
        <v>40</v>
      </c>
      <c r="F339" s="19" t="s">
        <v>484</v>
      </c>
      <c r="G339" s="21">
        <v>50</v>
      </c>
      <c r="H339" s="20"/>
      <c r="I339" s="20"/>
      <c r="J339" s="41">
        <f>J338+Table234535[[#This Row],[AMOUNT]]-Table234535[[#This Row],[AMOUNT2]]-Table234535[[#This Row],[AMOUNT3]]</f>
        <v>-31769</v>
      </c>
      <c r="K339" s="79"/>
    </row>
    <row r="340" spans="1:11" hidden="1" x14ac:dyDescent="0.35">
      <c r="A340" s="30">
        <v>46162</v>
      </c>
      <c r="B340" s="20"/>
      <c r="C340" s="20"/>
      <c r="D340" s="20" t="s">
        <v>65</v>
      </c>
      <c r="E340" s="20" t="s">
        <v>16</v>
      </c>
      <c r="F340" s="19" t="s">
        <v>286</v>
      </c>
      <c r="G340" s="21">
        <f>1*900</f>
        <v>900</v>
      </c>
      <c r="H340" s="20"/>
      <c r="I340" s="20"/>
      <c r="J340" s="41">
        <f>J339+Table234535[[#This Row],[AMOUNT]]-Table234535[[#This Row],[AMOUNT2]]-Table234535[[#This Row],[AMOUNT3]]</f>
        <v>-32669</v>
      </c>
      <c r="K340" s="79"/>
    </row>
    <row r="341" spans="1:11" hidden="1" x14ac:dyDescent="0.35">
      <c r="A341" s="30">
        <v>46162</v>
      </c>
      <c r="B341" s="20"/>
      <c r="C341" s="20"/>
      <c r="D341" s="20" t="s">
        <v>65</v>
      </c>
      <c r="E341" s="20" t="s">
        <v>68</v>
      </c>
      <c r="F341" s="19" t="s">
        <v>285</v>
      </c>
      <c r="G341" s="21">
        <f>2*800</f>
        <v>1600</v>
      </c>
      <c r="H341" s="20"/>
      <c r="I341" s="20"/>
      <c r="J341" s="41">
        <f>J340+Table234535[[#This Row],[AMOUNT]]-Table234535[[#This Row],[AMOUNT2]]-Table234535[[#This Row],[AMOUNT3]]</f>
        <v>-34269</v>
      </c>
      <c r="K341" s="79"/>
    </row>
    <row r="342" spans="1:11" x14ac:dyDescent="0.35">
      <c r="A342" s="30">
        <v>46162</v>
      </c>
      <c r="B342" s="20"/>
      <c r="C342" s="20"/>
      <c r="D342" s="20" t="s">
        <v>21</v>
      </c>
      <c r="E342" s="20" t="s">
        <v>27</v>
      </c>
      <c r="F342" s="19" t="s">
        <v>1283</v>
      </c>
      <c r="G342" s="21">
        <v>1000</v>
      </c>
      <c r="H342" s="20"/>
      <c r="I342" s="20"/>
      <c r="J342" s="41">
        <f>J341+Table234535[[#This Row],[AMOUNT]]-Table234535[[#This Row],[AMOUNT2]]-Table234535[[#This Row],[AMOUNT3]]</f>
        <v>-35269</v>
      </c>
      <c r="K342" s="79"/>
    </row>
    <row r="343" spans="1:11" hidden="1" x14ac:dyDescent="0.35">
      <c r="A343" s="30">
        <v>46162</v>
      </c>
      <c r="B343" s="20"/>
      <c r="C343" s="20"/>
      <c r="D343" s="20" t="s">
        <v>65</v>
      </c>
      <c r="E343" s="20" t="s">
        <v>682</v>
      </c>
      <c r="F343" s="19" t="s">
        <v>456</v>
      </c>
      <c r="G343" s="21">
        <v>600</v>
      </c>
      <c r="H343" s="20"/>
      <c r="I343" s="20"/>
      <c r="J343" s="41">
        <f>J342+Table234535[[#This Row],[AMOUNT]]-Table234535[[#This Row],[AMOUNT2]]-Table234535[[#This Row],[AMOUNT3]]</f>
        <v>-35869</v>
      </c>
      <c r="K343" s="79"/>
    </row>
    <row r="344" spans="1:11" hidden="1" x14ac:dyDescent="0.35">
      <c r="A344" s="30">
        <v>46163</v>
      </c>
      <c r="B344" s="20" t="s">
        <v>466</v>
      </c>
      <c r="C344" s="45">
        <v>10000</v>
      </c>
      <c r="D344" s="20" t="s">
        <v>65</v>
      </c>
      <c r="E344" s="20" t="s">
        <v>16</v>
      </c>
      <c r="F344" s="19" t="s">
        <v>286</v>
      </c>
      <c r="G344" s="21">
        <f>1*900</f>
        <v>900</v>
      </c>
      <c r="H344" s="20" t="s">
        <v>64</v>
      </c>
      <c r="I344" s="20">
        <v>5000</v>
      </c>
      <c r="J344" s="41">
        <f>J343+Table234535[[#This Row],[AMOUNT]]-Table234535[[#This Row],[AMOUNT2]]-Table234535[[#This Row],[AMOUNT3]]</f>
        <v>-31769</v>
      </c>
      <c r="K344" s="79"/>
    </row>
    <row r="345" spans="1:11" hidden="1" x14ac:dyDescent="0.35">
      <c r="A345" s="30">
        <v>46163</v>
      </c>
      <c r="B345" s="20" t="s">
        <v>45</v>
      </c>
      <c r="C345" s="45">
        <v>5000</v>
      </c>
      <c r="D345" s="20" t="s">
        <v>65</v>
      </c>
      <c r="E345" s="20" t="s">
        <v>68</v>
      </c>
      <c r="F345" s="19" t="s">
        <v>195</v>
      </c>
      <c r="G345" s="21">
        <f>4*800</f>
        <v>3200</v>
      </c>
      <c r="H345" s="20"/>
      <c r="I345" s="20"/>
      <c r="J345" s="41">
        <f>J344+Table234535[[#This Row],[AMOUNT]]-Table234535[[#This Row],[AMOUNT2]]-Table234535[[#This Row],[AMOUNT3]]</f>
        <v>-29969</v>
      </c>
      <c r="K345" s="79"/>
    </row>
    <row r="346" spans="1:11" hidden="1" x14ac:dyDescent="0.35">
      <c r="A346" s="30">
        <v>46163</v>
      </c>
      <c r="B346" s="20"/>
      <c r="C346" s="20"/>
      <c r="D346" s="20" t="s">
        <v>91</v>
      </c>
      <c r="E346" s="20" t="s">
        <v>68</v>
      </c>
      <c r="F346" s="19" t="s">
        <v>35</v>
      </c>
      <c r="G346" s="21">
        <v>700</v>
      </c>
      <c r="H346" s="20"/>
      <c r="I346" s="20"/>
      <c r="J346" s="41">
        <f>J345+Table234535[[#This Row],[AMOUNT]]-Table234535[[#This Row],[AMOUNT2]]-Table234535[[#This Row],[AMOUNT3]]</f>
        <v>-30669</v>
      </c>
      <c r="K346" s="79"/>
    </row>
    <row r="347" spans="1:11" hidden="1" x14ac:dyDescent="0.35">
      <c r="A347" s="30">
        <v>46163</v>
      </c>
      <c r="B347" s="20"/>
      <c r="C347" s="20"/>
      <c r="D347" s="20" t="s">
        <v>91</v>
      </c>
      <c r="E347" s="20" t="s">
        <v>40</v>
      </c>
      <c r="F347" s="19" t="s">
        <v>484</v>
      </c>
      <c r="G347" s="21">
        <v>50</v>
      </c>
      <c r="H347" s="20"/>
      <c r="I347" s="20"/>
      <c r="J347" s="41">
        <f>J346+Table234535[[#This Row],[AMOUNT]]-Table234535[[#This Row],[AMOUNT2]]-Table234535[[#This Row],[AMOUNT3]]</f>
        <v>-30719</v>
      </c>
      <c r="K347" s="79"/>
    </row>
    <row r="348" spans="1:11" hidden="1" x14ac:dyDescent="0.35">
      <c r="A348" s="30">
        <v>46163</v>
      </c>
      <c r="B348" s="20"/>
      <c r="C348" s="20"/>
      <c r="D348" s="20" t="s">
        <v>65</v>
      </c>
      <c r="E348" s="20" t="s">
        <v>682</v>
      </c>
      <c r="F348" s="19" t="s">
        <v>457</v>
      </c>
      <c r="G348" s="21">
        <v>600</v>
      </c>
      <c r="H348" s="20"/>
      <c r="I348" s="20"/>
      <c r="J348" s="41">
        <f>J347+Table234535[[#This Row],[AMOUNT]]-Table234535[[#This Row],[AMOUNT2]]-Table234535[[#This Row],[AMOUNT3]]</f>
        <v>-31319</v>
      </c>
      <c r="K348" s="79"/>
    </row>
    <row r="349" spans="1:11" hidden="1" x14ac:dyDescent="0.35">
      <c r="A349" s="30">
        <v>46163</v>
      </c>
      <c r="B349" s="20"/>
      <c r="C349" s="20"/>
      <c r="D349" s="20" t="s">
        <v>65</v>
      </c>
      <c r="E349" s="20" t="s">
        <v>20</v>
      </c>
      <c r="F349" s="19" t="s">
        <v>458</v>
      </c>
      <c r="G349" s="21">
        <v>2400</v>
      </c>
      <c r="H349" s="20"/>
      <c r="I349" s="20"/>
      <c r="J349" s="41">
        <f>J348+Table234535[[#This Row],[AMOUNT]]-Table234535[[#This Row],[AMOUNT2]]-Table234535[[#This Row],[AMOUNT3]]</f>
        <v>-33719</v>
      </c>
      <c r="K349" s="79"/>
    </row>
    <row r="350" spans="1:11" hidden="1" x14ac:dyDescent="0.35">
      <c r="A350" s="30">
        <v>46164</v>
      </c>
      <c r="B350" s="20"/>
      <c r="C350" s="20"/>
      <c r="D350" s="20" t="s">
        <v>91</v>
      </c>
      <c r="E350" s="20" t="s">
        <v>68</v>
      </c>
      <c r="F350" s="19" t="s">
        <v>485</v>
      </c>
      <c r="G350" s="21">
        <f>700+100</f>
        <v>800</v>
      </c>
      <c r="H350" s="20"/>
      <c r="I350" s="20"/>
      <c r="J350" s="41">
        <f>J349+Table234535[[#This Row],[AMOUNT]]-Table234535[[#This Row],[AMOUNT2]]-Table234535[[#This Row],[AMOUNT3]]</f>
        <v>-34519</v>
      </c>
      <c r="K350" s="79"/>
    </row>
    <row r="351" spans="1:11" hidden="1" x14ac:dyDescent="0.35">
      <c r="A351" s="30">
        <v>46164</v>
      </c>
      <c r="B351" s="20"/>
      <c r="C351" s="20"/>
      <c r="D351" s="20" t="s">
        <v>91</v>
      </c>
      <c r="E351" s="20" t="s">
        <v>40</v>
      </c>
      <c r="F351" s="19" t="s">
        <v>484</v>
      </c>
      <c r="G351" s="21">
        <v>50</v>
      </c>
      <c r="H351" s="20"/>
      <c r="I351" s="20"/>
      <c r="J351" s="41">
        <f>J350+Table234535[[#This Row],[AMOUNT]]-Table234535[[#This Row],[AMOUNT2]]-Table234535[[#This Row],[AMOUNT3]]</f>
        <v>-34569</v>
      </c>
      <c r="K351" s="79"/>
    </row>
    <row r="352" spans="1:11" hidden="1" x14ac:dyDescent="0.35">
      <c r="A352" s="30">
        <v>46164</v>
      </c>
      <c r="B352" s="20"/>
      <c r="C352" s="20"/>
      <c r="D352" s="20" t="s">
        <v>65</v>
      </c>
      <c r="E352" s="20" t="s">
        <v>16</v>
      </c>
      <c r="F352" s="19" t="s">
        <v>286</v>
      </c>
      <c r="G352" s="21">
        <f>1*900</f>
        <v>900</v>
      </c>
      <c r="H352" s="20"/>
      <c r="I352" s="20"/>
      <c r="J352" s="41">
        <f>J351+Table234535[[#This Row],[AMOUNT]]-Table234535[[#This Row],[AMOUNT2]]-Table234535[[#This Row],[AMOUNT3]]</f>
        <v>-35469</v>
      </c>
      <c r="K352" s="79"/>
    </row>
    <row r="353" spans="1:11" hidden="1" x14ac:dyDescent="0.35">
      <c r="A353" s="30">
        <v>46164</v>
      </c>
      <c r="B353" s="20"/>
      <c r="C353" s="20"/>
      <c r="D353" s="20" t="s">
        <v>65</v>
      </c>
      <c r="E353" s="20" t="s">
        <v>68</v>
      </c>
      <c r="F353" s="19" t="s">
        <v>285</v>
      </c>
      <c r="G353" s="21">
        <f>2*800</f>
        <v>1600</v>
      </c>
      <c r="H353" s="20"/>
      <c r="I353" s="20"/>
      <c r="J353" s="41">
        <f>J352+Table234535[[#This Row],[AMOUNT]]-Table234535[[#This Row],[AMOUNT2]]-Table234535[[#This Row],[AMOUNT3]]</f>
        <v>-37069</v>
      </c>
      <c r="K353" s="79"/>
    </row>
    <row r="354" spans="1:11" hidden="1" x14ac:dyDescent="0.35">
      <c r="A354" s="30">
        <v>46164</v>
      </c>
      <c r="B354" s="20"/>
      <c r="C354" s="20"/>
      <c r="D354" s="20" t="s">
        <v>91</v>
      </c>
      <c r="E354" s="20" t="s">
        <v>682</v>
      </c>
      <c r="F354" s="19" t="s">
        <v>459</v>
      </c>
      <c r="G354" s="21">
        <v>800</v>
      </c>
      <c r="H354" s="20"/>
      <c r="I354" s="20"/>
      <c r="J354" s="41">
        <f>J353+Table234535[[#This Row],[AMOUNT]]-Table234535[[#This Row],[AMOUNT2]]-Table234535[[#This Row],[AMOUNT3]]</f>
        <v>-37869</v>
      </c>
      <c r="K354" s="79"/>
    </row>
    <row r="355" spans="1:11" hidden="1" x14ac:dyDescent="0.35">
      <c r="A355" s="30">
        <v>46165</v>
      </c>
      <c r="B355" s="20" t="s">
        <v>45</v>
      </c>
      <c r="C355" s="45">
        <v>5720</v>
      </c>
      <c r="D355" s="20" t="s">
        <v>65</v>
      </c>
      <c r="E355" s="20" t="s">
        <v>16</v>
      </c>
      <c r="F355" s="19" t="s">
        <v>286</v>
      </c>
      <c r="G355" s="21">
        <f>1*900</f>
        <v>900</v>
      </c>
      <c r="H355" s="20"/>
      <c r="I355" s="20"/>
      <c r="J355" s="41">
        <f>J354+Table234535[[#This Row],[AMOUNT]]-Table234535[[#This Row],[AMOUNT2]]-Table234535[[#This Row],[AMOUNT3]]</f>
        <v>-33049</v>
      </c>
      <c r="K355" s="79"/>
    </row>
    <row r="356" spans="1:11" hidden="1" x14ac:dyDescent="0.35">
      <c r="A356" s="30">
        <v>46165</v>
      </c>
      <c r="B356" s="20" t="s">
        <v>466</v>
      </c>
      <c r="C356" s="45">
        <v>5000</v>
      </c>
      <c r="D356" s="20" t="s">
        <v>65</v>
      </c>
      <c r="E356" s="20" t="s">
        <v>68</v>
      </c>
      <c r="F356" s="19" t="s">
        <v>460</v>
      </c>
      <c r="G356" s="21">
        <f>3*800</f>
        <v>2400</v>
      </c>
      <c r="H356" s="20"/>
      <c r="I356" s="20"/>
      <c r="J356" s="41">
        <f>J355+Table234535[[#This Row],[AMOUNT]]-Table234535[[#This Row],[AMOUNT2]]-Table234535[[#This Row],[AMOUNT3]]</f>
        <v>-30449</v>
      </c>
      <c r="K356" s="79"/>
    </row>
    <row r="357" spans="1:11" hidden="1" x14ac:dyDescent="0.35">
      <c r="A357" s="30">
        <v>46165</v>
      </c>
      <c r="B357" s="20"/>
      <c r="C357" s="20"/>
      <c r="D357" s="8" t="s">
        <v>953</v>
      </c>
      <c r="E357" s="20" t="s">
        <v>34</v>
      </c>
      <c r="F357" s="19" t="s">
        <v>461</v>
      </c>
      <c r="G357" s="21">
        <v>250</v>
      </c>
      <c r="H357" s="20"/>
      <c r="I357" s="20"/>
      <c r="J357" s="41">
        <f>J356+Table234535[[#This Row],[AMOUNT]]-Table234535[[#This Row],[AMOUNT2]]-Table234535[[#This Row],[AMOUNT3]]</f>
        <v>-30699</v>
      </c>
      <c r="K357" s="79"/>
    </row>
    <row r="358" spans="1:11" hidden="1" x14ac:dyDescent="0.35">
      <c r="A358" s="30">
        <v>46165</v>
      </c>
      <c r="B358" s="20"/>
      <c r="C358" s="20"/>
      <c r="D358" s="20" t="s">
        <v>91</v>
      </c>
      <c r="E358" s="20" t="s">
        <v>20</v>
      </c>
      <c r="F358" s="19" t="s">
        <v>462</v>
      </c>
      <c r="G358" s="21">
        <v>520</v>
      </c>
      <c r="H358" s="20"/>
      <c r="I358" s="20"/>
      <c r="J358" s="41">
        <f>J357+Table234535[[#This Row],[AMOUNT]]-Table234535[[#This Row],[AMOUNT2]]-Table234535[[#This Row],[AMOUNT3]]</f>
        <v>-31219</v>
      </c>
      <c r="K358" s="79"/>
    </row>
    <row r="359" spans="1:11" hidden="1" x14ac:dyDescent="0.35">
      <c r="A359" s="30">
        <v>46165</v>
      </c>
      <c r="B359" s="20"/>
      <c r="C359" s="20"/>
      <c r="D359" s="20" t="s">
        <v>65</v>
      </c>
      <c r="E359" s="20" t="s">
        <v>34</v>
      </c>
      <c r="F359" s="19" t="s">
        <v>463</v>
      </c>
      <c r="G359" s="21">
        <v>350</v>
      </c>
      <c r="H359" s="20"/>
      <c r="I359" s="20"/>
      <c r="J359" s="41">
        <f>J358+Table234535[[#This Row],[AMOUNT]]-Table234535[[#This Row],[AMOUNT2]]-Table234535[[#This Row],[AMOUNT3]]</f>
        <v>-31569</v>
      </c>
      <c r="K359" s="79"/>
    </row>
    <row r="360" spans="1:11" hidden="1" x14ac:dyDescent="0.35">
      <c r="A360" s="30">
        <v>46166</v>
      </c>
      <c r="B360" s="20"/>
      <c r="C360" s="20"/>
      <c r="D360" s="20" t="s">
        <v>65</v>
      </c>
      <c r="E360" s="20" t="s">
        <v>16</v>
      </c>
      <c r="F360" s="19" t="s">
        <v>286</v>
      </c>
      <c r="G360" s="21">
        <f>1*900</f>
        <v>900</v>
      </c>
      <c r="H360" s="20"/>
      <c r="I360" s="20"/>
      <c r="J360" s="41">
        <f>J359+Table234535[[#This Row],[AMOUNT]]-Table234535[[#This Row],[AMOUNT2]]-Table234535[[#This Row],[AMOUNT3]]</f>
        <v>-32469</v>
      </c>
      <c r="K360" s="79"/>
    </row>
    <row r="361" spans="1:11" hidden="1" x14ac:dyDescent="0.35">
      <c r="A361" s="30">
        <v>46166</v>
      </c>
      <c r="B361" s="20"/>
      <c r="C361" s="20"/>
      <c r="D361" s="20" t="s">
        <v>65</v>
      </c>
      <c r="E361" s="20" t="s">
        <v>68</v>
      </c>
      <c r="F361" s="19" t="s">
        <v>83</v>
      </c>
      <c r="G361" s="21">
        <f>1*800</f>
        <v>800</v>
      </c>
      <c r="H361" s="20"/>
      <c r="I361" s="20"/>
      <c r="J361" s="41">
        <f>J360+Table234535[[#This Row],[AMOUNT]]-Table234535[[#This Row],[AMOUNT2]]-Table234535[[#This Row],[AMOUNT3]]</f>
        <v>-33269</v>
      </c>
      <c r="K361" s="79"/>
    </row>
    <row r="362" spans="1:11" hidden="1" x14ac:dyDescent="0.35">
      <c r="A362" s="30">
        <v>46166</v>
      </c>
      <c r="B362" s="20"/>
      <c r="C362" s="20"/>
      <c r="D362" s="8" t="s">
        <v>953</v>
      </c>
      <c r="E362" s="20" t="s">
        <v>68</v>
      </c>
      <c r="F362" s="19" t="s">
        <v>486</v>
      </c>
      <c r="G362" s="21">
        <f>2*750</f>
        <v>1500</v>
      </c>
      <c r="H362" s="20"/>
      <c r="I362" s="20"/>
      <c r="J362" s="41">
        <f>J361+Table234535[[#This Row],[AMOUNT]]-Table234535[[#This Row],[AMOUNT2]]-Table234535[[#This Row],[AMOUNT3]]</f>
        <v>-34769</v>
      </c>
      <c r="K362" s="79"/>
    </row>
    <row r="363" spans="1:11" hidden="1" x14ac:dyDescent="0.35">
      <c r="A363" s="30">
        <v>46166</v>
      </c>
      <c r="B363" s="20"/>
      <c r="C363" s="20"/>
      <c r="D363" s="20" t="s">
        <v>464</v>
      </c>
      <c r="E363" s="20" t="s">
        <v>68</v>
      </c>
      <c r="F363" s="19" t="s">
        <v>285</v>
      </c>
      <c r="G363" s="21">
        <f>2*800</f>
        <v>1600</v>
      </c>
      <c r="H363" s="20"/>
      <c r="I363" s="20"/>
      <c r="J363" s="41">
        <f>J362+Table234535[[#This Row],[AMOUNT]]-Table234535[[#This Row],[AMOUNT2]]-Table234535[[#This Row],[AMOUNT3]]</f>
        <v>-36369</v>
      </c>
      <c r="K363" s="79"/>
    </row>
    <row r="364" spans="1:11" hidden="1" x14ac:dyDescent="0.35">
      <c r="A364" s="30">
        <v>46166</v>
      </c>
      <c r="B364" s="20"/>
      <c r="C364" s="20"/>
      <c r="D364" s="8" t="s">
        <v>953</v>
      </c>
      <c r="E364" s="20" t="s">
        <v>679</v>
      </c>
      <c r="F364" s="19" t="s">
        <v>1</v>
      </c>
      <c r="G364" s="21">
        <v>500</v>
      </c>
      <c r="H364" s="20"/>
      <c r="I364" s="20"/>
      <c r="J364" s="41">
        <f>J363+Table234535[[#This Row],[AMOUNT]]-Table234535[[#This Row],[AMOUNT2]]-Table234535[[#This Row],[AMOUNT3]]</f>
        <v>-36869</v>
      </c>
      <c r="K364" s="79"/>
    </row>
    <row r="365" spans="1:11" hidden="1" x14ac:dyDescent="0.35">
      <c r="A365" s="30">
        <v>46166</v>
      </c>
      <c r="B365" s="20"/>
      <c r="C365" s="20"/>
      <c r="D365" s="20" t="s">
        <v>464</v>
      </c>
      <c r="E365" s="20" t="s">
        <v>679</v>
      </c>
      <c r="F365" s="19" t="s">
        <v>1</v>
      </c>
      <c r="G365" s="21">
        <v>500</v>
      </c>
      <c r="H365" s="20"/>
      <c r="I365" s="20"/>
      <c r="J365" s="41">
        <f>J364+Table234535[[#This Row],[AMOUNT]]-Table234535[[#This Row],[AMOUNT2]]-Table234535[[#This Row],[AMOUNT3]]</f>
        <v>-37369</v>
      </c>
      <c r="K365" s="79"/>
    </row>
    <row r="366" spans="1:11" hidden="1" x14ac:dyDescent="0.35">
      <c r="A366" s="30">
        <v>46166</v>
      </c>
      <c r="B366" s="20"/>
      <c r="C366" s="20"/>
      <c r="D366" s="8" t="s">
        <v>953</v>
      </c>
      <c r="E366" s="20" t="s">
        <v>20</v>
      </c>
      <c r="F366" s="19" t="s">
        <v>465</v>
      </c>
      <c r="G366" s="21">
        <v>130</v>
      </c>
      <c r="H366" s="20"/>
      <c r="I366" s="20"/>
      <c r="J366" s="41">
        <f>J365+Table234535[[#This Row],[AMOUNT]]-Table234535[[#This Row],[AMOUNT2]]-Table234535[[#This Row],[AMOUNT3]]</f>
        <v>-37499</v>
      </c>
      <c r="K366" s="79"/>
    </row>
    <row r="367" spans="1:11" hidden="1" x14ac:dyDescent="0.35">
      <c r="A367" s="30">
        <v>46166</v>
      </c>
      <c r="B367" s="20"/>
      <c r="C367" s="20"/>
      <c r="D367" s="8" t="s">
        <v>953</v>
      </c>
      <c r="E367" s="20" t="s">
        <v>679</v>
      </c>
      <c r="F367" s="19" t="s">
        <v>271</v>
      </c>
      <c r="G367" s="21">
        <v>200</v>
      </c>
      <c r="H367" s="20"/>
      <c r="I367" s="20"/>
      <c r="J367" s="41">
        <f>J366+Table234535[[#This Row],[AMOUNT]]-Table234535[[#This Row],[AMOUNT2]]-Table234535[[#This Row],[AMOUNT3]]</f>
        <v>-37699</v>
      </c>
      <c r="K367" s="79"/>
    </row>
    <row r="368" spans="1:11" hidden="1" x14ac:dyDescent="0.35">
      <c r="A368" s="30">
        <v>46167</v>
      </c>
      <c r="B368" s="20" t="s">
        <v>45</v>
      </c>
      <c r="C368" s="45">
        <v>7100</v>
      </c>
      <c r="D368" s="20" t="s">
        <v>274</v>
      </c>
      <c r="E368" s="20" t="s">
        <v>16</v>
      </c>
      <c r="F368" s="19" t="s">
        <v>70</v>
      </c>
      <c r="G368" s="21">
        <v>900</v>
      </c>
      <c r="H368" s="20"/>
      <c r="I368" s="20"/>
      <c r="J368" s="41">
        <f>J367+Table234535[[#This Row],[AMOUNT]]-Table234535[[#This Row],[AMOUNT2]]-Table234535[[#This Row],[AMOUNT3]]</f>
        <v>-31499</v>
      </c>
      <c r="K368" s="79"/>
    </row>
    <row r="369" spans="1:12" hidden="1" x14ac:dyDescent="0.35">
      <c r="A369" s="30">
        <v>46167</v>
      </c>
      <c r="B369" s="20"/>
      <c r="C369" s="20"/>
      <c r="D369" s="20" t="s">
        <v>274</v>
      </c>
      <c r="E369" s="20" t="s">
        <v>68</v>
      </c>
      <c r="F369" s="19" t="s">
        <v>467</v>
      </c>
      <c r="G369" s="21">
        <v>800</v>
      </c>
      <c r="H369" s="20"/>
      <c r="I369" s="20"/>
      <c r="J369" s="41">
        <f>J368+Table234535[[#This Row],[AMOUNT]]-Table234535[[#This Row],[AMOUNT2]]-Table234535[[#This Row],[AMOUNT3]]</f>
        <v>-32299</v>
      </c>
      <c r="K369" s="79"/>
    </row>
    <row r="370" spans="1:12" hidden="1" x14ac:dyDescent="0.35">
      <c r="A370" s="30">
        <v>46167</v>
      </c>
      <c r="B370" s="20"/>
      <c r="C370" s="20"/>
      <c r="D370" s="8" t="s">
        <v>953</v>
      </c>
      <c r="E370" s="20" t="s">
        <v>68</v>
      </c>
      <c r="F370" s="19" t="s">
        <v>487</v>
      </c>
      <c r="G370" s="21">
        <v>700</v>
      </c>
      <c r="H370" s="20"/>
      <c r="I370" s="20"/>
      <c r="J370" s="41">
        <f>J369+Table234535[[#This Row],[AMOUNT]]-Table234535[[#This Row],[AMOUNT2]]-Table234535[[#This Row],[AMOUNT3]]</f>
        <v>-32999</v>
      </c>
      <c r="K370" s="79"/>
    </row>
    <row r="371" spans="1:12" hidden="1" x14ac:dyDescent="0.35">
      <c r="A371" s="30">
        <v>46167</v>
      </c>
      <c r="B371" s="20"/>
      <c r="C371" s="20"/>
      <c r="D371" s="8" t="s">
        <v>953</v>
      </c>
      <c r="E371" s="20" t="s">
        <v>40</v>
      </c>
      <c r="F371" s="19" t="s">
        <v>484</v>
      </c>
      <c r="G371" s="21">
        <v>50</v>
      </c>
      <c r="H371" s="20"/>
      <c r="I371" s="20"/>
      <c r="J371" s="41">
        <f>J370+Table234535[[#This Row],[AMOUNT]]-Table234535[[#This Row],[AMOUNT2]]-Table234535[[#This Row],[AMOUNT3]]</f>
        <v>-33049</v>
      </c>
      <c r="K371" s="79"/>
    </row>
    <row r="372" spans="1:12" hidden="1" x14ac:dyDescent="0.35">
      <c r="A372" s="30">
        <v>46167</v>
      </c>
      <c r="B372" s="20"/>
      <c r="C372" s="20"/>
      <c r="D372" s="20" t="s">
        <v>21</v>
      </c>
      <c r="E372" s="20" t="s">
        <v>31</v>
      </c>
      <c r="F372" s="19" t="s">
        <v>468</v>
      </c>
      <c r="G372" s="21">
        <v>7100</v>
      </c>
      <c r="H372" s="20"/>
      <c r="I372" s="20"/>
      <c r="J372" s="41">
        <f>J371+Table234535[[#This Row],[AMOUNT]]-Table234535[[#This Row],[AMOUNT2]]-Table234535[[#This Row],[AMOUNT3]]</f>
        <v>-40149</v>
      </c>
      <c r="K372" s="79"/>
    </row>
    <row r="373" spans="1:12" hidden="1" x14ac:dyDescent="0.35">
      <c r="A373" s="30">
        <v>46167</v>
      </c>
      <c r="B373" s="20"/>
      <c r="C373" s="20"/>
      <c r="D373" s="8" t="s">
        <v>953</v>
      </c>
      <c r="E373" s="20" t="s">
        <v>34</v>
      </c>
      <c r="F373" s="19" t="s">
        <v>469</v>
      </c>
      <c r="G373" s="21">
        <f>70+650+280</f>
        <v>1000</v>
      </c>
      <c r="H373" s="20"/>
      <c r="I373" s="20"/>
      <c r="J373" s="41">
        <f>J372+Table234535[[#This Row],[AMOUNT]]-Table234535[[#This Row],[AMOUNT2]]-Table234535[[#This Row],[AMOUNT3]]</f>
        <v>-41149</v>
      </c>
      <c r="K373" s="79"/>
    </row>
    <row r="374" spans="1:12" hidden="1" x14ac:dyDescent="0.35">
      <c r="A374" s="30">
        <v>46167</v>
      </c>
      <c r="B374" s="20"/>
      <c r="C374" s="20"/>
      <c r="D374" s="8" t="s">
        <v>953</v>
      </c>
      <c r="E374" s="20" t="s">
        <v>679</v>
      </c>
      <c r="F374" s="19" t="s">
        <v>271</v>
      </c>
      <c r="G374" s="21">
        <v>200</v>
      </c>
      <c r="H374" s="20"/>
      <c r="I374" s="20"/>
      <c r="J374" s="41">
        <f>J373+Table234535[[#This Row],[AMOUNT]]-Table234535[[#This Row],[AMOUNT2]]-Table234535[[#This Row],[AMOUNT3]]</f>
        <v>-41349</v>
      </c>
      <c r="K374" s="79"/>
      <c r="L374">
        <v>-67349</v>
      </c>
    </row>
    <row r="375" spans="1:12" hidden="1" x14ac:dyDescent="0.35">
      <c r="A375" s="30">
        <v>46168</v>
      </c>
      <c r="B375" s="20" t="s">
        <v>45</v>
      </c>
      <c r="C375" s="45">
        <v>1920</v>
      </c>
      <c r="D375" s="20" t="s">
        <v>65</v>
      </c>
      <c r="E375" s="20" t="s">
        <v>16</v>
      </c>
      <c r="F375" s="19" t="s">
        <v>70</v>
      </c>
      <c r="G375" s="21">
        <v>900</v>
      </c>
      <c r="H375" s="20" t="s">
        <v>490</v>
      </c>
      <c r="I375" s="20">
        <v>1920</v>
      </c>
      <c r="J375" s="41">
        <f>J374+Table234535[[#This Row],[AMOUNT]]-Table234535[[#This Row],[AMOUNT2]]-Table234535[[#This Row],[AMOUNT3]]</f>
        <v>-42249</v>
      </c>
      <c r="K375" s="79"/>
    </row>
    <row r="376" spans="1:12" hidden="1" x14ac:dyDescent="0.35">
      <c r="A376" s="30">
        <v>46168</v>
      </c>
      <c r="B376" s="20" t="s">
        <v>45</v>
      </c>
      <c r="C376" s="45">
        <v>8000</v>
      </c>
      <c r="D376" s="20" t="s">
        <v>65</v>
      </c>
      <c r="E376" s="20" t="s">
        <v>68</v>
      </c>
      <c r="F376" s="19" t="s">
        <v>467</v>
      </c>
      <c r="G376" s="21">
        <v>800</v>
      </c>
      <c r="H376" s="20" t="s">
        <v>53</v>
      </c>
      <c r="I376" s="45">
        <v>2600</v>
      </c>
      <c r="J376" s="41">
        <f>J375+Table234535[[#This Row],[AMOUNT]]-Table234535[[#This Row],[AMOUNT2]]-Table234535[[#This Row],[AMOUNT3]]</f>
        <v>-37649</v>
      </c>
      <c r="K376" s="79"/>
    </row>
    <row r="377" spans="1:12" hidden="1" x14ac:dyDescent="0.35">
      <c r="A377" s="30">
        <v>46168</v>
      </c>
      <c r="B377" s="20"/>
      <c r="C377" s="20"/>
      <c r="D377" s="8" t="s">
        <v>953</v>
      </c>
      <c r="E377" s="20" t="s">
        <v>68</v>
      </c>
      <c r="F377" s="19" t="s">
        <v>489</v>
      </c>
      <c r="G377" s="21">
        <f>2*700</f>
        <v>1400</v>
      </c>
      <c r="H377" s="20"/>
      <c r="I377" s="20"/>
      <c r="J377" s="41">
        <f>J376+Table234535[[#This Row],[AMOUNT]]-Table234535[[#This Row],[AMOUNT2]]-Table234535[[#This Row],[AMOUNT3]]</f>
        <v>-39049</v>
      </c>
      <c r="K377" s="79"/>
    </row>
    <row r="378" spans="1:12" x14ac:dyDescent="0.35">
      <c r="A378" s="30">
        <v>46168</v>
      </c>
      <c r="B378" s="20"/>
      <c r="C378" s="20"/>
      <c r="D378" s="20" t="s">
        <v>21</v>
      </c>
      <c r="E378" s="20" t="s">
        <v>27</v>
      </c>
      <c r="F378" s="19" t="s">
        <v>1283</v>
      </c>
      <c r="G378" s="21">
        <v>8000</v>
      </c>
      <c r="H378" s="20"/>
      <c r="I378" s="20"/>
      <c r="J378" s="41">
        <f>J377+Table234535[[#This Row],[AMOUNT]]-Table234535[[#This Row],[AMOUNT2]]-Table234535[[#This Row],[AMOUNT3]]</f>
        <v>-47049</v>
      </c>
      <c r="K378" s="79"/>
    </row>
    <row r="379" spans="1:12" hidden="1" x14ac:dyDescent="0.35">
      <c r="A379" s="30">
        <v>46168</v>
      </c>
      <c r="B379" s="20"/>
      <c r="C379" s="20"/>
      <c r="D379" s="8" t="s">
        <v>953</v>
      </c>
      <c r="E379" s="20" t="s">
        <v>34</v>
      </c>
      <c r="F379" s="19" t="s">
        <v>491</v>
      </c>
      <c r="G379" s="21">
        <v>100</v>
      </c>
      <c r="H379" s="20"/>
      <c r="I379" s="20"/>
      <c r="J379" s="41">
        <f>J378+Table234535[[#This Row],[AMOUNT]]-Table234535[[#This Row],[AMOUNT2]]-Table234535[[#This Row],[AMOUNT3]]</f>
        <v>-47149</v>
      </c>
      <c r="K379" s="79"/>
    </row>
    <row r="380" spans="1:12" hidden="1" x14ac:dyDescent="0.35">
      <c r="A380" s="30">
        <v>46168</v>
      </c>
      <c r="B380" s="20"/>
      <c r="C380" s="20"/>
      <c r="D380" s="8" t="s">
        <v>953</v>
      </c>
      <c r="E380" s="20" t="s">
        <v>679</v>
      </c>
      <c r="F380" s="19" t="s">
        <v>271</v>
      </c>
      <c r="G380" s="21">
        <v>200</v>
      </c>
      <c r="H380" s="20"/>
      <c r="I380" s="20"/>
      <c r="J380" s="41">
        <f>J379+Table234535[[#This Row],[AMOUNT]]-Table234535[[#This Row],[AMOUNT2]]-Table234535[[#This Row],[AMOUNT3]]</f>
        <v>-47349</v>
      </c>
      <c r="K380" s="79"/>
      <c r="L380">
        <f>1700+1400+1920+8000+100+200+3000+2600+600</f>
        <v>19520</v>
      </c>
    </row>
    <row r="381" spans="1:12" hidden="1" x14ac:dyDescent="0.35">
      <c r="A381" s="30">
        <v>46168</v>
      </c>
      <c r="B381" s="20"/>
      <c r="C381" s="20"/>
      <c r="D381" s="8" t="s">
        <v>953</v>
      </c>
      <c r="E381" s="20" t="s">
        <v>34</v>
      </c>
      <c r="F381" s="19" t="s">
        <v>492</v>
      </c>
      <c r="G381" s="21">
        <v>3000</v>
      </c>
      <c r="H381" s="20"/>
      <c r="I381" s="20"/>
      <c r="J381" s="41">
        <f>J380+Table234535[[#This Row],[AMOUNT]]-Table234535[[#This Row],[AMOUNT2]]-Table234535[[#This Row],[AMOUNT3]]</f>
        <v>-50349</v>
      </c>
      <c r="K381" s="79"/>
    </row>
    <row r="382" spans="1:12" hidden="1" x14ac:dyDescent="0.35">
      <c r="A382" s="30">
        <v>46168</v>
      </c>
      <c r="B382" s="20"/>
      <c r="C382" s="20"/>
      <c r="D382" s="20" t="s">
        <v>21</v>
      </c>
      <c r="E382" s="20" t="s">
        <v>82</v>
      </c>
      <c r="F382" s="19" t="s">
        <v>80</v>
      </c>
      <c r="G382" s="21">
        <v>600</v>
      </c>
      <c r="H382" s="20"/>
      <c r="I382" s="20"/>
      <c r="J382" s="41">
        <f>J381+Table234535[[#This Row],[AMOUNT]]-Table234535[[#This Row],[AMOUNT2]]-Table234535[[#This Row],[AMOUNT3]]</f>
        <v>-50949</v>
      </c>
      <c r="K382" s="79"/>
    </row>
    <row r="383" spans="1:12" hidden="1" x14ac:dyDescent="0.35">
      <c r="A383" s="30">
        <v>46169</v>
      </c>
      <c r="B383" s="20"/>
      <c r="C383" s="20"/>
      <c r="D383" s="20" t="s">
        <v>65</v>
      </c>
      <c r="E383" s="20" t="s">
        <v>16</v>
      </c>
      <c r="F383" s="19" t="s">
        <v>70</v>
      </c>
      <c r="G383" s="21">
        <v>900</v>
      </c>
      <c r="H383" s="20"/>
      <c r="I383" s="20"/>
      <c r="J383" s="41">
        <f>J382+Table234535[[#This Row],[AMOUNT]]-Table234535[[#This Row],[AMOUNT2]]-Table234535[[#This Row],[AMOUNT3]]</f>
        <v>-51849</v>
      </c>
      <c r="K383" s="79"/>
    </row>
    <row r="384" spans="1:12" hidden="1" x14ac:dyDescent="0.35">
      <c r="A384" s="30">
        <v>46169</v>
      </c>
      <c r="B384" s="20"/>
      <c r="C384" s="20"/>
      <c r="D384" s="20" t="s">
        <v>65</v>
      </c>
      <c r="E384" s="20" t="s">
        <v>68</v>
      </c>
      <c r="F384" s="19" t="s">
        <v>500</v>
      </c>
      <c r="G384" s="21">
        <f>2*800</f>
        <v>1600</v>
      </c>
      <c r="H384" s="20"/>
      <c r="I384" s="20"/>
      <c r="J384" s="41">
        <f>J383+Table234535[[#This Row],[AMOUNT]]-Table234535[[#This Row],[AMOUNT2]]-Table234535[[#This Row],[AMOUNT3]]</f>
        <v>-53449</v>
      </c>
      <c r="K384" s="79"/>
    </row>
    <row r="385" spans="1:12" hidden="1" x14ac:dyDescent="0.35">
      <c r="A385" s="30">
        <v>46169</v>
      </c>
      <c r="B385" s="20"/>
      <c r="C385" s="20"/>
      <c r="D385" s="20" t="s">
        <v>65</v>
      </c>
      <c r="E385" s="20" t="s">
        <v>19</v>
      </c>
      <c r="F385" s="19" t="s">
        <v>501</v>
      </c>
      <c r="G385" s="21">
        <v>7000</v>
      </c>
      <c r="H385" s="20"/>
      <c r="I385" s="20"/>
      <c r="J385" s="41">
        <f>J384+Table234535[[#This Row],[AMOUNT]]-Table234535[[#This Row],[AMOUNT2]]-Table234535[[#This Row],[AMOUNT3]]</f>
        <v>-60449</v>
      </c>
      <c r="K385" s="79"/>
    </row>
    <row r="386" spans="1:12" hidden="1" x14ac:dyDescent="0.35">
      <c r="A386" s="30">
        <v>46169</v>
      </c>
      <c r="B386" s="20"/>
      <c r="C386" s="20"/>
      <c r="D386" s="8" t="s">
        <v>953</v>
      </c>
      <c r="E386" s="20" t="s">
        <v>34</v>
      </c>
      <c r="F386" s="19" t="s">
        <v>502</v>
      </c>
      <c r="G386" s="21">
        <v>900</v>
      </c>
      <c r="H386" s="20"/>
      <c r="I386" s="20"/>
      <c r="J386" s="41">
        <f>J385+Table234535[[#This Row],[AMOUNT]]-Table234535[[#This Row],[AMOUNT2]]-Table234535[[#This Row],[AMOUNT3]]</f>
        <v>-61349</v>
      </c>
      <c r="K386" s="79"/>
    </row>
    <row r="387" spans="1:12" hidden="1" x14ac:dyDescent="0.35">
      <c r="A387" s="30">
        <v>46170</v>
      </c>
      <c r="B387" s="20"/>
      <c r="C387" s="20"/>
      <c r="D387" s="20" t="s">
        <v>65</v>
      </c>
      <c r="E387" s="20" t="s">
        <v>16</v>
      </c>
      <c r="F387" s="19" t="s">
        <v>70</v>
      </c>
      <c r="G387" s="21">
        <v>900</v>
      </c>
      <c r="H387" s="20"/>
      <c r="I387" s="20"/>
      <c r="J387" s="41">
        <f>J386+Table234535[[#This Row],[AMOUNT]]-Table234535[[#This Row],[AMOUNT2]]-Table234535[[#This Row],[AMOUNT3]]</f>
        <v>-62249</v>
      </c>
      <c r="K387" s="79"/>
    </row>
    <row r="388" spans="1:12" hidden="1" x14ac:dyDescent="0.35">
      <c r="A388" s="30">
        <v>46170</v>
      </c>
      <c r="B388" s="20"/>
      <c r="C388" s="20"/>
      <c r="D388" s="20" t="s">
        <v>65</v>
      </c>
      <c r="E388" s="20" t="s">
        <v>68</v>
      </c>
      <c r="F388" s="19" t="s">
        <v>467</v>
      </c>
      <c r="G388" s="21">
        <v>800</v>
      </c>
      <c r="H388" s="20"/>
      <c r="I388" s="20"/>
      <c r="J388" s="41">
        <f>J387+Table234535[[#This Row],[AMOUNT]]-Table234535[[#This Row],[AMOUNT2]]-Table234535[[#This Row],[AMOUNT3]]</f>
        <v>-63049</v>
      </c>
      <c r="K388" s="79"/>
    </row>
    <row r="389" spans="1:12" hidden="1" x14ac:dyDescent="0.35">
      <c r="A389" s="30">
        <v>46170</v>
      </c>
      <c r="B389" s="20"/>
      <c r="C389" s="20"/>
      <c r="D389" s="8" t="s">
        <v>953</v>
      </c>
      <c r="E389" s="20" t="s">
        <v>68</v>
      </c>
      <c r="F389" s="19" t="s">
        <v>467</v>
      </c>
      <c r="G389" s="21">
        <v>800</v>
      </c>
      <c r="H389" s="20"/>
      <c r="I389" s="20"/>
      <c r="J389" s="41">
        <f>J388+Table234535[[#This Row],[AMOUNT]]-Table234535[[#This Row],[AMOUNT2]]-Table234535[[#This Row],[AMOUNT3]]</f>
        <v>-63849</v>
      </c>
      <c r="K389" s="79"/>
    </row>
    <row r="390" spans="1:12" hidden="1" x14ac:dyDescent="0.35">
      <c r="A390" s="30">
        <v>46171</v>
      </c>
      <c r="B390" s="20" t="s">
        <v>45</v>
      </c>
      <c r="C390" s="45">
        <v>2000</v>
      </c>
      <c r="D390" s="20" t="s">
        <v>65</v>
      </c>
      <c r="E390" s="20" t="s">
        <v>16</v>
      </c>
      <c r="F390" s="19" t="s">
        <v>70</v>
      </c>
      <c r="G390" s="21">
        <v>900</v>
      </c>
      <c r="H390" s="20" t="s">
        <v>53</v>
      </c>
      <c r="I390" s="45">
        <v>2000</v>
      </c>
      <c r="J390" s="41">
        <f>J389+Table234535[[#This Row],[AMOUNT]]-Table234535[[#This Row],[AMOUNT2]]-Table234535[[#This Row],[AMOUNT3]]</f>
        <v>-64749</v>
      </c>
      <c r="K390" s="79"/>
    </row>
    <row r="391" spans="1:12" hidden="1" x14ac:dyDescent="0.35">
      <c r="A391" s="30">
        <v>46171</v>
      </c>
      <c r="B391" s="20" t="s">
        <v>32</v>
      </c>
      <c r="C391" s="45">
        <v>10000</v>
      </c>
      <c r="D391" s="20" t="s">
        <v>65</v>
      </c>
      <c r="E391" s="20" t="s">
        <v>68</v>
      </c>
      <c r="F391" s="19" t="s">
        <v>467</v>
      </c>
      <c r="G391" s="21">
        <v>800</v>
      </c>
      <c r="H391" s="20"/>
      <c r="I391" s="20"/>
      <c r="J391" s="41">
        <f>J390+Table234535[[#This Row],[AMOUNT]]-Table234535[[#This Row],[AMOUNT2]]-Table234535[[#This Row],[AMOUNT3]]</f>
        <v>-55549</v>
      </c>
      <c r="K391" s="79"/>
    </row>
    <row r="392" spans="1:12" hidden="1" x14ac:dyDescent="0.35">
      <c r="A392" s="30">
        <v>46171</v>
      </c>
      <c r="B392" s="20"/>
      <c r="C392" s="20"/>
      <c r="D392" s="8" t="s">
        <v>953</v>
      </c>
      <c r="E392" s="20" t="s">
        <v>19</v>
      </c>
      <c r="F392" s="19" t="s">
        <v>503</v>
      </c>
      <c r="G392" s="21">
        <v>5000</v>
      </c>
      <c r="H392" s="20"/>
      <c r="I392" s="20"/>
      <c r="J392" s="41">
        <f>J391+Table234535[[#This Row],[AMOUNT]]-Table234535[[#This Row],[AMOUNT2]]-Table234535[[#This Row],[AMOUNT3]]</f>
        <v>-60549</v>
      </c>
      <c r="K392" s="79"/>
    </row>
    <row r="393" spans="1:12" hidden="1" x14ac:dyDescent="0.35">
      <c r="A393" s="30">
        <v>46171</v>
      </c>
      <c r="B393" s="20"/>
      <c r="C393" s="20"/>
      <c r="D393" s="20"/>
      <c r="E393" s="20"/>
      <c r="F393" s="19"/>
      <c r="G393" s="21"/>
      <c r="H393" s="20"/>
      <c r="I393" s="20"/>
      <c r="J393" s="41">
        <f>J392+Table234535[[#This Row],[AMOUNT]]-Table234535[[#This Row],[AMOUNT2]]-Table234535[[#This Row],[AMOUNT3]]</f>
        <v>-60549</v>
      </c>
      <c r="K393" s="79"/>
      <c r="L393" s="55">
        <f>+J374-L374</f>
        <v>26000</v>
      </c>
    </row>
    <row r="394" spans="1:12" x14ac:dyDescent="0.35">
      <c r="A394" s="30">
        <v>46172</v>
      </c>
      <c r="B394" s="20" t="s">
        <v>45</v>
      </c>
      <c r="C394" s="45">
        <v>4000</v>
      </c>
      <c r="D394" s="20" t="s">
        <v>504</v>
      </c>
      <c r="E394" s="20" t="s">
        <v>27</v>
      </c>
      <c r="F394" s="19" t="s">
        <v>1283</v>
      </c>
      <c r="G394" s="21">
        <v>4000</v>
      </c>
      <c r="H394" s="20"/>
      <c r="I394" s="20"/>
      <c r="J394" s="41">
        <f>J393+Table234535[[#This Row],[AMOUNT]]-Table234535[[#This Row],[AMOUNT2]]-Table234535[[#This Row],[AMOUNT3]]</f>
        <v>-60549</v>
      </c>
      <c r="K394" s="79"/>
    </row>
    <row r="395" spans="1:12" hidden="1" x14ac:dyDescent="0.35">
      <c r="A395" s="30">
        <v>46172</v>
      </c>
      <c r="B395" s="20"/>
      <c r="C395" s="20"/>
      <c r="D395" s="20" t="s">
        <v>65</v>
      </c>
      <c r="E395" s="20" t="s">
        <v>16</v>
      </c>
      <c r="F395" s="19" t="s">
        <v>70</v>
      </c>
      <c r="G395" s="21">
        <v>900</v>
      </c>
      <c r="H395" s="20"/>
      <c r="I395" s="20"/>
      <c r="J395" s="41">
        <f>J394+Table234535[[#This Row],[AMOUNT]]-Table234535[[#This Row],[AMOUNT2]]-Table234535[[#This Row],[AMOUNT3]]</f>
        <v>-61449</v>
      </c>
      <c r="K395" s="79"/>
    </row>
    <row r="396" spans="1:12" hidden="1" x14ac:dyDescent="0.35">
      <c r="A396" s="30">
        <v>46172</v>
      </c>
      <c r="B396" s="20"/>
      <c r="C396" s="20"/>
      <c r="D396" s="20" t="s">
        <v>65</v>
      </c>
      <c r="E396" s="20" t="s">
        <v>68</v>
      </c>
      <c r="F396" s="19" t="s">
        <v>500</v>
      </c>
      <c r="G396" s="21">
        <f>2*800</f>
        <v>1600</v>
      </c>
      <c r="H396" s="20"/>
      <c r="I396" s="20"/>
      <c r="J396" s="41">
        <f>J395+Table234535[[#This Row],[AMOUNT]]-Table234535[[#This Row],[AMOUNT2]]-Table234535[[#This Row],[AMOUNT3]]</f>
        <v>-63049</v>
      </c>
      <c r="K396" s="79"/>
    </row>
    <row r="397" spans="1:12" hidden="1" x14ac:dyDescent="0.35">
      <c r="A397" s="30">
        <v>46172</v>
      </c>
      <c r="B397" s="20"/>
      <c r="C397" s="20"/>
      <c r="D397" s="20" t="s">
        <v>497</v>
      </c>
      <c r="E397" s="20" t="s">
        <v>68</v>
      </c>
      <c r="F397" s="19" t="s">
        <v>467</v>
      </c>
      <c r="G397" s="21">
        <v>800</v>
      </c>
      <c r="H397" s="20"/>
      <c r="I397" s="20"/>
      <c r="J397" s="41">
        <f>J396+Table234535[[#This Row],[AMOUNT]]-Table234535[[#This Row],[AMOUNT2]]-Table234535[[#This Row],[AMOUNT3]]</f>
        <v>-63849</v>
      </c>
      <c r="K397" s="79"/>
    </row>
    <row r="398" spans="1:12" hidden="1" x14ac:dyDescent="0.35">
      <c r="A398" s="30">
        <v>46173</v>
      </c>
      <c r="B398" s="20" t="s">
        <v>45</v>
      </c>
      <c r="C398" s="45">
        <v>2000</v>
      </c>
      <c r="D398" s="20"/>
      <c r="E398" s="20"/>
      <c r="F398" s="19"/>
      <c r="G398" s="21"/>
      <c r="H398" s="20" t="s">
        <v>53</v>
      </c>
      <c r="I398" s="45">
        <v>2000</v>
      </c>
      <c r="J398" s="41">
        <f>J397+Table234535[[#This Row],[AMOUNT]]-Table234535[[#This Row],[AMOUNT2]]-Table234535[[#This Row],[AMOUNT3]]</f>
        <v>-63849</v>
      </c>
      <c r="K398" s="79"/>
      <c r="L398" t="s">
        <v>626</v>
      </c>
    </row>
    <row r="399" spans="1:12" hidden="1" x14ac:dyDescent="0.35">
      <c r="A399" s="30">
        <v>46173</v>
      </c>
      <c r="B399" s="20" t="s">
        <v>45</v>
      </c>
      <c r="C399" s="45">
        <v>22000</v>
      </c>
      <c r="D399" s="20" t="s">
        <v>497</v>
      </c>
      <c r="E399" s="20" t="s">
        <v>68</v>
      </c>
      <c r="F399" s="19" t="s">
        <v>513</v>
      </c>
      <c r="G399" s="21">
        <f>4*800+1500</f>
        <v>4700</v>
      </c>
      <c r="H399" s="20"/>
      <c r="I399" s="20"/>
      <c r="J399" s="41">
        <f>J398+Table234535[[#This Row],[AMOUNT]]-Table234535[[#This Row],[AMOUNT2]]-Table234535[[#This Row],[AMOUNT3]]</f>
        <v>-46549</v>
      </c>
      <c r="K399" s="79"/>
    </row>
    <row r="400" spans="1:12" hidden="1" x14ac:dyDescent="0.35">
      <c r="A400" s="30">
        <v>46173</v>
      </c>
      <c r="B400" s="20"/>
      <c r="C400" s="20"/>
      <c r="D400" s="20" t="s">
        <v>497</v>
      </c>
      <c r="E400" s="20" t="s">
        <v>16</v>
      </c>
      <c r="F400" s="19" t="s">
        <v>70</v>
      </c>
      <c r="G400" s="21">
        <f>1*900</f>
        <v>900</v>
      </c>
      <c r="H400" s="20"/>
      <c r="I400" s="20"/>
      <c r="J400" s="41">
        <f>J399+Table234535[[#This Row],[AMOUNT]]-Table234535[[#This Row],[AMOUNT2]]-Table234535[[#This Row],[AMOUNT3]]</f>
        <v>-47449</v>
      </c>
      <c r="K400" s="79"/>
    </row>
    <row r="401" spans="1:11" hidden="1" x14ac:dyDescent="0.35">
      <c r="A401" s="30">
        <v>46173</v>
      </c>
      <c r="B401" s="20"/>
      <c r="C401" s="20"/>
      <c r="D401" s="20" t="s">
        <v>65</v>
      </c>
      <c r="E401" s="20" t="s">
        <v>68</v>
      </c>
      <c r="F401" s="19" t="s">
        <v>262</v>
      </c>
      <c r="G401" s="21">
        <f>3*800</f>
        <v>2400</v>
      </c>
      <c r="H401" s="20"/>
      <c r="I401" s="20"/>
      <c r="J401" s="41">
        <f>J400+Table234535[[#This Row],[AMOUNT]]-Table234535[[#This Row],[AMOUNT2]]-Table234535[[#This Row],[AMOUNT3]]</f>
        <v>-49849</v>
      </c>
      <c r="K401" s="79"/>
    </row>
    <row r="402" spans="1:11" hidden="1" x14ac:dyDescent="0.35">
      <c r="A402" s="30">
        <v>46173</v>
      </c>
      <c r="B402" s="20"/>
      <c r="C402" s="20"/>
      <c r="D402" s="20" t="s">
        <v>65</v>
      </c>
      <c r="E402" s="20" t="s">
        <v>34</v>
      </c>
      <c r="F402" s="19" t="s">
        <v>505</v>
      </c>
      <c r="G402" s="21">
        <v>690</v>
      </c>
      <c r="H402" s="20"/>
      <c r="I402" s="20"/>
      <c r="J402" s="41">
        <f>J401+Table234535[[#This Row],[AMOUNT]]-Table234535[[#This Row],[AMOUNT2]]-Table234535[[#This Row],[AMOUNT3]]</f>
        <v>-50539</v>
      </c>
      <c r="K402" s="79"/>
    </row>
    <row r="403" spans="1:11" hidden="1" x14ac:dyDescent="0.35">
      <c r="A403" s="30">
        <v>46173</v>
      </c>
      <c r="B403" s="20"/>
      <c r="C403" s="20"/>
      <c r="D403" s="20" t="s">
        <v>497</v>
      </c>
      <c r="E403" s="20" t="s">
        <v>682</v>
      </c>
      <c r="F403" s="19" t="s">
        <v>506</v>
      </c>
      <c r="G403" s="21">
        <v>600</v>
      </c>
      <c r="H403" s="20"/>
      <c r="I403" s="20"/>
      <c r="J403" s="41">
        <f>J402+Table234535[[#This Row],[AMOUNT]]-Table234535[[#This Row],[AMOUNT2]]-Table234535[[#This Row],[AMOUNT3]]</f>
        <v>-51139</v>
      </c>
      <c r="K403" s="79"/>
    </row>
    <row r="404" spans="1:11" hidden="1" x14ac:dyDescent="0.35">
      <c r="A404" s="30">
        <v>46173</v>
      </c>
      <c r="B404" s="20"/>
      <c r="C404" s="20"/>
      <c r="D404" s="20" t="s">
        <v>497</v>
      </c>
      <c r="E404" s="20" t="s">
        <v>20</v>
      </c>
      <c r="F404" s="19" t="s">
        <v>507</v>
      </c>
      <c r="G404" s="21">
        <v>1500</v>
      </c>
      <c r="H404" s="20"/>
      <c r="I404" s="20"/>
      <c r="J404" s="41">
        <f>J403+Table234535[[#This Row],[AMOUNT]]-Table234535[[#This Row],[AMOUNT2]]-Table234535[[#This Row],[AMOUNT3]]</f>
        <v>-52639</v>
      </c>
      <c r="K404" s="79"/>
    </row>
    <row r="405" spans="1:11" hidden="1" x14ac:dyDescent="0.35">
      <c r="A405" s="30">
        <v>46173</v>
      </c>
      <c r="B405" s="20"/>
      <c r="C405" s="20"/>
      <c r="D405" s="20" t="s">
        <v>497</v>
      </c>
      <c r="E405" s="20" t="s">
        <v>34</v>
      </c>
      <c r="F405" s="19" t="s">
        <v>508</v>
      </c>
      <c r="G405" s="21">
        <v>390</v>
      </c>
      <c r="H405" s="20"/>
      <c r="I405" s="20"/>
      <c r="J405" s="41">
        <f>J404+Table234535[[#This Row],[AMOUNT]]-Table234535[[#This Row],[AMOUNT2]]-Table234535[[#This Row],[AMOUNT3]]</f>
        <v>-53029</v>
      </c>
      <c r="K405" s="79"/>
    </row>
    <row r="406" spans="1:11" hidden="1" x14ac:dyDescent="0.35">
      <c r="A406" s="30">
        <v>46173</v>
      </c>
      <c r="B406" s="20"/>
      <c r="C406" s="20"/>
      <c r="D406" s="20" t="s">
        <v>497</v>
      </c>
      <c r="E406" s="20" t="s">
        <v>682</v>
      </c>
      <c r="F406" s="19" t="s">
        <v>509</v>
      </c>
      <c r="G406" s="21">
        <v>400</v>
      </c>
      <c r="H406" s="20"/>
      <c r="I406" s="20"/>
      <c r="J406" s="41">
        <f>J405+Table234535[[#This Row],[AMOUNT]]-Table234535[[#This Row],[AMOUNT2]]-Table234535[[#This Row],[AMOUNT3]]</f>
        <v>-53429</v>
      </c>
      <c r="K406" s="79"/>
    </row>
    <row r="407" spans="1:11" hidden="1" x14ac:dyDescent="0.35">
      <c r="A407" s="30">
        <v>46173</v>
      </c>
      <c r="B407" s="20"/>
      <c r="C407" s="20"/>
      <c r="D407" s="20" t="s">
        <v>65</v>
      </c>
      <c r="E407" s="20" t="s">
        <v>24</v>
      </c>
      <c r="F407" s="19" t="s">
        <v>510</v>
      </c>
      <c r="G407" s="21">
        <v>2600</v>
      </c>
      <c r="H407" s="20"/>
      <c r="I407" s="20"/>
      <c r="J407" s="41">
        <f>J406+Table234535[[#This Row],[AMOUNT]]-Table234535[[#This Row],[AMOUNT2]]-Table234535[[#This Row],[AMOUNT3]]</f>
        <v>-56029</v>
      </c>
      <c r="K407" s="79"/>
    </row>
    <row r="408" spans="1:11" hidden="1" x14ac:dyDescent="0.35">
      <c r="A408" s="30">
        <v>46173</v>
      </c>
      <c r="B408" s="20"/>
      <c r="C408" s="20"/>
      <c r="D408" s="20" t="s">
        <v>65</v>
      </c>
      <c r="E408" s="20" t="s">
        <v>24</v>
      </c>
      <c r="F408" s="19" t="s">
        <v>511</v>
      </c>
      <c r="G408" s="21">
        <v>1000</v>
      </c>
      <c r="H408" s="20"/>
      <c r="I408" s="20"/>
      <c r="J408" s="41">
        <f>J407+Table234535[[#This Row],[AMOUNT]]-Table234535[[#This Row],[AMOUNT2]]-Table234535[[#This Row],[AMOUNT3]]</f>
        <v>-57029</v>
      </c>
      <c r="K408" s="79"/>
    </row>
    <row r="409" spans="1:11" hidden="1" x14ac:dyDescent="0.35">
      <c r="A409" s="30">
        <v>46173</v>
      </c>
      <c r="B409" s="20"/>
      <c r="C409" s="20"/>
      <c r="D409" s="20" t="s">
        <v>497</v>
      </c>
      <c r="E409" s="20" t="s">
        <v>34</v>
      </c>
      <c r="F409" s="19" t="s">
        <v>512</v>
      </c>
      <c r="G409" s="21">
        <v>150</v>
      </c>
      <c r="H409" s="20"/>
      <c r="I409" s="20"/>
      <c r="J409" s="41">
        <f>J408+Table234535[[#This Row],[AMOUNT]]-Table234535[[#This Row],[AMOUNT2]]-Table234535[[#This Row],[AMOUNT3]]</f>
        <v>-57179</v>
      </c>
      <c r="K409" s="79"/>
    </row>
    <row r="410" spans="1:11" hidden="1" x14ac:dyDescent="0.35">
      <c r="A410" s="30">
        <v>46173</v>
      </c>
      <c r="B410" s="20"/>
      <c r="C410" s="20"/>
      <c r="D410" s="20" t="s">
        <v>65</v>
      </c>
      <c r="E410" s="20" t="s">
        <v>679</v>
      </c>
      <c r="F410" s="19" t="s">
        <v>1</v>
      </c>
      <c r="G410" s="21">
        <v>500</v>
      </c>
      <c r="H410" s="20"/>
      <c r="I410" s="20"/>
      <c r="J410" s="41">
        <f>J409+Table234535[[#This Row],[AMOUNT]]-Table234535[[#This Row],[AMOUNT2]]-Table234535[[#This Row],[AMOUNT3]]</f>
        <v>-57679</v>
      </c>
      <c r="K410" s="79"/>
    </row>
    <row r="411" spans="1:11" hidden="1" x14ac:dyDescent="0.35">
      <c r="A411" s="30">
        <v>46173</v>
      </c>
      <c r="B411" s="20"/>
      <c r="C411" s="20"/>
      <c r="D411" s="20" t="s">
        <v>497</v>
      </c>
      <c r="E411" s="20" t="s">
        <v>679</v>
      </c>
      <c r="F411" s="19" t="s">
        <v>1</v>
      </c>
      <c r="G411" s="21">
        <v>500</v>
      </c>
      <c r="H411" s="20"/>
      <c r="I411" s="20"/>
      <c r="J411" s="41">
        <f>J410+Table234535[[#This Row],[AMOUNT]]-Table234535[[#This Row],[AMOUNT2]]-Table234535[[#This Row],[AMOUNT3]]</f>
        <v>-58179</v>
      </c>
      <c r="K411" s="79"/>
    </row>
    <row r="412" spans="1:11" hidden="1" x14ac:dyDescent="0.35">
      <c r="A412" s="30">
        <v>46173</v>
      </c>
      <c r="B412" s="20"/>
      <c r="C412" s="20"/>
      <c r="D412" s="20" t="s">
        <v>497</v>
      </c>
      <c r="E412" s="20" t="s">
        <v>20</v>
      </c>
      <c r="F412" s="19" t="s">
        <v>514</v>
      </c>
      <c r="G412" s="21">
        <v>400</v>
      </c>
      <c r="H412" s="20"/>
      <c r="I412" s="20"/>
      <c r="J412" s="41">
        <f>J411+Table234535[[#This Row],[AMOUNT]]-Table234535[[#This Row],[AMOUNT2]]-Table234535[[#This Row],[AMOUNT3]]</f>
        <v>-58579</v>
      </c>
      <c r="K412" s="79" t="s">
        <v>625</v>
      </c>
    </row>
    <row r="413" spans="1:11" hidden="1" x14ac:dyDescent="0.35">
      <c r="A413" s="103">
        <v>46174</v>
      </c>
      <c r="B413" s="45" t="s">
        <v>45</v>
      </c>
      <c r="C413" s="45">
        <v>6800</v>
      </c>
      <c r="D413" s="45" t="s">
        <v>65</v>
      </c>
      <c r="E413" s="45" t="s">
        <v>68</v>
      </c>
      <c r="F413" s="104" t="s">
        <v>285</v>
      </c>
      <c r="G413" s="105">
        <v>1600</v>
      </c>
      <c r="H413" s="45"/>
      <c r="I413" s="45"/>
      <c r="J413" s="106">
        <f>J412+Table234535[[#This Row],[AMOUNT]]-Table234535[[#This Row],[AMOUNT2]]-Table234535[[#This Row],[AMOUNT3]]</f>
        <v>-53379</v>
      </c>
      <c r="K413" s="79"/>
    </row>
    <row r="414" spans="1:11" hidden="1" x14ac:dyDescent="0.35">
      <c r="A414" s="30">
        <v>46174</v>
      </c>
      <c r="B414" s="20"/>
      <c r="C414" s="20"/>
      <c r="D414" s="20" t="s">
        <v>65</v>
      </c>
      <c r="E414" s="20" t="s">
        <v>16</v>
      </c>
      <c r="F414" s="19" t="s">
        <v>70</v>
      </c>
      <c r="G414" s="21">
        <v>900</v>
      </c>
      <c r="H414" s="20"/>
      <c r="I414" s="20"/>
      <c r="J414" s="41">
        <f>J413+Table234535[[#This Row],[AMOUNT]]-Table234535[[#This Row],[AMOUNT2]]-Table234535[[#This Row],[AMOUNT3]]</f>
        <v>-54279</v>
      </c>
      <c r="K414" s="79"/>
    </row>
    <row r="415" spans="1:11" hidden="1" x14ac:dyDescent="0.35">
      <c r="A415" s="30">
        <v>46174</v>
      </c>
      <c r="B415" s="20"/>
      <c r="C415" s="20"/>
      <c r="D415" s="20" t="s">
        <v>497</v>
      </c>
      <c r="E415" s="20" t="s">
        <v>68</v>
      </c>
      <c r="F415" s="19" t="s">
        <v>467</v>
      </c>
      <c r="G415" s="21">
        <v>800</v>
      </c>
      <c r="H415" s="20"/>
      <c r="I415" s="20"/>
      <c r="J415" s="41">
        <f>J414+Table234535[[#This Row],[AMOUNT]]-Table234535[[#This Row],[AMOUNT2]]-Table234535[[#This Row],[AMOUNT3]]</f>
        <v>-55079</v>
      </c>
      <c r="K415" s="79"/>
    </row>
    <row r="416" spans="1:11" hidden="1" x14ac:dyDescent="0.35">
      <c r="A416" s="30">
        <v>46174</v>
      </c>
      <c r="B416" s="20"/>
      <c r="C416" s="20"/>
      <c r="D416" s="20" t="s">
        <v>497</v>
      </c>
      <c r="E416" s="20" t="s">
        <v>38</v>
      </c>
      <c r="F416" s="19" t="s">
        <v>413</v>
      </c>
      <c r="G416" s="21">
        <v>180</v>
      </c>
      <c r="H416" s="20"/>
      <c r="I416" s="20"/>
      <c r="J416" s="41">
        <f>J415+Table234535[[#This Row],[AMOUNT]]-Table234535[[#This Row],[AMOUNT2]]-Table234535[[#This Row],[AMOUNT3]]</f>
        <v>-55259</v>
      </c>
      <c r="K416" s="79"/>
    </row>
    <row r="417" spans="1:12" hidden="1" x14ac:dyDescent="0.35">
      <c r="A417" s="30">
        <v>46174</v>
      </c>
      <c r="B417" s="20"/>
      <c r="C417" s="20"/>
      <c r="D417" s="20" t="s">
        <v>65</v>
      </c>
      <c r="E417" s="20" t="s">
        <v>20</v>
      </c>
      <c r="F417" s="19" t="s">
        <v>562</v>
      </c>
      <c r="G417" s="21">
        <v>6800</v>
      </c>
      <c r="H417" s="20"/>
      <c r="I417" s="20"/>
      <c r="J417" s="41">
        <f>J416+Table234535[[#This Row],[AMOUNT]]-Table234535[[#This Row],[AMOUNT2]]-Table234535[[#This Row],[AMOUNT3]]</f>
        <v>-62059</v>
      </c>
      <c r="K417" s="79"/>
    </row>
    <row r="418" spans="1:12" hidden="1" x14ac:dyDescent="0.35">
      <c r="A418" s="30">
        <v>46174</v>
      </c>
      <c r="B418" s="20"/>
      <c r="C418" s="20"/>
      <c r="D418" s="20" t="s">
        <v>497</v>
      </c>
      <c r="E418" s="20" t="s">
        <v>20</v>
      </c>
      <c r="F418" s="19" t="s">
        <v>514</v>
      </c>
      <c r="G418" s="21">
        <v>400</v>
      </c>
      <c r="H418" s="20"/>
      <c r="I418" s="20"/>
      <c r="J418" s="41">
        <f>J417+Table234535[[#This Row],[AMOUNT]]-Table234535[[#This Row],[AMOUNT2]]-Table234535[[#This Row],[AMOUNT3]]</f>
        <v>-62459</v>
      </c>
      <c r="K418" s="79"/>
    </row>
    <row r="419" spans="1:12" hidden="1" x14ac:dyDescent="0.35">
      <c r="A419" s="30">
        <v>46175</v>
      </c>
      <c r="B419" s="20" t="s">
        <v>45</v>
      </c>
      <c r="C419" s="45">
        <v>4100</v>
      </c>
      <c r="D419" s="20" t="s">
        <v>65</v>
      </c>
      <c r="E419" s="20" t="s">
        <v>20</v>
      </c>
      <c r="F419" s="19" t="s">
        <v>563</v>
      </c>
      <c r="G419" s="21">
        <v>4100</v>
      </c>
      <c r="H419" s="20"/>
      <c r="I419" s="20"/>
      <c r="J419" s="41">
        <f>J418+Table234535[[#This Row],[AMOUNT]]-Table234535[[#This Row],[AMOUNT2]]-Table234535[[#This Row],[AMOUNT3]]</f>
        <v>-62459</v>
      </c>
      <c r="K419" s="79"/>
    </row>
    <row r="420" spans="1:12" hidden="1" x14ac:dyDescent="0.35">
      <c r="A420" s="30">
        <v>46175</v>
      </c>
      <c r="B420" s="20"/>
      <c r="C420" s="20"/>
      <c r="D420" s="20" t="s">
        <v>65</v>
      </c>
      <c r="E420" s="20" t="s">
        <v>682</v>
      </c>
      <c r="F420" s="19" t="s">
        <v>564</v>
      </c>
      <c r="G420" s="21">
        <v>200</v>
      </c>
      <c r="H420" s="20"/>
      <c r="I420" s="20"/>
      <c r="J420" s="41">
        <f>J419+Table234535[[#This Row],[AMOUNT]]-Table234535[[#This Row],[AMOUNT2]]-Table234535[[#This Row],[AMOUNT3]]</f>
        <v>-62659</v>
      </c>
      <c r="K420" s="79"/>
    </row>
    <row r="421" spans="1:12" hidden="1" x14ac:dyDescent="0.35">
      <c r="A421" s="30">
        <v>46175</v>
      </c>
      <c r="B421" s="20"/>
      <c r="C421" s="20"/>
      <c r="D421" s="20" t="s">
        <v>65</v>
      </c>
      <c r="E421" s="20" t="s">
        <v>68</v>
      </c>
      <c r="F421" s="19" t="s">
        <v>285</v>
      </c>
      <c r="G421" s="21">
        <v>1600</v>
      </c>
      <c r="H421" s="20"/>
      <c r="I421" s="20"/>
      <c r="J421" s="41">
        <f>J420+Table234535[[#This Row],[AMOUNT]]-Table234535[[#This Row],[AMOUNT2]]-Table234535[[#This Row],[AMOUNT3]]</f>
        <v>-64259</v>
      </c>
      <c r="K421" s="79"/>
    </row>
    <row r="422" spans="1:12" hidden="1" x14ac:dyDescent="0.35">
      <c r="A422" s="30">
        <v>46175</v>
      </c>
      <c r="B422" s="20"/>
      <c r="C422" s="20"/>
      <c r="D422" s="20" t="s">
        <v>65</v>
      </c>
      <c r="E422" s="20" t="s">
        <v>16</v>
      </c>
      <c r="F422" s="19" t="s">
        <v>70</v>
      </c>
      <c r="G422" s="21">
        <v>900</v>
      </c>
      <c r="H422" s="20"/>
      <c r="I422" s="20"/>
      <c r="J422" s="41">
        <f>J421+Table234535[[#This Row],[AMOUNT]]-Table234535[[#This Row],[AMOUNT2]]-Table234535[[#This Row],[AMOUNT3]]</f>
        <v>-65159</v>
      </c>
      <c r="K422" s="79"/>
    </row>
    <row r="423" spans="1:12" hidden="1" x14ac:dyDescent="0.35">
      <c r="A423" s="30">
        <v>46175</v>
      </c>
      <c r="B423" s="20"/>
      <c r="C423" s="20"/>
      <c r="D423" s="20" t="s">
        <v>65</v>
      </c>
      <c r="E423" s="20" t="s">
        <v>682</v>
      </c>
      <c r="F423" s="90" t="s">
        <v>565</v>
      </c>
      <c r="G423" s="21">
        <v>600</v>
      </c>
      <c r="H423" s="20"/>
      <c r="I423" s="20"/>
      <c r="J423" s="41">
        <f>J422+Table234535[[#This Row],[AMOUNT]]-Table234535[[#This Row],[AMOUNT2]]-Table234535[[#This Row],[AMOUNT3]]</f>
        <v>-65759</v>
      </c>
      <c r="K423" s="79"/>
    </row>
    <row r="424" spans="1:12" hidden="1" x14ac:dyDescent="0.35">
      <c r="A424" s="30">
        <v>46176</v>
      </c>
      <c r="B424" s="20" t="s">
        <v>566</v>
      </c>
      <c r="C424" s="45">
        <v>30000</v>
      </c>
      <c r="D424" s="20" t="s">
        <v>65</v>
      </c>
      <c r="E424" s="20" t="s">
        <v>68</v>
      </c>
      <c r="F424" s="19" t="s">
        <v>285</v>
      </c>
      <c r="G424" s="21">
        <v>1600</v>
      </c>
      <c r="H424" s="20"/>
      <c r="I424" s="20"/>
      <c r="J424" s="41">
        <f>J423+Table234535[[#This Row],[AMOUNT]]-Table234535[[#This Row],[AMOUNT2]]-Table234535[[#This Row],[AMOUNT3]]</f>
        <v>-37359</v>
      </c>
      <c r="K424" s="79"/>
    </row>
    <row r="425" spans="1:12" hidden="1" x14ac:dyDescent="0.35">
      <c r="A425" s="30">
        <v>46176</v>
      </c>
      <c r="B425" s="20"/>
      <c r="C425" s="20"/>
      <c r="D425" s="20" t="s">
        <v>65</v>
      </c>
      <c r="E425" s="20" t="s">
        <v>16</v>
      </c>
      <c r="F425" s="19" t="s">
        <v>70</v>
      </c>
      <c r="G425" s="21">
        <v>900</v>
      </c>
      <c r="H425" s="20"/>
      <c r="I425" s="20"/>
      <c r="J425" s="41">
        <f>J424+Table234535[[#This Row],[AMOUNT]]-Table234535[[#This Row],[AMOUNT2]]-Table234535[[#This Row],[AMOUNT3]]</f>
        <v>-38259</v>
      </c>
      <c r="K425" s="79"/>
    </row>
    <row r="426" spans="1:12" hidden="1" x14ac:dyDescent="0.35">
      <c r="A426" s="30">
        <v>46176</v>
      </c>
      <c r="B426" s="20"/>
      <c r="C426" s="20"/>
      <c r="D426" s="20" t="s">
        <v>274</v>
      </c>
      <c r="E426" s="20" t="s">
        <v>38</v>
      </c>
      <c r="F426" s="19" t="s">
        <v>567</v>
      </c>
      <c r="G426" s="21">
        <v>600</v>
      </c>
      <c r="H426" s="20"/>
      <c r="I426" s="20"/>
      <c r="J426" s="41">
        <f>J425+Table234535[[#This Row],[AMOUNT]]-Table234535[[#This Row],[AMOUNT2]]-Table234535[[#This Row],[AMOUNT3]]</f>
        <v>-38859</v>
      </c>
      <c r="K426" s="79"/>
      <c r="L426">
        <f>+L285-L302</f>
        <v>-176692</v>
      </c>
    </row>
    <row r="427" spans="1:12" hidden="1" x14ac:dyDescent="0.35">
      <c r="A427" s="30">
        <v>46176</v>
      </c>
      <c r="B427" s="20"/>
      <c r="C427" s="8"/>
      <c r="D427" s="20" t="s">
        <v>274</v>
      </c>
      <c r="E427" s="20" t="s">
        <v>43</v>
      </c>
      <c r="F427" s="9" t="s">
        <v>568</v>
      </c>
      <c r="G427" s="13">
        <v>540</v>
      </c>
      <c r="H427" s="8"/>
      <c r="I427" s="8"/>
      <c r="J427" s="41">
        <f>J426+Table234535[[#This Row],[AMOUNT]]-Table234535[[#This Row],[AMOUNT2]]-Table234535[[#This Row],[AMOUNT3]]</f>
        <v>-39399</v>
      </c>
      <c r="K427" s="79"/>
    </row>
    <row r="428" spans="1:12" hidden="1" x14ac:dyDescent="0.35">
      <c r="A428" s="64">
        <v>46177</v>
      </c>
      <c r="B428" s="8" t="s">
        <v>569</v>
      </c>
      <c r="C428" s="23">
        <v>35000</v>
      </c>
      <c r="D428" s="8"/>
      <c r="E428" s="8"/>
      <c r="F428" s="9"/>
      <c r="G428" s="13"/>
      <c r="H428" s="8"/>
      <c r="I428" s="8"/>
      <c r="J428" s="41">
        <f>J427+Table234535[[#This Row],[AMOUNT]]-Table234535[[#This Row],[AMOUNT2]]-Table234535[[#This Row],[AMOUNT3]]</f>
        <v>-4399</v>
      </c>
      <c r="K428" s="79"/>
    </row>
    <row r="429" spans="1:12" hidden="1" x14ac:dyDescent="0.35">
      <c r="A429" s="64">
        <v>46177</v>
      </c>
      <c r="B429" s="20" t="s">
        <v>45</v>
      </c>
      <c r="C429" s="45">
        <v>2000</v>
      </c>
      <c r="D429" s="8" t="s">
        <v>65</v>
      </c>
      <c r="E429" s="8" t="s">
        <v>68</v>
      </c>
      <c r="F429" s="9" t="s">
        <v>460</v>
      </c>
      <c r="G429" s="16">
        <v>2400</v>
      </c>
      <c r="H429" s="20"/>
      <c r="I429" s="20"/>
      <c r="J429" s="41">
        <f>J428+Table234535[[#This Row],[AMOUNT]]-Table234535[[#This Row],[AMOUNT2]]-Table234535[[#This Row],[AMOUNT3]]</f>
        <v>-4799</v>
      </c>
      <c r="K429" s="79"/>
    </row>
    <row r="430" spans="1:12" hidden="1" x14ac:dyDescent="0.35">
      <c r="A430" s="64">
        <v>46177</v>
      </c>
      <c r="B430" s="20"/>
      <c r="C430" s="20"/>
      <c r="D430" s="20" t="s">
        <v>65</v>
      </c>
      <c r="E430" s="20" t="s">
        <v>16</v>
      </c>
      <c r="F430" s="19" t="s">
        <v>70</v>
      </c>
      <c r="G430" s="85">
        <v>900</v>
      </c>
      <c r="H430" s="20"/>
      <c r="I430" s="20"/>
      <c r="J430" s="41">
        <f>J429+Table234535[[#This Row],[AMOUNT]]-Table234535[[#This Row],[AMOUNT2]]-Table234535[[#This Row],[AMOUNT3]]</f>
        <v>-5699</v>
      </c>
      <c r="K430" s="79"/>
    </row>
    <row r="431" spans="1:12" hidden="1" x14ac:dyDescent="0.35">
      <c r="A431" s="64">
        <v>46177</v>
      </c>
      <c r="B431" s="8"/>
      <c r="C431" s="8"/>
      <c r="D431" s="20" t="s">
        <v>584</v>
      </c>
      <c r="E431" s="20" t="s">
        <v>43</v>
      </c>
      <c r="F431" s="19" t="s">
        <v>570</v>
      </c>
      <c r="G431" s="85">
        <v>850</v>
      </c>
      <c r="H431" s="8"/>
      <c r="I431" s="8"/>
      <c r="J431" s="41">
        <f>J430+Table234535[[#This Row],[AMOUNT]]-Table234535[[#This Row],[AMOUNT2]]-Table234535[[#This Row],[AMOUNT3]]</f>
        <v>-6549</v>
      </c>
      <c r="K431" s="79"/>
    </row>
    <row r="432" spans="1:12" hidden="1" x14ac:dyDescent="0.35">
      <c r="A432" s="64">
        <v>46177</v>
      </c>
      <c r="B432" s="20"/>
      <c r="C432" s="20"/>
      <c r="D432" s="20" t="s">
        <v>65</v>
      </c>
      <c r="E432" s="20" t="s">
        <v>20</v>
      </c>
      <c r="F432" s="19" t="s">
        <v>571</v>
      </c>
      <c r="G432" s="85">
        <v>34300</v>
      </c>
      <c r="H432" s="20" t="s">
        <v>53</v>
      </c>
      <c r="I432" s="118">
        <v>2000</v>
      </c>
      <c r="J432" s="41">
        <f>J431+Table234535[[#This Row],[AMOUNT]]-Table234535[[#This Row],[AMOUNT2]]-Table234535[[#This Row],[AMOUNT3]]</f>
        <v>-42849</v>
      </c>
      <c r="K432" s="100"/>
      <c r="L432" s="81"/>
    </row>
    <row r="433" spans="1:11" hidden="1" x14ac:dyDescent="0.35">
      <c r="A433" s="64">
        <v>46178</v>
      </c>
      <c r="B433" s="20" t="s">
        <v>45</v>
      </c>
      <c r="C433" s="45">
        <v>2000</v>
      </c>
      <c r="D433" s="20"/>
      <c r="E433" s="20"/>
      <c r="F433" s="19"/>
      <c r="G433" s="21"/>
      <c r="H433" s="20"/>
      <c r="I433" s="20"/>
      <c r="J433" s="41">
        <f>J432+Table234535[[#This Row],[AMOUNT]]-Table234535[[#This Row],[AMOUNT2]]-Table234535[[#This Row],[AMOUNT3]]</f>
        <v>-40849</v>
      </c>
      <c r="K433" s="79"/>
    </row>
    <row r="434" spans="1:11" hidden="1" x14ac:dyDescent="0.35">
      <c r="A434" s="64">
        <v>46178</v>
      </c>
      <c r="B434" s="20" t="s">
        <v>45</v>
      </c>
      <c r="C434" s="23">
        <v>7000</v>
      </c>
      <c r="D434" s="8" t="s">
        <v>65</v>
      </c>
      <c r="E434" s="8" t="s">
        <v>68</v>
      </c>
      <c r="F434" s="9" t="s">
        <v>460</v>
      </c>
      <c r="G434" s="13">
        <v>2400</v>
      </c>
      <c r="H434" s="8"/>
      <c r="I434" s="8"/>
      <c r="J434" s="41">
        <f>J433+Table234535[[#This Row],[AMOUNT]]-Table234535[[#This Row],[AMOUNT2]]-Table234535[[#This Row],[AMOUNT3]]</f>
        <v>-36249</v>
      </c>
      <c r="K434" s="79"/>
    </row>
    <row r="435" spans="1:11" hidden="1" x14ac:dyDescent="0.35">
      <c r="A435" s="64">
        <v>46178</v>
      </c>
      <c r="B435" s="8"/>
      <c r="C435" s="8"/>
      <c r="D435" s="8" t="s">
        <v>65</v>
      </c>
      <c r="E435" s="8" t="s">
        <v>16</v>
      </c>
      <c r="F435" s="19" t="s">
        <v>70</v>
      </c>
      <c r="G435" s="21">
        <v>900</v>
      </c>
      <c r="H435" s="8"/>
      <c r="I435" s="8"/>
      <c r="J435" s="41">
        <f>J434+Table234535[[#This Row],[AMOUNT]]-Table234535[[#This Row],[AMOUNT2]]-Table234535[[#This Row],[AMOUNT3]]</f>
        <v>-37149</v>
      </c>
      <c r="K435" s="79"/>
    </row>
    <row r="436" spans="1:11" hidden="1" x14ac:dyDescent="0.35">
      <c r="A436" s="64">
        <v>46178</v>
      </c>
      <c r="B436" s="8"/>
      <c r="C436" s="8"/>
      <c r="D436" s="8" t="s">
        <v>39</v>
      </c>
      <c r="E436" s="8" t="s">
        <v>68</v>
      </c>
      <c r="F436" s="9" t="s">
        <v>725</v>
      </c>
      <c r="G436" s="13">
        <v>800</v>
      </c>
      <c r="H436" s="8"/>
      <c r="I436" s="8"/>
      <c r="J436" s="41">
        <f>J435+Table234535[[#This Row],[AMOUNT]]-Table234535[[#This Row],[AMOUNT2]]-Table234535[[#This Row],[AMOUNT3]]</f>
        <v>-37949</v>
      </c>
      <c r="K436" s="79"/>
    </row>
    <row r="437" spans="1:11" hidden="1" x14ac:dyDescent="0.35">
      <c r="A437" s="64">
        <v>46178</v>
      </c>
      <c r="B437" s="8"/>
      <c r="C437" s="8"/>
      <c r="D437" s="8" t="s">
        <v>39</v>
      </c>
      <c r="E437" s="20" t="s">
        <v>679</v>
      </c>
      <c r="F437" s="9" t="s">
        <v>572</v>
      </c>
      <c r="G437" s="13">
        <v>500</v>
      </c>
      <c r="H437" s="8" t="s">
        <v>53</v>
      </c>
      <c r="I437" s="23">
        <v>2000</v>
      </c>
      <c r="J437" s="41">
        <f>J436+Table234535[[#This Row],[AMOUNT]]-Table234535[[#This Row],[AMOUNT2]]-Table234535[[#This Row],[AMOUNT3]]</f>
        <v>-40449</v>
      </c>
      <c r="K437" s="79"/>
    </row>
    <row r="438" spans="1:11" hidden="1" x14ac:dyDescent="0.35">
      <c r="A438" s="64">
        <v>46178</v>
      </c>
      <c r="B438" s="8"/>
      <c r="C438" s="8"/>
      <c r="D438" s="8" t="s">
        <v>65</v>
      </c>
      <c r="E438" s="20" t="s">
        <v>679</v>
      </c>
      <c r="F438" s="9" t="s">
        <v>572</v>
      </c>
      <c r="G438" s="13">
        <v>500</v>
      </c>
      <c r="H438" s="8"/>
      <c r="I438" s="8"/>
      <c r="J438" s="41">
        <f>J437+Table234535[[#This Row],[AMOUNT]]-Table234535[[#This Row],[AMOUNT2]]-Table234535[[#This Row],[AMOUNT3]]</f>
        <v>-40949</v>
      </c>
      <c r="K438" s="79" t="s">
        <v>625</v>
      </c>
    </row>
    <row r="439" spans="1:11" hidden="1" x14ac:dyDescent="0.35">
      <c r="A439" s="64">
        <v>46178</v>
      </c>
      <c r="B439" s="8"/>
      <c r="C439" s="8"/>
      <c r="D439" s="8"/>
      <c r="E439" s="8"/>
      <c r="F439" s="9"/>
      <c r="G439" s="13"/>
      <c r="H439" s="18" t="s">
        <v>715</v>
      </c>
      <c r="I439" s="18">
        <v>7000</v>
      </c>
      <c r="J439" s="41">
        <f>J438+Table234535[[#This Row],[AMOUNT]]-Table234535[[#This Row],[AMOUNT2]]-Table234535[[#This Row],[AMOUNT3]]</f>
        <v>-47949</v>
      </c>
      <c r="K439" s="100" t="s">
        <v>716</v>
      </c>
    </row>
    <row r="440" spans="1:11" hidden="1" x14ac:dyDescent="0.35">
      <c r="A440" s="64">
        <v>46179</v>
      </c>
      <c r="B440" s="8" t="s">
        <v>45</v>
      </c>
      <c r="C440" s="23">
        <v>4800</v>
      </c>
      <c r="D440" s="8"/>
      <c r="E440" s="8"/>
      <c r="F440" s="9"/>
      <c r="G440" s="13"/>
      <c r="H440" s="8"/>
      <c r="I440" s="8"/>
      <c r="J440" s="41">
        <f>J439+Table234535[[#This Row],[AMOUNT]]-Table234535[[#This Row],[AMOUNT2]]-Table234535[[#This Row],[AMOUNT3]]</f>
        <v>-43149</v>
      </c>
      <c r="K440" s="79"/>
    </row>
    <row r="441" spans="1:11" hidden="1" x14ac:dyDescent="0.35">
      <c r="A441" s="64">
        <v>46179</v>
      </c>
      <c r="B441" s="8" t="s">
        <v>45</v>
      </c>
      <c r="C441" s="23">
        <v>2000</v>
      </c>
      <c r="D441" s="8" t="s">
        <v>65</v>
      </c>
      <c r="E441" s="8" t="s">
        <v>68</v>
      </c>
      <c r="F441" s="9" t="s">
        <v>285</v>
      </c>
      <c r="G441" s="13">
        <v>1600</v>
      </c>
      <c r="H441" s="8"/>
      <c r="I441" s="8"/>
      <c r="J441" s="41">
        <f>J440+Table234535[[#This Row],[AMOUNT]]-Table234535[[#This Row],[AMOUNT2]]-Table234535[[#This Row],[AMOUNT3]]</f>
        <v>-42749</v>
      </c>
      <c r="K441" s="79"/>
    </row>
    <row r="442" spans="1:11" hidden="1" x14ac:dyDescent="0.35">
      <c r="A442" s="64">
        <v>46179</v>
      </c>
      <c r="B442" s="8"/>
      <c r="C442" s="8"/>
      <c r="D442" s="8" t="s">
        <v>65</v>
      </c>
      <c r="E442" s="8" t="s">
        <v>16</v>
      </c>
      <c r="F442" s="9" t="s">
        <v>70</v>
      </c>
      <c r="G442" s="13">
        <v>900</v>
      </c>
      <c r="H442" s="8"/>
      <c r="I442" s="8"/>
      <c r="J442" s="41">
        <f>J441+Table234535[[#This Row],[AMOUNT]]-Table234535[[#This Row],[AMOUNT2]]-Table234535[[#This Row],[AMOUNT3]]</f>
        <v>-43649</v>
      </c>
      <c r="K442" s="79"/>
    </row>
    <row r="443" spans="1:11" hidden="1" x14ac:dyDescent="0.35">
      <c r="A443" s="64">
        <v>46179</v>
      </c>
      <c r="B443" s="8"/>
      <c r="C443" s="8"/>
      <c r="D443" s="8" t="s">
        <v>953</v>
      </c>
      <c r="E443" s="8" t="s">
        <v>68</v>
      </c>
      <c r="F443" s="9" t="s">
        <v>500</v>
      </c>
      <c r="G443" s="13">
        <v>1600</v>
      </c>
      <c r="H443" s="8"/>
      <c r="I443" s="8"/>
      <c r="J443" s="41">
        <f>J442+Table234535[[#This Row],[AMOUNT]]-Table234535[[#This Row],[AMOUNT2]]-Table234535[[#This Row],[AMOUNT3]]</f>
        <v>-45249</v>
      </c>
      <c r="K443" s="79"/>
    </row>
    <row r="444" spans="1:11" hidden="1" x14ac:dyDescent="0.35">
      <c r="A444" s="64">
        <v>46179</v>
      </c>
      <c r="B444" s="8"/>
      <c r="C444" s="8"/>
      <c r="D444" s="8" t="s">
        <v>274</v>
      </c>
      <c r="E444" s="20" t="s">
        <v>682</v>
      </c>
      <c r="F444" s="9" t="s">
        <v>573</v>
      </c>
      <c r="G444" s="13">
        <v>300</v>
      </c>
      <c r="H444" s="8" t="s">
        <v>64</v>
      </c>
      <c r="I444" s="8">
        <v>2000</v>
      </c>
      <c r="J444" s="41">
        <f>J443+Table234535[[#This Row],[AMOUNT]]-Table234535[[#This Row],[AMOUNT2]]-Table234535[[#This Row],[AMOUNT3]]</f>
        <v>-47549</v>
      </c>
      <c r="K444" s="79"/>
    </row>
    <row r="445" spans="1:11" hidden="1" x14ac:dyDescent="0.35">
      <c r="A445" s="64">
        <v>46180</v>
      </c>
      <c r="B445" s="8" t="s">
        <v>45</v>
      </c>
      <c r="C445" s="23">
        <v>10000</v>
      </c>
      <c r="D445" s="8" t="s">
        <v>65</v>
      </c>
      <c r="E445" s="8" t="s">
        <v>68</v>
      </c>
      <c r="F445" s="9" t="s">
        <v>460</v>
      </c>
      <c r="G445" s="13">
        <v>2400</v>
      </c>
      <c r="H445" s="8"/>
      <c r="I445" s="8"/>
      <c r="J445" s="41">
        <f>J444+Table234535[[#This Row],[AMOUNT]]-Table234535[[#This Row],[AMOUNT2]]-Table234535[[#This Row],[AMOUNT3]]</f>
        <v>-39949</v>
      </c>
      <c r="K445" s="79"/>
    </row>
    <row r="446" spans="1:11" hidden="1" x14ac:dyDescent="0.35">
      <c r="A446" s="64">
        <v>46180</v>
      </c>
      <c r="B446" s="8"/>
      <c r="C446" s="8"/>
      <c r="D446" s="8" t="s">
        <v>65</v>
      </c>
      <c r="E446" s="8" t="s">
        <v>16</v>
      </c>
      <c r="F446" s="9" t="s">
        <v>70</v>
      </c>
      <c r="G446" s="13">
        <v>900</v>
      </c>
      <c r="H446" s="8"/>
      <c r="I446" s="8"/>
      <c r="J446" s="41">
        <f>J445+Table234535[[#This Row],[AMOUNT]]-Table234535[[#This Row],[AMOUNT2]]-Table234535[[#This Row],[AMOUNT3]]</f>
        <v>-40849</v>
      </c>
      <c r="K446" s="79"/>
    </row>
    <row r="447" spans="1:11" hidden="1" x14ac:dyDescent="0.35">
      <c r="A447" s="64">
        <v>46180</v>
      </c>
      <c r="B447" s="8"/>
      <c r="C447" s="8"/>
      <c r="D447" s="8" t="s">
        <v>953</v>
      </c>
      <c r="E447" s="8" t="s">
        <v>68</v>
      </c>
      <c r="F447" s="9" t="s">
        <v>460</v>
      </c>
      <c r="G447" s="13">
        <v>2400</v>
      </c>
      <c r="H447" s="8"/>
      <c r="I447" s="8"/>
      <c r="J447" s="41">
        <f>J446+Table234535[[#This Row],[AMOUNT]]-Table234535[[#This Row],[AMOUNT2]]-Table234535[[#This Row],[AMOUNT3]]</f>
        <v>-43249</v>
      </c>
      <c r="K447" s="79"/>
    </row>
    <row r="448" spans="1:11" hidden="1" x14ac:dyDescent="0.35">
      <c r="A448" s="64">
        <v>46180</v>
      </c>
      <c r="B448" s="8"/>
      <c r="C448" s="8"/>
      <c r="D448" s="8" t="s">
        <v>65</v>
      </c>
      <c r="E448" s="8" t="s">
        <v>20</v>
      </c>
      <c r="F448" s="9" t="s">
        <v>574</v>
      </c>
      <c r="G448" s="13">
        <v>7000</v>
      </c>
      <c r="H448" s="8"/>
      <c r="I448" s="8"/>
      <c r="J448" s="41">
        <f>J447+Table234535[[#This Row],[AMOUNT]]-Table234535[[#This Row],[AMOUNT2]]-Table234535[[#This Row],[AMOUNT3]]</f>
        <v>-50249</v>
      </c>
      <c r="K448" s="79"/>
    </row>
    <row r="449" spans="1:11" hidden="1" x14ac:dyDescent="0.35">
      <c r="A449" s="64">
        <v>46181</v>
      </c>
      <c r="B449" s="8" t="s">
        <v>45</v>
      </c>
      <c r="C449" s="23">
        <v>10000</v>
      </c>
      <c r="D449" s="8"/>
      <c r="E449" s="8"/>
      <c r="F449" s="9"/>
      <c r="G449" s="13"/>
      <c r="H449" s="8"/>
      <c r="I449" s="8"/>
      <c r="J449" s="41">
        <f>J448+Table234535[[#This Row],[AMOUNT]]-Table234535[[#This Row],[AMOUNT2]]-Table234535[[#This Row],[AMOUNT3]]</f>
        <v>-40249</v>
      </c>
      <c r="K449" s="79"/>
    </row>
    <row r="450" spans="1:11" hidden="1" x14ac:dyDescent="0.35">
      <c r="A450" s="64">
        <v>46181</v>
      </c>
      <c r="B450" s="8" t="s">
        <v>45</v>
      </c>
      <c r="C450" s="23">
        <v>4100</v>
      </c>
      <c r="D450" s="8"/>
      <c r="E450" s="8"/>
      <c r="F450" s="9"/>
      <c r="G450" s="13"/>
      <c r="H450" s="8" t="s">
        <v>575</v>
      </c>
      <c r="I450" s="23">
        <v>10000</v>
      </c>
      <c r="J450" s="41">
        <f>J449+Table234535[[#This Row],[AMOUNT]]-Table234535[[#This Row],[AMOUNT2]]-Table234535[[#This Row],[AMOUNT3]]</f>
        <v>-46149</v>
      </c>
      <c r="K450" s="79"/>
    </row>
    <row r="451" spans="1:11" hidden="1" x14ac:dyDescent="0.35">
      <c r="A451" s="64">
        <v>46181</v>
      </c>
      <c r="B451" s="8"/>
      <c r="C451" s="8"/>
      <c r="D451" s="8" t="s">
        <v>65</v>
      </c>
      <c r="E451" s="8" t="s">
        <v>20</v>
      </c>
      <c r="F451" s="9" t="s">
        <v>576</v>
      </c>
      <c r="G451" s="13">
        <v>4300</v>
      </c>
      <c r="H451" s="8"/>
      <c r="I451" s="8"/>
      <c r="J451" s="41">
        <f>J450+Table234535[[#This Row],[AMOUNT]]-Table234535[[#This Row],[AMOUNT2]]-Table234535[[#This Row],[AMOUNT3]]</f>
        <v>-50449</v>
      </c>
      <c r="K451" s="79"/>
    </row>
    <row r="452" spans="1:11" hidden="1" x14ac:dyDescent="0.35">
      <c r="A452" s="64">
        <v>46181</v>
      </c>
      <c r="B452" s="8"/>
      <c r="C452" s="8"/>
      <c r="D452" s="8" t="s">
        <v>65</v>
      </c>
      <c r="E452" s="8" t="s">
        <v>68</v>
      </c>
      <c r="F452" s="9" t="s">
        <v>500</v>
      </c>
      <c r="G452" s="13">
        <v>1600</v>
      </c>
      <c r="H452" s="8"/>
      <c r="I452" s="8"/>
      <c r="J452" s="41">
        <f>J451+Table234535[[#This Row],[AMOUNT]]-Table234535[[#This Row],[AMOUNT2]]-Table234535[[#This Row],[AMOUNT3]]</f>
        <v>-52049</v>
      </c>
      <c r="K452" s="79"/>
    </row>
    <row r="453" spans="1:11" hidden="1" x14ac:dyDescent="0.35">
      <c r="A453" s="64">
        <v>46181</v>
      </c>
      <c r="B453" s="8"/>
      <c r="C453" s="8"/>
      <c r="D453" s="8" t="s">
        <v>65</v>
      </c>
      <c r="E453" s="8" t="s">
        <v>16</v>
      </c>
      <c r="F453" s="9" t="s">
        <v>70</v>
      </c>
      <c r="G453" s="13">
        <v>900</v>
      </c>
      <c r="H453" s="8"/>
      <c r="I453" s="8"/>
      <c r="J453" s="41">
        <f>J452+Table234535[[#This Row],[AMOUNT]]-Table234535[[#This Row],[AMOUNT2]]-Table234535[[#This Row],[AMOUNT3]]</f>
        <v>-52949</v>
      </c>
      <c r="K453" s="79"/>
    </row>
    <row r="454" spans="1:11" hidden="1" x14ac:dyDescent="0.35">
      <c r="A454" s="64">
        <v>46182</v>
      </c>
      <c r="B454" s="8" t="s">
        <v>45</v>
      </c>
      <c r="C454" s="23">
        <v>20000</v>
      </c>
      <c r="D454" s="8"/>
      <c r="E454" s="8"/>
      <c r="F454" s="9"/>
      <c r="G454" s="13"/>
      <c r="H454" s="8"/>
      <c r="I454" s="8"/>
      <c r="J454" s="41">
        <f>J453+Table234535[[#This Row],[AMOUNT]]-Table234535[[#This Row],[AMOUNT2]]-Table234535[[#This Row],[AMOUNT3]]</f>
        <v>-32949</v>
      </c>
      <c r="K454" s="79"/>
    </row>
    <row r="455" spans="1:11" hidden="1" x14ac:dyDescent="0.35">
      <c r="A455" s="64">
        <v>46182</v>
      </c>
      <c r="B455" s="8" t="s">
        <v>45</v>
      </c>
      <c r="C455" s="23">
        <v>3000</v>
      </c>
      <c r="D455" s="8"/>
      <c r="E455" s="8"/>
      <c r="F455" s="9"/>
      <c r="G455" s="13"/>
      <c r="H455" s="8"/>
      <c r="I455" s="8"/>
      <c r="J455" s="41">
        <f>J454+Table234535[[#This Row],[AMOUNT]]-Table234535[[#This Row],[AMOUNT2]]-Table234535[[#This Row],[AMOUNT3]]</f>
        <v>-29949</v>
      </c>
      <c r="K455" s="79"/>
    </row>
    <row r="456" spans="1:11" hidden="1" x14ac:dyDescent="0.35">
      <c r="A456" s="64">
        <v>46182</v>
      </c>
      <c r="B456" s="8" t="s">
        <v>45</v>
      </c>
      <c r="C456" s="23">
        <v>10000</v>
      </c>
      <c r="D456" s="8"/>
      <c r="E456" s="8"/>
      <c r="F456" s="9"/>
      <c r="G456" s="13"/>
      <c r="H456" s="8"/>
      <c r="I456" s="8"/>
      <c r="J456" s="41">
        <f>J455+Table234535[[#This Row],[AMOUNT]]-Table234535[[#This Row],[AMOUNT2]]-Table234535[[#This Row],[AMOUNT3]]</f>
        <v>-19949</v>
      </c>
      <c r="K456" s="79"/>
    </row>
    <row r="457" spans="1:11" hidden="1" x14ac:dyDescent="0.35">
      <c r="A457" s="64">
        <v>46182</v>
      </c>
      <c r="B457" s="8" t="s">
        <v>569</v>
      </c>
      <c r="C457" s="23">
        <v>3000</v>
      </c>
      <c r="D457" s="8"/>
      <c r="E457" s="8"/>
      <c r="F457" s="9"/>
      <c r="G457" s="13"/>
      <c r="H457" s="8" t="s">
        <v>53</v>
      </c>
      <c r="I457" s="23">
        <v>10000</v>
      </c>
      <c r="J457" s="41">
        <f>J456+Table234535[[#This Row],[AMOUNT]]-Table234535[[#This Row],[AMOUNT2]]-Table234535[[#This Row],[AMOUNT3]]</f>
        <v>-26949</v>
      </c>
      <c r="K457" s="79"/>
    </row>
    <row r="458" spans="1:11" hidden="1" x14ac:dyDescent="0.35">
      <c r="A458" s="64">
        <v>46182</v>
      </c>
      <c r="B458" s="8"/>
      <c r="C458" s="8"/>
      <c r="D458" s="8" t="s">
        <v>953</v>
      </c>
      <c r="E458" s="8" t="s">
        <v>20</v>
      </c>
      <c r="F458" s="9" t="s">
        <v>577</v>
      </c>
      <c r="G458" s="13">
        <v>20000</v>
      </c>
      <c r="H458" s="8"/>
      <c r="I458" s="8"/>
      <c r="J458" s="41">
        <f>J457+Table234535[[#This Row],[AMOUNT]]-Table234535[[#This Row],[AMOUNT2]]-Table234535[[#This Row],[AMOUNT3]]</f>
        <v>-46949</v>
      </c>
      <c r="K458" s="79"/>
    </row>
    <row r="459" spans="1:11" hidden="1" x14ac:dyDescent="0.35">
      <c r="A459" s="64">
        <v>46182</v>
      </c>
      <c r="B459" s="8"/>
      <c r="C459" s="8"/>
      <c r="D459" s="8" t="s">
        <v>584</v>
      </c>
      <c r="E459" s="8" t="s">
        <v>24</v>
      </c>
      <c r="F459" s="9" t="s">
        <v>578</v>
      </c>
      <c r="G459" s="13">
        <v>3000</v>
      </c>
      <c r="H459" s="8" t="s">
        <v>64</v>
      </c>
      <c r="I459" s="8">
        <v>3000</v>
      </c>
      <c r="J459" s="41">
        <f>J458+Table234535[[#This Row],[AMOUNT]]-Table234535[[#This Row],[AMOUNT2]]-Table234535[[#This Row],[AMOUNT3]]</f>
        <v>-52949</v>
      </c>
      <c r="K459" s="79"/>
    </row>
    <row r="460" spans="1:11" hidden="1" x14ac:dyDescent="0.35">
      <c r="A460" s="64">
        <v>46183</v>
      </c>
      <c r="B460" s="8" t="s">
        <v>569</v>
      </c>
      <c r="C460" s="23">
        <v>150000</v>
      </c>
      <c r="D460" s="8" t="s">
        <v>39</v>
      </c>
      <c r="E460" s="20" t="s">
        <v>679</v>
      </c>
      <c r="F460" s="9" t="s">
        <v>579</v>
      </c>
      <c r="G460" s="13">
        <v>1000</v>
      </c>
      <c r="H460" s="8"/>
      <c r="I460" s="8"/>
      <c r="J460" s="41">
        <f>J459+Table234535[[#This Row],[AMOUNT]]-Table234535[[#This Row],[AMOUNT2]]-Table234535[[#This Row],[AMOUNT3]]</f>
        <v>96051</v>
      </c>
      <c r="K460" s="79"/>
    </row>
    <row r="461" spans="1:11" hidden="1" x14ac:dyDescent="0.35">
      <c r="A461" s="64">
        <v>46183</v>
      </c>
      <c r="B461" s="8"/>
      <c r="C461" s="8"/>
      <c r="D461" s="8" t="s">
        <v>953</v>
      </c>
      <c r="E461" s="8" t="s">
        <v>20</v>
      </c>
      <c r="F461" s="9" t="s">
        <v>580</v>
      </c>
      <c r="G461" s="13">
        <v>150000</v>
      </c>
      <c r="H461" s="8" t="s">
        <v>623</v>
      </c>
      <c r="I461" s="88">
        <v>10000</v>
      </c>
      <c r="J461" s="41">
        <f>J460+Table234535[[#This Row],[AMOUNT]]-Table234535[[#This Row],[AMOUNT2]]-Table234535[[#This Row],[AMOUNT3]]</f>
        <v>-63949</v>
      </c>
      <c r="K461" s="79"/>
    </row>
    <row r="462" spans="1:11" hidden="1" x14ac:dyDescent="0.35">
      <c r="A462" s="64">
        <v>46183</v>
      </c>
      <c r="B462" s="8"/>
      <c r="C462" s="8"/>
      <c r="D462" s="8" t="s">
        <v>953</v>
      </c>
      <c r="E462" s="8" t="s">
        <v>68</v>
      </c>
      <c r="F462" s="9" t="s">
        <v>581</v>
      </c>
      <c r="G462" s="13">
        <v>1000</v>
      </c>
      <c r="H462" s="8"/>
      <c r="I462" s="8"/>
      <c r="J462" s="41">
        <f>J461+Table234535[[#This Row],[AMOUNT]]-Table234535[[#This Row],[AMOUNT2]]-Table234535[[#This Row],[AMOUNT3]]</f>
        <v>-64949</v>
      </c>
      <c r="K462" s="79"/>
    </row>
    <row r="463" spans="1:11" hidden="1" x14ac:dyDescent="0.35">
      <c r="A463" s="64">
        <v>46183</v>
      </c>
      <c r="B463" s="8"/>
      <c r="C463" s="8"/>
      <c r="D463" s="8" t="s">
        <v>953</v>
      </c>
      <c r="E463" s="8" t="s">
        <v>16</v>
      </c>
      <c r="F463" s="9" t="s">
        <v>70</v>
      </c>
      <c r="G463" s="13">
        <v>900</v>
      </c>
      <c r="H463" s="8"/>
      <c r="I463" s="8"/>
      <c r="J463" s="41">
        <f>J462+Table234535[[#This Row],[AMOUNT]]-Table234535[[#This Row],[AMOUNT2]]-Table234535[[#This Row],[AMOUNT3]]</f>
        <v>-65849</v>
      </c>
      <c r="K463" s="79"/>
    </row>
    <row r="464" spans="1:11" hidden="1" x14ac:dyDescent="0.35">
      <c r="A464" s="64">
        <v>46183</v>
      </c>
      <c r="B464" s="8"/>
      <c r="C464" s="8"/>
      <c r="D464" s="8" t="s">
        <v>65</v>
      </c>
      <c r="E464" s="8" t="s">
        <v>68</v>
      </c>
      <c r="F464" s="9" t="s">
        <v>500</v>
      </c>
      <c r="G464" s="82">
        <v>1600</v>
      </c>
      <c r="H464" s="8"/>
      <c r="I464" s="8"/>
      <c r="J464" s="41">
        <f>J463+Table234535[[#This Row],[AMOUNT]]-Table234535[[#This Row],[AMOUNT2]]-Table234535[[#This Row],[AMOUNT3]]</f>
        <v>-67449</v>
      </c>
      <c r="K464" s="79"/>
    </row>
    <row r="465" spans="1:11" hidden="1" x14ac:dyDescent="0.35">
      <c r="A465" s="64">
        <v>46183</v>
      </c>
      <c r="B465" s="8"/>
      <c r="C465" s="8"/>
      <c r="D465" s="8" t="s">
        <v>65</v>
      </c>
      <c r="E465" s="8" t="s">
        <v>16</v>
      </c>
      <c r="F465" s="9" t="s">
        <v>70</v>
      </c>
      <c r="G465" s="82">
        <v>900</v>
      </c>
      <c r="H465" s="8"/>
      <c r="I465" s="8"/>
      <c r="J465" s="41">
        <f>J464+Table234535[[#This Row],[AMOUNT]]-Table234535[[#This Row],[AMOUNT2]]-Table234535[[#This Row],[AMOUNT3]]</f>
        <v>-68349</v>
      </c>
      <c r="K465" s="79" t="s">
        <v>561</v>
      </c>
    </row>
    <row r="466" spans="1:11" hidden="1" x14ac:dyDescent="0.35">
      <c r="A466" s="64">
        <v>46184</v>
      </c>
      <c r="B466" s="8" t="s">
        <v>45</v>
      </c>
      <c r="C466" s="23">
        <v>2400</v>
      </c>
      <c r="D466" s="8" t="s">
        <v>65</v>
      </c>
      <c r="E466" s="8" t="s">
        <v>68</v>
      </c>
      <c r="F466" s="9" t="s">
        <v>262</v>
      </c>
      <c r="G466" s="82">
        <v>2400</v>
      </c>
      <c r="H466" s="8"/>
      <c r="I466" s="8"/>
      <c r="J466" s="41">
        <f>J465+Table234535[[#This Row],[AMOUNT]]-Table234535[[#This Row],[AMOUNT2]]-Table234535[[#This Row],[AMOUNT3]]</f>
        <v>-68349</v>
      </c>
      <c r="K466" s="79"/>
    </row>
    <row r="467" spans="1:11" hidden="1" x14ac:dyDescent="0.35">
      <c r="A467" s="64">
        <v>46184</v>
      </c>
      <c r="B467" s="8"/>
      <c r="C467" s="101"/>
      <c r="D467" s="8" t="s">
        <v>65</v>
      </c>
      <c r="E467" s="8" t="s">
        <v>16</v>
      </c>
      <c r="F467" s="9" t="s">
        <v>70</v>
      </c>
      <c r="G467" s="82">
        <v>900</v>
      </c>
      <c r="H467" s="8"/>
      <c r="I467" s="8"/>
      <c r="J467" s="41">
        <f>J466+Table234535[[#This Row],[AMOUNT]]-Table234535[[#This Row],[AMOUNT2]]-Table234535[[#This Row],[AMOUNT3]]</f>
        <v>-69249</v>
      </c>
      <c r="K467" s="79"/>
    </row>
    <row r="468" spans="1:11" hidden="1" x14ac:dyDescent="0.35">
      <c r="A468" s="64">
        <v>46184</v>
      </c>
      <c r="B468" s="8"/>
      <c r="C468" s="8"/>
      <c r="D468" s="8" t="s">
        <v>953</v>
      </c>
      <c r="E468" s="8" t="s">
        <v>68</v>
      </c>
      <c r="F468" s="9" t="s">
        <v>653</v>
      </c>
      <c r="G468" s="82">
        <v>750</v>
      </c>
      <c r="H468" s="8"/>
      <c r="I468" s="8"/>
      <c r="J468" s="41">
        <f>J467+Table234535[[#This Row],[AMOUNT]]-Table234535[[#This Row],[AMOUNT2]]-Table234535[[#This Row],[AMOUNT3]]</f>
        <v>-69999</v>
      </c>
      <c r="K468" s="79"/>
    </row>
    <row r="469" spans="1:11" hidden="1" x14ac:dyDescent="0.35">
      <c r="A469" s="64">
        <v>46184</v>
      </c>
      <c r="B469" s="8"/>
      <c r="C469" s="8"/>
      <c r="D469" s="8" t="s">
        <v>584</v>
      </c>
      <c r="E469" s="8" t="s">
        <v>679</v>
      </c>
      <c r="F469" s="9" t="s">
        <v>582</v>
      </c>
      <c r="G469" s="82">
        <v>2400</v>
      </c>
      <c r="H469" s="8"/>
      <c r="I469" s="8"/>
      <c r="J469" s="41">
        <f>J468+Table234535[[#This Row],[AMOUNT]]-Table234535[[#This Row],[AMOUNT2]]-Table234535[[#This Row],[AMOUNT3]]</f>
        <v>-72399</v>
      </c>
      <c r="K469" s="79"/>
    </row>
    <row r="470" spans="1:11" hidden="1" x14ac:dyDescent="0.35">
      <c r="A470" s="64">
        <v>46184</v>
      </c>
      <c r="B470" s="8"/>
      <c r="C470" s="8"/>
      <c r="D470" s="8" t="s">
        <v>39</v>
      </c>
      <c r="E470" s="20" t="s">
        <v>679</v>
      </c>
      <c r="F470" s="9" t="s">
        <v>583</v>
      </c>
      <c r="G470" s="27">
        <v>500</v>
      </c>
      <c r="H470" s="8"/>
      <c r="I470" s="8"/>
      <c r="J470" s="41">
        <f>J469+Table234535[[#This Row],[AMOUNT]]-Table234535[[#This Row],[AMOUNT2]]-Table234535[[#This Row],[AMOUNT3]]</f>
        <v>-72899</v>
      </c>
      <c r="K470" s="79"/>
    </row>
    <row r="471" spans="1:11" hidden="1" x14ac:dyDescent="0.35">
      <c r="A471" s="64">
        <v>46184</v>
      </c>
      <c r="B471" s="8"/>
      <c r="C471" s="8"/>
      <c r="D471" s="8" t="s">
        <v>953</v>
      </c>
      <c r="E471" s="20" t="s">
        <v>679</v>
      </c>
      <c r="F471" s="9" t="s">
        <v>583</v>
      </c>
      <c r="G471" s="27">
        <v>500</v>
      </c>
      <c r="H471" s="8"/>
      <c r="I471" s="8"/>
      <c r="J471" s="41">
        <f>J470+Table234535[[#This Row],[AMOUNT]]-Table234535[[#This Row],[AMOUNT2]]-Table234535[[#This Row],[AMOUNT3]]</f>
        <v>-73399</v>
      </c>
      <c r="K471" s="79"/>
    </row>
    <row r="472" spans="1:11" hidden="1" x14ac:dyDescent="0.35">
      <c r="A472" s="64">
        <v>46185</v>
      </c>
      <c r="B472" s="8" t="s">
        <v>569</v>
      </c>
      <c r="C472" s="23">
        <v>20000</v>
      </c>
      <c r="D472" s="8"/>
      <c r="E472" s="8"/>
      <c r="F472" s="9"/>
      <c r="G472" s="13"/>
      <c r="H472" s="8"/>
      <c r="I472" s="8"/>
      <c r="J472" s="41">
        <f>J471+Table234535[[#This Row],[AMOUNT]]-Table234535[[#This Row],[AMOUNT2]]-Table234535[[#This Row],[AMOUNT3]]</f>
        <v>-53399</v>
      </c>
      <c r="K472" s="79"/>
    </row>
    <row r="473" spans="1:11" hidden="1" x14ac:dyDescent="0.35">
      <c r="A473" s="64">
        <v>46185</v>
      </c>
      <c r="B473" s="8" t="s">
        <v>45</v>
      </c>
      <c r="C473" s="23">
        <v>32000</v>
      </c>
      <c r="D473" s="8"/>
      <c r="E473" s="8"/>
      <c r="F473" s="9"/>
      <c r="G473" s="13"/>
      <c r="H473" s="8"/>
      <c r="I473" s="8"/>
      <c r="J473" s="41">
        <f>J472+Table234535[[#This Row],[AMOUNT]]-Table234535[[#This Row],[AMOUNT2]]-Table234535[[#This Row],[AMOUNT3]]</f>
        <v>-21399</v>
      </c>
      <c r="K473" s="79"/>
    </row>
    <row r="474" spans="1:11" hidden="1" x14ac:dyDescent="0.35">
      <c r="A474" s="64">
        <v>46185</v>
      </c>
      <c r="B474" s="8" t="s">
        <v>45</v>
      </c>
      <c r="C474" s="23">
        <v>6000</v>
      </c>
      <c r="D474" s="8"/>
      <c r="E474" s="8"/>
      <c r="F474" s="9"/>
      <c r="G474" s="13"/>
      <c r="H474" s="8" t="s">
        <v>623</v>
      </c>
      <c r="I474" s="88">
        <v>10000</v>
      </c>
      <c r="J474" s="41">
        <f>J473+Table234535[[#This Row],[AMOUNT]]-Table234535[[#This Row],[AMOUNT2]]-Table234535[[#This Row],[AMOUNT3]]</f>
        <v>-25399</v>
      </c>
      <c r="K474" s="79"/>
    </row>
    <row r="475" spans="1:11" hidden="1" x14ac:dyDescent="0.35">
      <c r="A475" s="64">
        <v>46185</v>
      </c>
      <c r="B475" s="8"/>
      <c r="C475" s="8"/>
      <c r="D475" s="8"/>
      <c r="E475" s="8"/>
      <c r="F475" s="9"/>
      <c r="G475" s="82"/>
      <c r="H475" s="8" t="s">
        <v>23</v>
      </c>
      <c r="I475" s="23">
        <v>8000</v>
      </c>
      <c r="J475" s="41">
        <f>J474+Table234535[[#This Row],[AMOUNT]]-Table234535[[#This Row],[AMOUNT2]]-Table234535[[#This Row],[AMOUNT3]]</f>
        <v>-33399</v>
      </c>
      <c r="K475" s="79"/>
    </row>
    <row r="476" spans="1:11" hidden="1" x14ac:dyDescent="0.35">
      <c r="A476" s="64">
        <v>46185</v>
      </c>
      <c r="B476" s="8"/>
      <c r="C476" s="8"/>
      <c r="D476" s="8" t="s">
        <v>953</v>
      </c>
      <c r="E476" s="8" t="s">
        <v>68</v>
      </c>
      <c r="F476" s="9" t="s">
        <v>722</v>
      </c>
      <c r="G476" s="82">
        <v>750</v>
      </c>
      <c r="H476" s="8"/>
      <c r="I476" s="8"/>
      <c r="J476" s="41">
        <f>J475+Table234535[[#This Row],[AMOUNT]]-Table234535[[#This Row],[AMOUNT2]]-Table234535[[#This Row],[AMOUNT3]]</f>
        <v>-34149</v>
      </c>
      <c r="K476" s="79"/>
    </row>
    <row r="477" spans="1:11" hidden="1" x14ac:dyDescent="0.35">
      <c r="A477" s="64">
        <v>46185</v>
      </c>
      <c r="B477" s="8"/>
      <c r="C477" s="8"/>
      <c r="D477" s="8" t="s">
        <v>953</v>
      </c>
      <c r="E477" s="8" t="s">
        <v>16</v>
      </c>
      <c r="F477" s="9" t="s">
        <v>631</v>
      </c>
      <c r="G477" s="82">
        <v>1150</v>
      </c>
      <c r="H477" s="8"/>
      <c r="I477" s="8"/>
      <c r="J477" s="41">
        <f>J476+Table234535[[#This Row],[AMOUNT]]-Table234535[[#This Row],[AMOUNT2]]-Table234535[[#This Row],[AMOUNT3]]</f>
        <v>-35299</v>
      </c>
      <c r="K477" s="79"/>
    </row>
    <row r="478" spans="1:11" hidden="1" x14ac:dyDescent="0.35">
      <c r="A478" s="64">
        <v>46185</v>
      </c>
      <c r="B478" s="8"/>
      <c r="C478" s="8"/>
      <c r="D478" s="8" t="s">
        <v>65</v>
      </c>
      <c r="E478" s="8" t="s">
        <v>68</v>
      </c>
      <c r="F478" s="9" t="s">
        <v>83</v>
      </c>
      <c r="G478" s="82">
        <v>800</v>
      </c>
      <c r="H478" s="8"/>
      <c r="I478" s="8"/>
      <c r="J478" s="41">
        <f>J477+Table234535[[#This Row],[AMOUNT]]-Table234535[[#This Row],[AMOUNT2]]-Table234535[[#This Row],[AMOUNT3]]</f>
        <v>-36099</v>
      </c>
      <c r="K478" s="79"/>
    </row>
    <row r="479" spans="1:11" hidden="1" x14ac:dyDescent="0.35">
      <c r="A479" s="64">
        <v>46185</v>
      </c>
      <c r="B479" s="8"/>
      <c r="C479" s="8"/>
      <c r="D479" s="8" t="s">
        <v>65</v>
      </c>
      <c r="E479" s="8" t="s">
        <v>16</v>
      </c>
      <c r="F479" s="9" t="s">
        <v>70</v>
      </c>
      <c r="G479" s="82">
        <v>900</v>
      </c>
      <c r="H479" s="8"/>
      <c r="I479" s="8"/>
      <c r="J479" s="41">
        <f>J478+Table234535[[#This Row],[AMOUNT]]-Table234535[[#This Row],[AMOUNT2]]-Table234535[[#This Row],[AMOUNT3]]</f>
        <v>-36999</v>
      </c>
      <c r="K479" s="79"/>
    </row>
    <row r="480" spans="1:11" hidden="1" x14ac:dyDescent="0.35">
      <c r="A480" s="64">
        <v>46185</v>
      </c>
      <c r="B480" s="8"/>
      <c r="C480" s="8"/>
      <c r="D480" s="8" t="s">
        <v>584</v>
      </c>
      <c r="E480" s="8" t="s">
        <v>31</v>
      </c>
      <c r="F480" s="9" t="s">
        <v>81</v>
      </c>
      <c r="G480" s="82">
        <v>6000</v>
      </c>
      <c r="H480" s="8"/>
      <c r="I480" s="8"/>
      <c r="J480" s="41">
        <f>J479+Table234535[[#This Row],[AMOUNT]]-Table234535[[#This Row],[AMOUNT2]]-Table234535[[#This Row],[AMOUNT3]]</f>
        <v>-42999</v>
      </c>
      <c r="K480" s="79"/>
    </row>
    <row r="481" spans="1:11" hidden="1" x14ac:dyDescent="0.35">
      <c r="A481" s="64">
        <v>46186</v>
      </c>
      <c r="B481" s="8" t="s">
        <v>32</v>
      </c>
      <c r="C481" s="23">
        <v>20000</v>
      </c>
      <c r="D481" s="8" t="s">
        <v>953</v>
      </c>
      <c r="E481" s="8" t="s">
        <v>68</v>
      </c>
      <c r="F481" s="9" t="s">
        <v>653</v>
      </c>
      <c r="G481" s="82">
        <v>750</v>
      </c>
      <c r="H481" s="8"/>
      <c r="I481" s="8"/>
      <c r="J481" s="41">
        <f>J480+Table234535[[#This Row],[AMOUNT]]-Table234535[[#This Row],[AMOUNT2]]-Table234535[[#This Row],[AMOUNT3]]</f>
        <v>-23749</v>
      </c>
      <c r="K481" s="79"/>
    </row>
    <row r="482" spans="1:11" hidden="1" x14ac:dyDescent="0.35">
      <c r="A482" s="64">
        <v>46186</v>
      </c>
      <c r="B482" s="8"/>
      <c r="C482" s="8"/>
      <c r="D482" s="8" t="s">
        <v>953</v>
      </c>
      <c r="E482" s="8" t="s">
        <v>16</v>
      </c>
      <c r="F482" s="9" t="s">
        <v>631</v>
      </c>
      <c r="G482" s="82">
        <v>1150</v>
      </c>
      <c r="H482" s="8"/>
      <c r="I482" s="8"/>
      <c r="J482" s="41">
        <f>J481+Table234535[[#This Row],[AMOUNT]]-Table234535[[#This Row],[AMOUNT2]]-Table234535[[#This Row],[AMOUNT3]]</f>
        <v>-24899</v>
      </c>
      <c r="K482" s="79"/>
    </row>
    <row r="483" spans="1:11" hidden="1" x14ac:dyDescent="0.35">
      <c r="A483" s="64">
        <v>46186</v>
      </c>
      <c r="B483" s="8"/>
      <c r="C483" s="8"/>
      <c r="D483" s="8" t="s">
        <v>65</v>
      </c>
      <c r="E483" s="8" t="s">
        <v>68</v>
      </c>
      <c r="F483" s="9" t="s">
        <v>195</v>
      </c>
      <c r="G483" s="82">
        <v>3200</v>
      </c>
      <c r="H483" s="8"/>
      <c r="I483" s="8"/>
      <c r="J483" s="41">
        <f>J482+Table234535[[#This Row],[AMOUNT]]-Table234535[[#This Row],[AMOUNT2]]-Table234535[[#This Row],[AMOUNT3]]</f>
        <v>-28099</v>
      </c>
      <c r="K483" s="79"/>
    </row>
    <row r="484" spans="1:11" hidden="1" x14ac:dyDescent="0.35">
      <c r="A484" s="64">
        <v>46186</v>
      </c>
      <c r="B484" s="8"/>
      <c r="C484" s="8"/>
      <c r="D484" s="8" t="s">
        <v>65</v>
      </c>
      <c r="E484" s="8" t="s">
        <v>16</v>
      </c>
      <c r="F484" s="9" t="s">
        <v>70</v>
      </c>
      <c r="G484" s="82">
        <v>900</v>
      </c>
      <c r="H484" s="8"/>
      <c r="I484" s="8"/>
      <c r="J484" s="41">
        <f>J483+Table234535[[#This Row],[AMOUNT]]-Table234535[[#This Row],[AMOUNT2]]-Table234535[[#This Row],[AMOUNT3]]</f>
        <v>-28999</v>
      </c>
      <c r="K484" s="79"/>
    </row>
    <row r="485" spans="1:11" hidden="1" x14ac:dyDescent="0.35">
      <c r="A485" s="64">
        <v>46186</v>
      </c>
      <c r="B485" s="8"/>
      <c r="C485" s="8"/>
      <c r="D485" s="8" t="s">
        <v>65</v>
      </c>
      <c r="E485" s="20" t="s">
        <v>682</v>
      </c>
      <c r="F485" s="9" t="s">
        <v>585</v>
      </c>
      <c r="G485" s="13">
        <v>800</v>
      </c>
      <c r="H485" s="8" t="s">
        <v>53</v>
      </c>
      <c r="I485" s="88">
        <v>6000</v>
      </c>
      <c r="J485" s="41">
        <f>J484+Table234535[[#This Row],[AMOUNT]]-Table234535[[#This Row],[AMOUNT2]]-Table234535[[#This Row],[AMOUNT3]]</f>
        <v>-35799</v>
      </c>
      <c r="K485" s="79"/>
    </row>
    <row r="486" spans="1:11" hidden="1" x14ac:dyDescent="0.35">
      <c r="A486" s="64">
        <v>46187</v>
      </c>
      <c r="B486" s="8"/>
      <c r="C486" s="8"/>
      <c r="D486" s="8" t="s">
        <v>65</v>
      </c>
      <c r="E486" s="8" t="s">
        <v>20</v>
      </c>
      <c r="F486" s="9" t="s">
        <v>586</v>
      </c>
      <c r="G486" s="13">
        <v>4100</v>
      </c>
      <c r="H486" s="8"/>
      <c r="I486" s="8"/>
      <c r="J486" s="41">
        <f>J485+Table234535[[#This Row],[AMOUNT]]-Table234535[[#This Row],[AMOUNT2]]-Table234535[[#This Row],[AMOUNT3]]</f>
        <v>-39899</v>
      </c>
      <c r="K486" s="79"/>
    </row>
    <row r="487" spans="1:11" hidden="1" x14ac:dyDescent="0.35">
      <c r="A487" s="64">
        <v>46187</v>
      </c>
      <c r="B487" s="8"/>
      <c r="C487" s="8"/>
      <c r="D487" s="8" t="s">
        <v>65</v>
      </c>
      <c r="E487" s="20" t="s">
        <v>682</v>
      </c>
      <c r="F487" s="9" t="s">
        <v>564</v>
      </c>
      <c r="G487" s="13">
        <v>200</v>
      </c>
      <c r="H487" s="8"/>
      <c r="I487" s="8"/>
      <c r="J487" s="41">
        <f>J486+Table234535[[#This Row],[AMOUNT]]-Table234535[[#This Row],[AMOUNT2]]-Table234535[[#This Row],[AMOUNT3]]</f>
        <v>-40099</v>
      </c>
      <c r="K487" s="79"/>
    </row>
    <row r="488" spans="1:11" hidden="1" x14ac:dyDescent="0.35">
      <c r="A488" s="64">
        <v>46187</v>
      </c>
      <c r="B488" s="8"/>
      <c r="C488" s="8"/>
      <c r="D488" s="8" t="s">
        <v>953</v>
      </c>
      <c r="E488" s="8" t="s">
        <v>68</v>
      </c>
      <c r="F488" s="9" t="s">
        <v>653</v>
      </c>
      <c r="G488" s="82">
        <v>750</v>
      </c>
      <c r="H488" s="8"/>
      <c r="I488" s="8"/>
      <c r="J488" s="41">
        <f>J487+Table234535[[#This Row],[AMOUNT]]-Table234535[[#This Row],[AMOUNT2]]-Table234535[[#This Row],[AMOUNT3]]</f>
        <v>-40849</v>
      </c>
      <c r="K488" s="79"/>
    </row>
    <row r="489" spans="1:11" hidden="1" x14ac:dyDescent="0.35">
      <c r="A489" s="64">
        <v>46187</v>
      </c>
      <c r="B489" s="8"/>
      <c r="C489" s="8"/>
      <c r="D489" s="8" t="s">
        <v>953</v>
      </c>
      <c r="E489" s="8" t="s">
        <v>16</v>
      </c>
      <c r="F489" s="9" t="s">
        <v>631</v>
      </c>
      <c r="G489" s="82">
        <v>1150</v>
      </c>
      <c r="H489" s="8"/>
      <c r="I489" s="8"/>
      <c r="J489" s="41">
        <f>J488+Table234535[[#This Row],[AMOUNT]]-Table234535[[#This Row],[AMOUNT2]]-Table234535[[#This Row],[AMOUNT3]]</f>
        <v>-41999</v>
      </c>
      <c r="K489" s="79"/>
    </row>
    <row r="490" spans="1:11" hidden="1" x14ac:dyDescent="0.35">
      <c r="A490" s="64">
        <v>46187</v>
      </c>
      <c r="B490" s="8"/>
      <c r="C490" s="8"/>
      <c r="D490" s="8" t="s">
        <v>65</v>
      </c>
      <c r="E490" s="8" t="s">
        <v>68</v>
      </c>
      <c r="F490" s="9" t="s">
        <v>195</v>
      </c>
      <c r="G490" s="13">
        <v>3200</v>
      </c>
      <c r="H490" s="8"/>
      <c r="I490" s="8"/>
      <c r="J490" s="41">
        <f>J489+Table234535[[#This Row],[AMOUNT]]-Table234535[[#This Row],[AMOUNT2]]-Table234535[[#This Row],[AMOUNT3]]</f>
        <v>-45199</v>
      </c>
      <c r="K490" s="79"/>
    </row>
    <row r="491" spans="1:11" hidden="1" x14ac:dyDescent="0.35">
      <c r="A491" s="64">
        <v>46187</v>
      </c>
      <c r="B491" s="8"/>
      <c r="C491" s="8"/>
      <c r="D491" s="8" t="s">
        <v>65</v>
      </c>
      <c r="E491" s="8" t="s">
        <v>16</v>
      </c>
      <c r="F491" s="9" t="s">
        <v>70</v>
      </c>
      <c r="G491" s="13">
        <v>900</v>
      </c>
      <c r="H491" s="8"/>
      <c r="I491" s="8"/>
      <c r="J491" s="41">
        <f>J490+Table234535[[#This Row],[AMOUNT]]-Table234535[[#This Row],[AMOUNT2]]-Table234535[[#This Row],[AMOUNT3]]</f>
        <v>-46099</v>
      </c>
      <c r="K491" s="79"/>
    </row>
    <row r="492" spans="1:11" hidden="1" x14ac:dyDescent="0.35">
      <c r="A492" s="64">
        <v>46188</v>
      </c>
      <c r="B492" s="8"/>
      <c r="C492" s="8"/>
      <c r="D492" s="8" t="s">
        <v>274</v>
      </c>
      <c r="E492" s="8" t="s">
        <v>682</v>
      </c>
      <c r="F492" s="9" t="s">
        <v>587</v>
      </c>
      <c r="G492" s="83">
        <v>400</v>
      </c>
      <c r="H492" s="8"/>
      <c r="I492" s="8"/>
      <c r="J492" s="41">
        <f>J491+Table234535[[#This Row],[AMOUNT]]-Table234535[[#This Row],[AMOUNT2]]-Table234535[[#This Row],[AMOUNT3]]</f>
        <v>-46499</v>
      </c>
      <c r="K492" s="79"/>
    </row>
    <row r="493" spans="1:11" hidden="1" x14ac:dyDescent="0.35">
      <c r="A493" s="64">
        <v>46188</v>
      </c>
      <c r="B493" s="8"/>
      <c r="C493" s="8"/>
      <c r="D493" s="8" t="s">
        <v>65</v>
      </c>
      <c r="E493" s="8" t="s">
        <v>682</v>
      </c>
      <c r="F493" s="9" t="s">
        <v>588</v>
      </c>
      <c r="G493" s="83">
        <v>500</v>
      </c>
      <c r="H493" s="8"/>
      <c r="I493" s="8"/>
      <c r="J493" s="41">
        <f>J492+Table234535[[#This Row],[AMOUNT]]-Table234535[[#This Row],[AMOUNT2]]-Table234535[[#This Row],[AMOUNT3]]</f>
        <v>-46999</v>
      </c>
      <c r="K493" s="79"/>
    </row>
    <row r="494" spans="1:11" hidden="1" x14ac:dyDescent="0.35">
      <c r="A494" s="64">
        <v>46188</v>
      </c>
      <c r="B494" s="8"/>
      <c r="C494" s="8"/>
      <c r="D494" s="8" t="s">
        <v>39</v>
      </c>
      <c r="E494" s="20" t="s">
        <v>0</v>
      </c>
      <c r="F494" s="9" t="s">
        <v>589</v>
      </c>
      <c r="G494" s="83">
        <v>965</v>
      </c>
      <c r="H494" s="8"/>
      <c r="I494" s="8"/>
      <c r="J494" s="41">
        <f>J493+Table234535[[#This Row],[AMOUNT]]-Table234535[[#This Row],[AMOUNT2]]-Table234535[[#This Row],[AMOUNT3]]</f>
        <v>-47964</v>
      </c>
      <c r="K494" s="79"/>
    </row>
    <row r="495" spans="1:11" hidden="1" x14ac:dyDescent="0.35">
      <c r="A495" s="64">
        <v>46188</v>
      </c>
      <c r="B495" s="8"/>
      <c r="C495" s="8"/>
      <c r="D495" s="8" t="s">
        <v>65</v>
      </c>
      <c r="E495" s="8" t="s">
        <v>68</v>
      </c>
      <c r="F495" s="9" t="s">
        <v>195</v>
      </c>
      <c r="G495" s="84">
        <v>3200</v>
      </c>
      <c r="H495" s="8"/>
      <c r="I495" s="8"/>
      <c r="J495" s="41">
        <f>J494+Table234535[[#This Row],[AMOUNT]]-Table234535[[#This Row],[AMOUNT2]]-Table234535[[#This Row],[AMOUNT3]]</f>
        <v>-51164</v>
      </c>
      <c r="K495" s="79"/>
    </row>
    <row r="496" spans="1:11" hidden="1" x14ac:dyDescent="0.35">
      <c r="A496" s="64">
        <v>46188</v>
      </c>
      <c r="B496" s="8"/>
      <c r="C496" s="8"/>
      <c r="D496" s="8" t="s">
        <v>65</v>
      </c>
      <c r="E496" s="8" t="s">
        <v>16</v>
      </c>
      <c r="F496" s="9" t="s">
        <v>70</v>
      </c>
      <c r="G496" s="84">
        <v>900</v>
      </c>
      <c r="H496" s="8"/>
      <c r="I496" s="8"/>
      <c r="J496" s="41">
        <f>J495+Table234535[[#This Row],[AMOUNT]]-Table234535[[#This Row],[AMOUNT2]]-Table234535[[#This Row],[AMOUNT3]]</f>
        <v>-52064</v>
      </c>
      <c r="K496" s="81"/>
    </row>
    <row r="497" spans="1:11" hidden="1" x14ac:dyDescent="0.35">
      <c r="A497" s="64">
        <v>46188</v>
      </c>
      <c r="B497" s="8"/>
      <c r="C497" s="8"/>
      <c r="D497" s="8" t="s">
        <v>953</v>
      </c>
      <c r="E497" s="8" t="s">
        <v>68</v>
      </c>
      <c r="F497" s="9" t="s">
        <v>723</v>
      </c>
      <c r="G497" s="83">
        <v>1500</v>
      </c>
      <c r="H497" s="8"/>
      <c r="I497" s="8"/>
      <c r="J497" s="41">
        <f>J496+Table234535[[#This Row],[AMOUNT]]-Table234535[[#This Row],[AMOUNT2]]-Table234535[[#This Row],[AMOUNT3]]</f>
        <v>-53564</v>
      </c>
      <c r="K497" s="79"/>
    </row>
    <row r="498" spans="1:11" hidden="1" x14ac:dyDescent="0.35">
      <c r="A498" s="64">
        <v>46188</v>
      </c>
      <c r="B498" s="8"/>
      <c r="C498" s="8"/>
      <c r="D498" s="8" t="s">
        <v>953</v>
      </c>
      <c r="E498" s="8" t="s">
        <v>16</v>
      </c>
      <c r="F498" s="9" t="s">
        <v>631</v>
      </c>
      <c r="G498" s="83">
        <v>1150</v>
      </c>
      <c r="H498" s="8"/>
      <c r="I498" s="8"/>
      <c r="J498" s="41">
        <f>J497+Table234535[[#This Row],[AMOUNT]]-Table234535[[#This Row],[AMOUNT2]]-Table234535[[#This Row],[AMOUNT3]]</f>
        <v>-54714</v>
      </c>
      <c r="K498" s="79"/>
    </row>
    <row r="499" spans="1:11" hidden="1" x14ac:dyDescent="0.35">
      <c r="A499" s="64">
        <v>46188</v>
      </c>
      <c r="B499" s="8"/>
      <c r="C499" s="8"/>
      <c r="D499" s="8" t="s">
        <v>65</v>
      </c>
      <c r="E499" s="8" t="s">
        <v>20</v>
      </c>
      <c r="F499" s="9" t="s">
        <v>590</v>
      </c>
      <c r="G499" s="83">
        <v>110</v>
      </c>
      <c r="H499" s="8"/>
      <c r="I499" s="8"/>
      <c r="J499" s="41">
        <f>J498+Table234535[[#This Row],[AMOUNT]]-Table234535[[#This Row],[AMOUNT2]]-Table234535[[#This Row],[AMOUNT3]]</f>
        <v>-54824</v>
      </c>
      <c r="K499" s="79"/>
    </row>
    <row r="500" spans="1:11" hidden="1" x14ac:dyDescent="0.35">
      <c r="A500" s="64">
        <v>46188</v>
      </c>
      <c r="B500" s="8"/>
      <c r="C500" s="8"/>
      <c r="D500" s="8" t="s">
        <v>39</v>
      </c>
      <c r="E500" s="20" t="s">
        <v>679</v>
      </c>
      <c r="F500" s="9" t="s">
        <v>591</v>
      </c>
      <c r="G500" s="83">
        <v>500</v>
      </c>
      <c r="H500" s="8"/>
      <c r="I500" s="8"/>
      <c r="J500" s="41">
        <f>J499+Table234535[[#This Row],[AMOUNT]]-Table234535[[#This Row],[AMOUNT2]]-Table234535[[#This Row],[AMOUNT3]]</f>
        <v>-55324</v>
      </c>
      <c r="K500" s="15"/>
    </row>
    <row r="501" spans="1:11" hidden="1" x14ac:dyDescent="0.35">
      <c r="A501" s="64">
        <v>46188</v>
      </c>
      <c r="B501" s="8"/>
      <c r="C501" s="8"/>
      <c r="D501" s="8" t="s">
        <v>953</v>
      </c>
      <c r="E501" s="20" t="s">
        <v>679</v>
      </c>
      <c r="F501" s="9" t="s">
        <v>591</v>
      </c>
      <c r="G501" s="83">
        <v>250</v>
      </c>
      <c r="H501" s="8"/>
      <c r="I501" s="8"/>
      <c r="J501" s="41">
        <f>J500+Table234535[[#This Row],[AMOUNT]]-Table234535[[#This Row],[AMOUNT2]]-Table234535[[#This Row],[AMOUNT3]]</f>
        <v>-55574</v>
      </c>
      <c r="K501" s="15"/>
    </row>
    <row r="502" spans="1:11" hidden="1" x14ac:dyDescent="0.35">
      <c r="A502" s="64">
        <v>46188</v>
      </c>
      <c r="B502" s="8"/>
      <c r="C502" s="8"/>
      <c r="D502" s="8" t="s">
        <v>65</v>
      </c>
      <c r="E502" s="20" t="s">
        <v>679</v>
      </c>
      <c r="F502" s="9" t="s">
        <v>591</v>
      </c>
      <c r="G502" s="83">
        <v>250</v>
      </c>
      <c r="H502" s="8"/>
      <c r="I502" s="8"/>
      <c r="J502" s="41">
        <f>J501+Table234535[[#This Row],[AMOUNT]]-Table234535[[#This Row],[AMOUNT2]]-Table234535[[#This Row],[AMOUNT3]]</f>
        <v>-55824</v>
      </c>
      <c r="K502" s="15"/>
    </row>
    <row r="503" spans="1:11" hidden="1" x14ac:dyDescent="0.35">
      <c r="A503" s="64">
        <v>46189</v>
      </c>
      <c r="B503" s="8" t="s">
        <v>45</v>
      </c>
      <c r="C503" s="23">
        <v>7800</v>
      </c>
      <c r="D503" s="8"/>
      <c r="E503" s="8"/>
      <c r="F503" s="9"/>
      <c r="G503" s="13"/>
      <c r="H503" s="8"/>
      <c r="I503" s="8"/>
      <c r="J503" s="41">
        <f>J502+Table234535[[#This Row],[AMOUNT]]-Table234535[[#This Row],[AMOUNT2]]-Table234535[[#This Row],[AMOUNT3]]</f>
        <v>-48024</v>
      </c>
      <c r="K503" s="79"/>
    </row>
    <row r="504" spans="1:11" hidden="1" x14ac:dyDescent="0.35">
      <c r="A504" s="64">
        <v>46189</v>
      </c>
      <c r="B504" s="8" t="s">
        <v>50</v>
      </c>
      <c r="C504" s="23">
        <v>30000</v>
      </c>
      <c r="D504" s="8" t="s">
        <v>39</v>
      </c>
      <c r="E504" s="8" t="s">
        <v>0</v>
      </c>
      <c r="F504" s="9" t="s">
        <v>619</v>
      </c>
      <c r="G504" s="13">
        <v>950</v>
      </c>
      <c r="H504" s="8"/>
      <c r="I504" s="8"/>
      <c r="J504" s="41">
        <f>J503+Table234535[[#This Row],[AMOUNT]]-Table234535[[#This Row],[AMOUNT2]]-Table234535[[#This Row],[AMOUNT3]]</f>
        <v>-18974</v>
      </c>
      <c r="K504" s="79"/>
    </row>
    <row r="505" spans="1:11" hidden="1" x14ac:dyDescent="0.35">
      <c r="A505" s="64">
        <v>46189</v>
      </c>
      <c r="B505" s="8"/>
      <c r="C505" s="8"/>
      <c r="D505" s="8" t="s">
        <v>65</v>
      </c>
      <c r="E505" s="20" t="s">
        <v>682</v>
      </c>
      <c r="F505" s="9" t="s">
        <v>620</v>
      </c>
      <c r="G505" s="13">
        <v>300</v>
      </c>
      <c r="H505" s="8"/>
      <c r="I505" s="8"/>
      <c r="J505" s="41">
        <f>J504+Table234535[[#This Row],[AMOUNT]]-Table234535[[#This Row],[AMOUNT2]]-Table234535[[#This Row],[AMOUNT3]]</f>
        <v>-19274</v>
      </c>
      <c r="K505" s="79"/>
    </row>
    <row r="506" spans="1:11" hidden="1" x14ac:dyDescent="0.35">
      <c r="A506" s="64">
        <v>46189</v>
      </c>
      <c r="B506" s="8"/>
      <c r="C506" s="8"/>
      <c r="D506" s="8" t="s">
        <v>65</v>
      </c>
      <c r="E506" s="8" t="s">
        <v>20</v>
      </c>
      <c r="F506" s="9" t="s">
        <v>621</v>
      </c>
      <c r="G506" s="13">
        <v>7800</v>
      </c>
      <c r="H506" s="8"/>
      <c r="I506" s="8"/>
      <c r="J506" s="41">
        <f>J505+Table234535[[#This Row],[AMOUNT]]-Table234535[[#This Row],[AMOUNT2]]-Table234535[[#This Row],[AMOUNT3]]</f>
        <v>-27074</v>
      </c>
      <c r="K506" s="79"/>
    </row>
    <row r="507" spans="1:11" hidden="1" x14ac:dyDescent="0.35">
      <c r="A507" s="64">
        <v>46189</v>
      </c>
      <c r="B507" s="8"/>
      <c r="C507" s="8"/>
      <c r="D507" s="8" t="s">
        <v>953</v>
      </c>
      <c r="E507" s="8" t="s">
        <v>24</v>
      </c>
      <c r="F507" s="9" t="s">
        <v>636</v>
      </c>
      <c r="G507" s="13">
        <v>7000</v>
      </c>
      <c r="H507" s="8"/>
      <c r="I507" s="8"/>
      <c r="J507" s="41">
        <f>J506+Table234535[[#This Row],[AMOUNT]]-Table234535[[#This Row],[AMOUNT2]]-Table234535[[#This Row],[AMOUNT3]]</f>
        <v>-34074</v>
      </c>
      <c r="K507" s="79"/>
    </row>
    <row r="508" spans="1:11" hidden="1" x14ac:dyDescent="0.35">
      <c r="A508" s="64">
        <v>46189</v>
      </c>
      <c r="B508" s="8"/>
      <c r="C508" s="8"/>
      <c r="D508" s="8" t="s">
        <v>953</v>
      </c>
      <c r="E508" s="20" t="s">
        <v>682</v>
      </c>
      <c r="F508" s="9" t="s">
        <v>622</v>
      </c>
      <c r="G508" s="13">
        <v>12000</v>
      </c>
      <c r="H508" s="8" t="s">
        <v>623</v>
      </c>
      <c r="I508" s="88">
        <v>10000</v>
      </c>
      <c r="J508" s="41">
        <f>J507+Table234535[[#This Row],[AMOUNT]]-Table234535[[#This Row],[AMOUNT2]]-Table234535[[#This Row],[AMOUNT3]]</f>
        <v>-56074</v>
      </c>
      <c r="K508" s="79"/>
    </row>
    <row r="509" spans="1:11" hidden="1" x14ac:dyDescent="0.35">
      <c r="A509" s="64">
        <v>46189</v>
      </c>
      <c r="B509" s="8"/>
      <c r="C509" s="8"/>
      <c r="D509" s="8" t="s">
        <v>65</v>
      </c>
      <c r="E509" s="8" t="s">
        <v>68</v>
      </c>
      <c r="F509" s="9" t="s">
        <v>195</v>
      </c>
      <c r="G509" s="13">
        <v>3200</v>
      </c>
      <c r="H509" s="8"/>
      <c r="I509" s="8"/>
      <c r="J509" s="41">
        <f>J508+Table234535[[#This Row],[AMOUNT]]-Table234535[[#This Row],[AMOUNT2]]-Table234535[[#This Row],[AMOUNT3]]</f>
        <v>-59274</v>
      </c>
      <c r="K509" s="79"/>
    </row>
    <row r="510" spans="1:11" hidden="1" x14ac:dyDescent="0.35">
      <c r="A510" s="64">
        <v>46189</v>
      </c>
      <c r="B510" s="8"/>
      <c r="C510" s="8"/>
      <c r="D510" s="8" t="s">
        <v>65</v>
      </c>
      <c r="E510" s="8" t="s">
        <v>16</v>
      </c>
      <c r="F510" s="9" t="s">
        <v>70</v>
      </c>
      <c r="G510" s="13">
        <v>900</v>
      </c>
      <c r="H510" s="8"/>
      <c r="I510" s="8"/>
      <c r="J510" s="41">
        <f>J509+Table234535[[#This Row],[AMOUNT]]-Table234535[[#This Row],[AMOUNT2]]-Table234535[[#This Row],[AMOUNT3]]</f>
        <v>-60174</v>
      </c>
      <c r="K510" s="79"/>
    </row>
    <row r="511" spans="1:11" hidden="1" x14ac:dyDescent="0.35">
      <c r="A511" s="64">
        <v>46189</v>
      </c>
      <c r="B511" s="8"/>
      <c r="C511" s="8"/>
      <c r="D511" s="8" t="s">
        <v>953</v>
      </c>
      <c r="E511" s="8" t="s">
        <v>68</v>
      </c>
      <c r="F511" s="9" t="s">
        <v>653</v>
      </c>
      <c r="G511" s="82">
        <v>750</v>
      </c>
      <c r="H511" s="8"/>
      <c r="I511" s="8"/>
      <c r="J511" s="41">
        <f>J510+Table234535[[#This Row],[AMOUNT]]-Table234535[[#This Row],[AMOUNT2]]-Table234535[[#This Row],[AMOUNT3]]</f>
        <v>-60924</v>
      </c>
      <c r="K511" s="79"/>
    </row>
    <row r="512" spans="1:11" hidden="1" x14ac:dyDescent="0.35">
      <c r="A512" s="64">
        <v>46189</v>
      </c>
      <c r="B512" s="8"/>
      <c r="C512" s="8"/>
      <c r="D512" s="8" t="s">
        <v>953</v>
      </c>
      <c r="E512" s="8" t="s">
        <v>16</v>
      </c>
      <c r="F512" s="9" t="s">
        <v>631</v>
      </c>
      <c r="G512" s="82">
        <v>1150</v>
      </c>
      <c r="H512" s="8"/>
      <c r="I512" s="8"/>
      <c r="J512" s="41">
        <f>J511+Table234535[[#This Row],[AMOUNT]]-Table234535[[#This Row],[AMOUNT2]]-Table234535[[#This Row],[AMOUNT3]]</f>
        <v>-62074</v>
      </c>
      <c r="K512" s="79"/>
    </row>
    <row r="513" spans="1:11" hidden="1" x14ac:dyDescent="0.35">
      <c r="A513" s="64">
        <v>46190</v>
      </c>
      <c r="B513" s="8"/>
      <c r="C513" s="8"/>
      <c r="D513" s="8" t="s">
        <v>953</v>
      </c>
      <c r="E513" s="8" t="s">
        <v>68</v>
      </c>
      <c r="F513" s="9" t="s">
        <v>653</v>
      </c>
      <c r="G513" s="82">
        <v>750</v>
      </c>
      <c r="H513" s="8"/>
      <c r="I513" s="8"/>
      <c r="J513" s="41">
        <f>J512+Table234535[[#This Row],[AMOUNT]]-Table234535[[#This Row],[AMOUNT2]]-Table234535[[#This Row],[AMOUNT3]]</f>
        <v>-62824</v>
      </c>
      <c r="K513" s="79"/>
    </row>
    <row r="514" spans="1:11" hidden="1" x14ac:dyDescent="0.35">
      <c r="A514" s="64">
        <v>46190</v>
      </c>
      <c r="B514" s="8"/>
      <c r="C514" s="8"/>
      <c r="D514" s="8" t="s">
        <v>953</v>
      </c>
      <c r="E514" s="8" t="s">
        <v>16</v>
      </c>
      <c r="F514" s="9" t="s">
        <v>631</v>
      </c>
      <c r="G514" s="82">
        <v>1150</v>
      </c>
      <c r="H514" s="8"/>
      <c r="I514" s="8"/>
      <c r="J514" s="41">
        <f>J513+Table234535[[#This Row],[AMOUNT]]-Table234535[[#This Row],[AMOUNT2]]-Table234535[[#This Row],[AMOUNT3]]</f>
        <v>-63974</v>
      </c>
      <c r="K514" s="79"/>
    </row>
    <row r="515" spans="1:11" hidden="1" x14ac:dyDescent="0.35">
      <c r="A515" s="64">
        <v>46190</v>
      </c>
      <c r="B515" s="8"/>
      <c r="C515" s="8"/>
      <c r="D515" s="8" t="s">
        <v>65</v>
      </c>
      <c r="E515" s="8" t="s">
        <v>68</v>
      </c>
      <c r="F515" s="9" t="s">
        <v>195</v>
      </c>
      <c r="G515" s="13">
        <v>3200</v>
      </c>
      <c r="H515" s="8"/>
      <c r="I515" s="8"/>
      <c r="J515" s="41">
        <f>J514+Table234535[[#This Row],[AMOUNT]]-Table234535[[#This Row],[AMOUNT2]]-Table234535[[#This Row],[AMOUNT3]]</f>
        <v>-67174</v>
      </c>
      <c r="K515" s="79"/>
    </row>
    <row r="516" spans="1:11" hidden="1" x14ac:dyDescent="0.35">
      <c r="A516" s="64">
        <v>46190</v>
      </c>
      <c r="B516" s="8"/>
      <c r="C516" s="8"/>
      <c r="D516" s="8" t="s">
        <v>65</v>
      </c>
      <c r="E516" s="8" t="s">
        <v>16</v>
      </c>
      <c r="F516" s="9" t="s">
        <v>70</v>
      </c>
      <c r="G516" s="13">
        <v>900</v>
      </c>
      <c r="H516" s="8"/>
      <c r="I516" s="8"/>
      <c r="J516" s="41">
        <f>J515+Table234535[[#This Row],[AMOUNT]]-Table234535[[#This Row],[AMOUNT2]]-Table234535[[#This Row],[AMOUNT3]]</f>
        <v>-68074</v>
      </c>
      <c r="K516" s="79"/>
    </row>
    <row r="517" spans="1:11" hidden="1" x14ac:dyDescent="0.35">
      <c r="A517" s="64">
        <v>46191</v>
      </c>
      <c r="B517" s="8" t="s">
        <v>45</v>
      </c>
      <c r="C517" s="23">
        <v>10800</v>
      </c>
      <c r="D517" s="8"/>
      <c r="E517" s="8"/>
      <c r="F517" s="9"/>
      <c r="G517" s="13"/>
      <c r="H517" s="8"/>
      <c r="I517" s="8"/>
      <c r="J517" s="41">
        <f>J516+Table234535[[#This Row],[AMOUNT]]-Table234535[[#This Row],[AMOUNT2]]-Table234535[[#This Row],[AMOUNT3]]</f>
        <v>-57274</v>
      </c>
      <c r="K517" s="79"/>
    </row>
    <row r="518" spans="1:11" hidden="1" x14ac:dyDescent="0.35">
      <c r="A518" s="64">
        <v>46191</v>
      </c>
      <c r="B518" s="8" t="s">
        <v>45</v>
      </c>
      <c r="C518" s="23">
        <v>15300</v>
      </c>
      <c r="D518" s="8" t="s">
        <v>65</v>
      </c>
      <c r="E518" s="8" t="s">
        <v>38</v>
      </c>
      <c r="F518" s="9" t="s">
        <v>624</v>
      </c>
      <c r="G518" s="13">
        <v>2800</v>
      </c>
      <c r="H518" s="8"/>
      <c r="I518" s="8"/>
      <c r="J518" s="41">
        <f>J517+Table234535[[#This Row],[AMOUNT]]-Table234535[[#This Row],[AMOUNT2]]-Table234535[[#This Row],[AMOUNT3]]</f>
        <v>-44774</v>
      </c>
      <c r="K518" s="79"/>
    </row>
    <row r="519" spans="1:11" hidden="1" x14ac:dyDescent="0.35">
      <c r="A519" s="64">
        <v>46191</v>
      </c>
      <c r="B519" s="8"/>
      <c r="C519" s="8"/>
      <c r="D519" s="8" t="s">
        <v>65</v>
      </c>
      <c r="E519" s="8" t="s">
        <v>68</v>
      </c>
      <c r="F519" s="9" t="s">
        <v>460</v>
      </c>
      <c r="G519" s="13">
        <v>2400</v>
      </c>
      <c r="H519" s="8"/>
      <c r="I519" s="8"/>
      <c r="J519" s="41">
        <f>J518+Table234535[[#This Row],[AMOUNT]]-Table234535[[#This Row],[AMOUNT2]]-Table234535[[#This Row],[AMOUNT3]]</f>
        <v>-47174</v>
      </c>
      <c r="K519" s="79"/>
    </row>
    <row r="520" spans="1:11" hidden="1" x14ac:dyDescent="0.35">
      <c r="A520" s="64">
        <v>46191</v>
      </c>
      <c r="B520" s="8"/>
      <c r="C520" s="8"/>
      <c r="D520" s="8" t="s">
        <v>65</v>
      </c>
      <c r="E520" s="8" t="s">
        <v>16</v>
      </c>
      <c r="F520" s="9" t="s">
        <v>70</v>
      </c>
      <c r="G520" s="13">
        <v>900</v>
      </c>
      <c r="H520" s="8"/>
      <c r="I520" s="8"/>
      <c r="J520" s="41">
        <f>J519+Table234535[[#This Row],[AMOUNT]]-Table234535[[#This Row],[AMOUNT2]]-Table234535[[#This Row],[AMOUNT3]]</f>
        <v>-48074</v>
      </c>
      <c r="K520" s="79"/>
    </row>
    <row r="521" spans="1:11" hidden="1" x14ac:dyDescent="0.35">
      <c r="A521" s="64">
        <v>46191</v>
      </c>
      <c r="B521" s="8"/>
      <c r="C521" s="8"/>
      <c r="D521" s="8" t="s">
        <v>953</v>
      </c>
      <c r="E521" s="8" t="s">
        <v>68</v>
      </c>
      <c r="F521" s="9" t="s">
        <v>653</v>
      </c>
      <c r="G521" s="82">
        <v>750</v>
      </c>
      <c r="H521" s="8" t="s">
        <v>53</v>
      </c>
      <c r="I521" s="88">
        <v>10800</v>
      </c>
      <c r="J521" s="41">
        <f>J520+Table234535[[#This Row],[AMOUNT]]-Table234535[[#This Row],[AMOUNT2]]-Table234535[[#This Row],[AMOUNT3]]</f>
        <v>-59624</v>
      </c>
      <c r="K521" s="79"/>
    </row>
    <row r="522" spans="1:11" hidden="1" x14ac:dyDescent="0.35">
      <c r="A522" s="64">
        <v>46191</v>
      </c>
      <c r="B522" s="8"/>
      <c r="C522" s="8"/>
      <c r="D522" s="8" t="s">
        <v>953</v>
      </c>
      <c r="E522" s="8" t="s">
        <v>16</v>
      </c>
      <c r="F522" s="9" t="s">
        <v>631</v>
      </c>
      <c r="G522" s="82">
        <v>1150</v>
      </c>
      <c r="H522" s="8"/>
      <c r="I522" s="87"/>
      <c r="J522" s="41">
        <f>J521+Table234535[[#This Row],[AMOUNT]]-Table234535[[#This Row],[AMOUNT2]]-Table234535[[#This Row],[AMOUNT3]]</f>
        <v>-60774</v>
      </c>
      <c r="K522" s="79"/>
    </row>
    <row r="523" spans="1:11" hidden="1" x14ac:dyDescent="0.35">
      <c r="A523" s="64" t="s">
        <v>642</v>
      </c>
      <c r="B523" s="8" t="s">
        <v>45</v>
      </c>
      <c r="C523" s="23">
        <v>30000</v>
      </c>
      <c r="D523" s="8"/>
      <c r="E523" s="8"/>
      <c r="F523" s="9"/>
      <c r="G523" s="13"/>
      <c r="H523" s="8"/>
      <c r="I523" s="8"/>
      <c r="J523" s="41">
        <f>J522+Table234535[[#This Row],[AMOUNT]]-Table234535[[#This Row],[AMOUNT2]]-Table234535[[#This Row],[AMOUNT3]]</f>
        <v>-30774</v>
      </c>
      <c r="K523" s="79"/>
    </row>
    <row r="524" spans="1:11" hidden="1" x14ac:dyDescent="0.35">
      <c r="A524" s="64" t="s">
        <v>642</v>
      </c>
      <c r="B524" s="8" t="s">
        <v>45</v>
      </c>
      <c r="C524" s="23">
        <v>10000</v>
      </c>
      <c r="D524" s="8" t="s">
        <v>953</v>
      </c>
      <c r="E524" s="8" t="s">
        <v>68</v>
      </c>
      <c r="F524" s="9" t="s">
        <v>653</v>
      </c>
      <c r="G524" s="82">
        <v>750</v>
      </c>
      <c r="H524" s="8"/>
      <c r="I524" s="8"/>
      <c r="J524" s="41">
        <f>J523+Table234535[[#This Row],[AMOUNT]]-Table234535[[#This Row],[AMOUNT2]]-Table234535[[#This Row],[AMOUNT3]]</f>
        <v>-21524</v>
      </c>
      <c r="K524" s="79"/>
    </row>
    <row r="525" spans="1:11" hidden="1" x14ac:dyDescent="0.35">
      <c r="A525" s="64" t="s">
        <v>642</v>
      </c>
      <c r="B525" s="8"/>
      <c r="C525" s="8"/>
      <c r="D525" s="8"/>
      <c r="E525" s="8" t="s">
        <v>16</v>
      </c>
      <c r="F525" s="9" t="s">
        <v>631</v>
      </c>
      <c r="G525" s="82">
        <v>1150</v>
      </c>
      <c r="H525" s="8"/>
      <c r="I525" s="8"/>
      <c r="J525" s="41">
        <f>J524+Table234535[[#This Row],[AMOUNT]]-Table234535[[#This Row],[AMOUNT2]]-Table234535[[#This Row],[AMOUNT3]]</f>
        <v>-22674</v>
      </c>
      <c r="K525" s="79"/>
    </row>
    <row r="526" spans="1:11" hidden="1" x14ac:dyDescent="0.35">
      <c r="A526" s="64" t="s">
        <v>642</v>
      </c>
      <c r="B526" s="8"/>
      <c r="C526" s="8"/>
      <c r="D526" s="8" t="s">
        <v>65</v>
      </c>
      <c r="E526" s="8" t="s">
        <v>68</v>
      </c>
      <c r="F526" s="9" t="s">
        <v>195</v>
      </c>
      <c r="G526" s="13">
        <v>3200</v>
      </c>
      <c r="H526" s="8"/>
      <c r="I526" s="8"/>
      <c r="J526" s="41">
        <f>J525+Table234535[[#This Row],[AMOUNT]]-Table234535[[#This Row],[AMOUNT2]]-Table234535[[#This Row],[AMOUNT3]]</f>
        <v>-25874</v>
      </c>
      <c r="K526" s="79"/>
    </row>
    <row r="527" spans="1:11" hidden="1" x14ac:dyDescent="0.35">
      <c r="A527" s="64" t="s">
        <v>642</v>
      </c>
      <c r="B527" s="8"/>
      <c r="C527" s="8"/>
      <c r="D527" s="8" t="s">
        <v>65</v>
      </c>
      <c r="E527" s="8" t="s">
        <v>16</v>
      </c>
      <c r="F527" s="9" t="s">
        <v>676</v>
      </c>
      <c r="G527" s="13">
        <v>900</v>
      </c>
      <c r="H527" s="8"/>
      <c r="I527" s="8"/>
      <c r="J527" s="41">
        <f>J526+Table234535[[#This Row],[AMOUNT]]-Table234535[[#This Row],[AMOUNT2]]-Table234535[[#This Row],[AMOUNT3]]</f>
        <v>-26774</v>
      </c>
      <c r="K527" s="79"/>
    </row>
    <row r="528" spans="1:11" hidden="1" x14ac:dyDescent="0.35">
      <c r="A528" s="64" t="s">
        <v>642</v>
      </c>
      <c r="B528" s="8"/>
      <c r="C528" s="8"/>
      <c r="D528" s="8" t="s">
        <v>65</v>
      </c>
      <c r="E528" s="8" t="s">
        <v>24</v>
      </c>
      <c r="F528" s="9" t="s">
        <v>677</v>
      </c>
      <c r="G528" s="13">
        <v>3000</v>
      </c>
      <c r="H528" s="8"/>
      <c r="I528" s="8"/>
      <c r="J528" s="41">
        <f>J527+Table234535[[#This Row],[AMOUNT]]-Table234535[[#This Row],[AMOUNT2]]-Table234535[[#This Row],[AMOUNT3]]</f>
        <v>-29774</v>
      </c>
      <c r="K528" s="79"/>
    </row>
    <row r="529" spans="1:11" hidden="1" x14ac:dyDescent="0.35">
      <c r="A529" s="64" t="s">
        <v>642</v>
      </c>
      <c r="B529" s="8"/>
      <c r="C529" s="8"/>
      <c r="D529" s="8" t="s">
        <v>65</v>
      </c>
      <c r="E529" s="8" t="s">
        <v>24</v>
      </c>
      <c r="F529" s="9" t="s">
        <v>813</v>
      </c>
      <c r="G529" s="13">
        <v>27200</v>
      </c>
      <c r="H529" s="8" t="s">
        <v>623</v>
      </c>
      <c r="I529" s="23">
        <v>11000</v>
      </c>
      <c r="J529" s="41">
        <f>J528+Table234535[[#This Row],[AMOUNT]]-Table234535[[#This Row],[AMOUNT2]]-Table234535[[#This Row],[AMOUNT3]]</f>
        <v>-67974</v>
      </c>
      <c r="K529" s="79"/>
    </row>
    <row r="530" spans="1:11" hidden="1" x14ac:dyDescent="0.35">
      <c r="A530" s="64" t="s">
        <v>642</v>
      </c>
      <c r="B530" s="8"/>
      <c r="C530" s="8"/>
      <c r="D530" s="8" t="s">
        <v>39</v>
      </c>
      <c r="E530" s="20" t="s">
        <v>679</v>
      </c>
      <c r="F530" s="9" t="s">
        <v>678</v>
      </c>
      <c r="G530" s="13">
        <v>1000</v>
      </c>
      <c r="H530" s="8"/>
      <c r="I530" s="8"/>
      <c r="J530" s="41">
        <f>J529+Table234535[[#This Row],[AMOUNT]]-Table234535[[#This Row],[AMOUNT2]]-Table234535[[#This Row],[AMOUNT3]]</f>
        <v>-68974</v>
      </c>
      <c r="K530" s="79"/>
    </row>
    <row r="531" spans="1:11" hidden="1" x14ac:dyDescent="0.35">
      <c r="A531" s="64" t="s">
        <v>644</v>
      </c>
      <c r="B531" s="8"/>
      <c r="C531" s="8"/>
      <c r="D531" s="8" t="s">
        <v>953</v>
      </c>
      <c r="E531" s="8" t="s">
        <v>68</v>
      </c>
      <c r="F531" s="9" t="s">
        <v>653</v>
      </c>
      <c r="G531" s="82">
        <v>750</v>
      </c>
      <c r="H531" s="8"/>
      <c r="I531" s="8"/>
      <c r="J531" s="41">
        <f>J530+Table234535[[#This Row],[AMOUNT]]-Table234535[[#This Row],[AMOUNT2]]-Table234535[[#This Row],[AMOUNT3]]</f>
        <v>-69724</v>
      </c>
      <c r="K531" s="79"/>
    </row>
    <row r="532" spans="1:11" hidden="1" x14ac:dyDescent="0.35">
      <c r="A532" s="64" t="s">
        <v>644</v>
      </c>
      <c r="B532" s="8"/>
      <c r="C532" s="8"/>
      <c r="D532" s="8"/>
      <c r="E532" s="8" t="s">
        <v>16</v>
      </c>
      <c r="F532" s="9" t="s">
        <v>631</v>
      </c>
      <c r="G532" s="82">
        <v>1150</v>
      </c>
      <c r="H532" s="8"/>
      <c r="I532" s="8"/>
      <c r="J532" s="41">
        <f>J531+Table234535[[#This Row],[AMOUNT]]-Table234535[[#This Row],[AMOUNT2]]-Table234535[[#This Row],[AMOUNT3]]</f>
        <v>-70874</v>
      </c>
      <c r="K532" s="79"/>
    </row>
    <row r="533" spans="1:11" hidden="1" x14ac:dyDescent="0.35">
      <c r="A533" s="64" t="s">
        <v>644</v>
      </c>
      <c r="B533" s="8"/>
      <c r="C533" s="8"/>
      <c r="D533" s="8" t="s">
        <v>65</v>
      </c>
      <c r="E533" s="8" t="s">
        <v>68</v>
      </c>
      <c r="F533" s="9" t="s">
        <v>195</v>
      </c>
      <c r="G533" s="13">
        <v>3200</v>
      </c>
      <c r="H533" s="8"/>
      <c r="I533" s="8"/>
      <c r="J533" s="41">
        <f>J532+Table234535[[#This Row],[AMOUNT]]-Table234535[[#This Row],[AMOUNT2]]-Table234535[[#This Row],[AMOUNT3]]</f>
        <v>-74074</v>
      </c>
      <c r="K533" s="79"/>
    </row>
    <row r="534" spans="1:11" hidden="1" x14ac:dyDescent="0.35">
      <c r="A534" s="64" t="s">
        <v>644</v>
      </c>
      <c r="B534" s="8"/>
      <c r="C534" s="8"/>
      <c r="D534" s="8" t="s">
        <v>65</v>
      </c>
      <c r="E534" s="8" t="s">
        <v>16</v>
      </c>
      <c r="F534" s="9" t="s">
        <v>70</v>
      </c>
      <c r="G534" s="13">
        <v>900</v>
      </c>
      <c r="H534" s="8"/>
      <c r="I534" s="8"/>
      <c r="J534" s="41">
        <f>J533+Table234535[[#This Row],[AMOUNT]]-Table234535[[#This Row],[AMOUNT2]]-Table234535[[#This Row],[AMOUNT3]]</f>
        <v>-74974</v>
      </c>
      <c r="K534" s="79"/>
    </row>
    <row r="535" spans="1:11" hidden="1" x14ac:dyDescent="0.35">
      <c r="A535" s="64" t="s">
        <v>644</v>
      </c>
      <c r="B535" s="8"/>
      <c r="C535" s="8"/>
      <c r="D535" s="8" t="s">
        <v>274</v>
      </c>
      <c r="E535" s="20" t="s">
        <v>682</v>
      </c>
      <c r="F535" s="9" t="s">
        <v>681</v>
      </c>
      <c r="G535" s="13">
        <v>2000</v>
      </c>
      <c r="H535" s="8"/>
      <c r="I535" s="8"/>
      <c r="J535" s="41">
        <f>J534+Table234535[[#This Row],[AMOUNT]]-Table234535[[#This Row],[AMOUNT2]]-Table234535[[#This Row],[AMOUNT3]]</f>
        <v>-76974</v>
      </c>
      <c r="K535" s="79"/>
    </row>
    <row r="536" spans="1:11" hidden="1" x14ac:dyDescent="0.35">
      <c r="A536" s="64" t="s">
        <v>649</v>
      </c>
      <c r="B536" s="8"/>
      <c r="C536" s="8"/>
      <c r="D536" s="8" t="s">
        <v>65</v>
      </c>
      <c r="E536" s="8" t="s">
        <v>68</v>
      </c>
      <c r="F536" s="9" t="s">
        <v>500</v>
      </c>
      <c r="G536" s="13">
        <v>1600</v>
      </c>
      <c r="H536" s="8"/>
      <c r="I536" s="8"/>
      <c r="J536" s="41">
        <f>J535+Table234535[[#This Row],[AMOUNT]]-Table234535[[#This Row],[AMOUNT2]]-Table234535[[#This Row],[AMOUNT3]]</f>
        <v>-78574</v>
      </c>
      <c r="K536" s="79"/>
    </row>
    <row r="537" spans="1:11" hidden="1" x14ac:dyDescent="0.35">
      <c r="A537" s="64" t="s">
        <v>649</v>
      </c>
      <c r="B537" s="8"/>
      <c r="C537" s="8"/>
      <c r="D537" s="8" t="s">
        <v>65</v>
      </c>
      <c r="E537" s="8" t="s">
        <v>16</v>
      </c>
      <c r="F537" s="9" t="s">
        <v>70</v>
      </c>
      <c r="G537" s="13">
        <v>900</v>
      </c>
      <c r="H537" s="8"/>
      <c r="I537" s="8"/>
      <c r="J537" s="41">
        <f>J536+Table234535[[#This Row],[AMOUNT]]-Table234535[[#This Row],[AMOUNT2]]-Table234535[[#This Row],[AMOUNT3]]</f>
        <v>-79474</v>
      </c>
      <c r="K537" s="79"/>
    </row>
    <row r="538" spans="1:11" hidden="1" x14ac:dyDescent="0.35">
      <c r="A538" s="64" t="s">
        <v>651</v>
      </c>
      <c r="B538" s="8" t="s">
        <v>569</v>
      </c>
      <c r="C538" s="23">
        <v>20000</v>
      </c>
      <c r="D538" s="8"/>
      <c r="E538" s="8"/>
      <c r="F538" s="9"/>
      <c r="G538" s="13"/>
      <c r="H538" s="8" t="s">
        <v>53</v>
      </c>
      <c r="I538" s="23">
        <v>10000</v>
      </c>
      <c r="J538" s="41">
        <f>J537+Table234535[[#This Row],[AMOUNT]]-Table234535[[#This Row],[AMOUNT2]]-Table234535[[#This Row],[AMOUNT3]]</f>
        <v>-69474</v>
      </c>
      <c r="K538" s="79"/>
    </row>
    <row r="539" spans="1:11" hidden="1" x14ac:dyDescent="0.35">
      <c r="A539" s="64" t="s">
        <v>651</v>
      </c>
      <c r="B539" s="8"/>
      <c r="C539" s="8"/>
      <c r="D539" s="8" t="s">
        <v>65</v>
      </c>
      <c r="E539" s="8" t="s">
        <v>68</v>
      </c>
      <c r="F539" s="9" t="s">
        <v>500</v>
      </c>
      <c r="G539" s="13">
        <v>1600</v>
      </c>
      <c r="H539" s="8"/>
      <c r="I539" s="8"/>
      <c r="J539" s="41">
        <f>J538+Table234535[[#This Row],[AMOUNT]]-Table234535[[#This Row],[AMOUNT2]]-Table234535[[#This Row],[AMOUNT3]]</f>
        <v>-71074</v>
      </c>
      <c r="K539" s="79"/>
    </row>
    <row r="540" spans="1:11" hidden="1" x14ac:dyDescent="0.35">
      <c r="A540" s="64" t="s">
        <v>651</v>
      </c>
      <c r="B540" s="8"/>
      <c r="C540" s="8"/>
      <c r="D540" s="8" t="s">
        <v>65</v>
      </c>
      <c r="E540" s="8" t="s">
        <v>16</v>
      </c>
      <c r="F540" s="9" t="s">
        <v>70</v>
      </c>
      <c r="G540" s="13">
        <v>900</v>
      </c>
      <c r="H540" s="8"/>
      <c r="I540" s="8"/>
      <c r="J540" s="41">
        <f>J539+Table234535[[#This Row],[AMOUNT]]-Table234535[[#This Row],[AMOUNT2]]-Table234535[[#This Row],[AMOUNT3]]</f>
        <v>-71974</v>
      </c>
      <c r="K540" s="79"/>
    </row>
    <row r="541" spans="1:11" hidden="1" x14ac:dyDescent="0.35">
      <c r="A541" s="64" t="s">
        <v>651</v>
      </c>
      <c r="B541" s="8"/>
      <c r="C541" s="8"/>
      <c r="D541" s="8" t="s">
        <v>39</v>
      </c>
      <c r="E541" s="8" t="s">
        <v>679</v>
      </c>
      <c r="F541" s="9" t="s">
        <v>591</v>
      </c>
      <c r="G541" s="13">
        <v>500</v>
      </c>
      <c r="H541" s="8"/>
      <c r="I541" s="8"/>
      <c r="J541" s="41">
        <f>J540+Table234535[[#This Row],[AMOUNT]]-Table234535[[#This Row],[AMOUNT2]]-Table234535[[#This Row],[AMOUNT3]]</f>
        <v>-72474</v>
      </c>
      <c r="K541" s="79"/>
    </row>
    <row r="542" spans="1:11" hidden="1" x14ac:dyDescent="0.35">
      <c r="A542" s="64" t="s">
        <v>651</v>
      </c>
      <c r="B542" s="8"/>
      <c r="C542" s="8"/>
      <c r="D542" s="8" t="s">
        <v>65</v>
      </c>
      <c r="E542" s="8" t="s">
        <v>679</v>
      </c>
      <c r="F542" s="9" t="s">
        <v>591</v>
      </c>
      <c r="G542" s="13">
        <v>500</v>
      </c>
      <c r="H542" s="8"/>
      <c r="I542" s="8"/>
      <c r="J542" s="41">
        <f>J541+Table234535[[#This Row],[AMOUNT]]-Table234535[[#This Row],[AMOUNT2]]-Table234535[[#This Row],[AMOUNT3]]</f>
        <v>-72974</v>
      </c>
      <c r="K542" s="79"/>
    </row>
    <row r="543" spans="1:11" hidden="1" x14ac:dyDescent="0.35">
      <c r="A543" s="64" t="s">
        <v>652</v>
      </c>
      <c r="B543" s="8" t="s">
        <v>50</v>
      </c>
      <c r="C543" s="23">
        <v>30000</v>
      </c>
      <c r="D543" s="8" t="s">
        <v>65</v>
      </c>
      <c r="E543" s="8" t="s">
        <v>68</v>
      </c>
      <c r="F543" s="9" t="s">
        <v>195</v>
      </c>
      <c r="G543" s="13">
        <v>3200</v>
      </c>
      <c r="H543" s="8"/>
      <c r="I543" s="8"/>
      <c r="J543" s="41">
        <f>J542+Table234535[[#This Row],[AMOUNT]]-Table234535[[#This Row],[AMOUNT2]]-Table234535[[#This Row],[AMOUNT3]]</f>
        <v>-46174</v>
      </c>
      <c r="K543" s="79"/>
    </row>
    <row r="544" spans="1:11" hidden="1" x14ac:dyDescent="0.35">
      <c r="A544" s="64" t="s">
        <v>652</v>
      </c>
      <c r="B544" s="8"/>
      <c r="C544" s="8"/>
      <c r="D544" s="8" t="s">
        <v>65</v>
      </c>
      <c r="E544" s="8" t="s">
        <v>16</v>
      </c>
      <c r="F544" s="9" t="s">
        <v>676</v>
      </c>
      <c r="G544" s="13">
        <v>900</v>
      </c>
      <c r="H544" s="8"/>
      <c r="I544" s="8"/>
      <c r="J544" s="41">
        <f>J543+Table234535[[#This Row],[AMOUNT]]-Table234535[[#This Row],[AMOUNT2]]-Table234535[[#This Row],[AMOUNT3]]</f>
        <v>-47074</v>
      </c>
      <c r="K544" s="79"/>
    </row>
    <row r="545" spans="1:11" hidden="1" x14ac:dyDescent="0.35">
      <c r="A545" s="64" t="s">
        <v>652</v>
      </c>
      <c r="B545" s="8"/>
      <c r="C545" s="8"/>
      <c r="D545" s="8" t="s">
        <v>953</v>
      </c>
      <c r="E545" s="8" t="s">
        <v>68</v>
      </c>
      <c r="F545" s="9" t="s">
        <v>723</v>
      </c>
      <c r="G545" s="13">
        <v>1500</v>
      </c>
      <c r="H545" s="8"/>
      <c r="I545" s="8"/>
      <c r="J545" s="41">
        <f>J544+Table234535[[#This Row],[AMOUNT]]-Table234535[[#This Row],[AMOUNT2]]-Table234535[[#This Row],[AMOUNT3]]</f>
        <v>-48574</v>
      </c>
      <c r="K545" s="79"/>
    </row>
    <row r="546" spans="1:11" hidden="1" x14ac:dyDescent="0.35">
      <c r="A546" s="64" t="s">
        <v>652</v>
      </c>
      <c r="B546" s="8"/>
      <c r="C546" s="8"/>
      <c r="D546" s="8" t="s">
        <v>953</v>
      </c>
      <c r="E546" s="8" t="s">
        <v>738</v>
      </c>
      <c r="F546" s="9" t="s">
        <v>683</v>
      </c>
      <c r="G546" s="13">
        <v>500</v>
      </c>
      <c r="H546" s="8"/>
      <c r="I546" s="8"/>
      <c r="J546" s="41">
        <f>J545+Table234535[[#This Row],[AMOUNT]]-Table234535[[#This Row],[AMOUNT2]]-Table234535[[#This Row],[AMOUNT3]]</f>
        <v>-49074</v>
      </c>
      <c r="K546" s="79"/>
    </row>
    <row r="547" spans="1:11" hidden="1" x14ac:dyDescent="0.35">
      <c r="A547" s="64" t="s">
        <v>654</v>
      </c>
      <c r="B547" s="8" t="s">
        <v>50</v>
      </c>
      <c r="C547" s="23">
        <v>20000</v>
      </c>
      <c r="D547" s="8"/>
      <c r="E547" s="8"/>
      <c r="F547" s="9"/>
      <c r="G547" s="13"/>
      <c r="H547" s="8" t="s">
        <v>53</v>
      </c>
      <c r="I547" s="23">
        <v>10000</v>
      </c>
      <c r="J547" s="41">
        <f>J546+Table234535[[#This Row],[AMOUNT]]-Table234535[[#This Row],[AMOUNT2]]-Table234535[[#This Row],[AMOUNT3]]</f>
        <v>-39074</v>
      </c>
      <c r="K547" s="79"/>
    </row>
    <row r="548" spans="1:11" hidden="1" x14ac:dyDescent="0.35">
      <c r="A548" s="64" t="s">
        <v>654</v>
      </c>
      <c r="B548" s="8"/>
      <c r="C548" s="8"/>
      <c r="D548" s="8"/>
      <c r="E548" s="8"/>
      <c r="F548" s="9"/>
      <c r="G548" s="13"/>
      <c r="H548" s="8" t="s">
        <v>64</v>
      </c>
      <c r="I548" s="8">
        <v>1500</v>
      </c>
      <c r="J548" s="41">
        <f>J547+Table234535[[#This Row],[AMOUNT]]-Table234535[[#This Row],[AMOUNT2]]-Table234535[[#This Row],[AMOUNT3]]</f>
        <v>-40574</v>
      </c>
      <c r="K548" s="79"/>
    </row>
    <row r="549" spans="1:11" hidden="1" x14ac:dyDescent="0.35">
      <c r="A549" s="64" t="s">
        <v>654</v>
      </c>
      <c r="B549" s="8"/>
      <c r="C549" s="8"/>
      <c r="D549" s="8" t="s">
        <v>953</v>
      </c>
      <c r="E549" s="8" t="s">
        <v>68</v>
      </c>
      <c r="F549" s="9" t="s">
        <v>724</v>
      </c>
      <c r="G549" s="13">
        <v>750</v>
      </c>
      <c r="H549" s="8"/>
      <c r="I549" s="8"/>
      <c r="J549" s="41">
        <f>J548+Table234535[[#This Row],[AMOUNT]]-Table234535[[#This Row],[AMOUNT2]]-Table234535[[#This Row],[AMOUNT3]]</f>
        <v>-41324</v>
      </c>
      <c r="K549" s="79"/>
    </row>
    <row r="550" spans="1:11" hidden="1" x14ac:dyDescent="0.35">
      <c r="A550" s="64" t="s">
        <v>654</v>
      </c>
      <c r="B550" s="8"/>
      <c r="C550" s="8"/>
      <c r="D550" s="8" t="s">
        <v>65</v>
      </c>
      <c r="E550" s="8" t="s">
        <v>68</v>
      </c>
      <c r="F550" s="9" t="s">
        <v>262</v>
      </c>
      <c r="G550" s="13">
        <v>2400</v>
      </c>
      <c r="H550" s="8"/>
      <c r="I550" s="8"/>
      <c r="J550" s="41">
        <f>J549+Table234535[[#This Row],[AMOUNT]]-Table234535[[#This Row],[AMOUNT2]]-Table234535[[#This Row],[AMOUNT3]]</f>
        <v>-43724</v>
      </c>
      <c r="K550" s="79"/>
    </row>
    <row r="551" spans="1:11" hidden="1" x14ac:dyDescent="0.35">
      <c r="A551" s="64" t="s">
        <v>654</v>
      </c>
      <c r="B551" s="8"/>
      <c r="C551" s="8"/>
      <c r="D551" s="8" t="s">
        <v>65</v>
      </c>
      <c r="E551" s="8" t="s">
        <v>16</v>
      </c>
      <c r="F551" s="9" t="s">
        <v>70</v>
      </c>
      <c r="G551" s="13">
        <v>900</v>
      </c>
      <c r="H551" s="8" t="s">
        <v>23</v>
      </c>
      <c r="I551" s="23">
        <v>7500</v>
      </c>
      <c r="J551" s="41">
        <f>J550+Table234535[[#This Row],[AMOUNT]]-Table234535[[#This Row],[AMOUNT2]]-Table234535[[#This Row],[AMOUNT3]]</f>
        <v>-52124</v>
      </c>
      <c r="K551" s="79"/>
    </row>
    <row r="552" spans="1:11" hidden="1" x14ac:dyDescent="0.35">
      <c r="A552" s="64" t="s">
        <v>654</v>
      </c>
      <c r="B552" s="8"/>
      <c r="C552" s="8"/>
      <c r="D552" s="8" t="s">
        <v>953</v>
      </c>
      <c r="E552" s="8" t="s">
        <v>20</v>
      </c>
      <c r="F552" s="9" t="s">
        <v>684</v>
      </c>
      <c r="G552" s="13">
        <v>2700</v>
      </c>
      <c r="H552" s="8"/>
      <c r="I552" s="8"/>
      <c r="J552" s="41">
        <f>J551+Table234535[[#This Row],[AMOUNT]]-Table234535[[#This Row],[AMOUNT2]]-Table234535[[#This Row],[AMOUNT3]]</f>
        <v>-54824</v>
      </c>
      <c r="K552" s="79"/>
    </row>
    <row r="553" spans="1:11" hidden="1" x14ac:dyDescent="0.35">
      <c r="A553" s="64" t="s">
        <v>654</v>
      </c>
      <c r="B553" s="8"/>
      <c r="C553" s="8"/>
      <c r="D553" s="8" t="s">
        <v>953</v>
      </c>
      <c r="E553" s="8" t="s">
        <v>682</v>
      </c>
      <c r="F553" s="9" t="s">
        <v>564</v>
      </c>
      <c r="G553" s="13">
        <v>300</v>
      </c>
      <c r="H553" s="8"/>
      <c r="I553" s="8"/>
      <c r="J553" s="41">
        <f>J552+Table234535[[#This Row],[AMOUNT]]-Table234535[[#This Row],[AMOUNT2]]-Table234535[[#This Row],[AMOUNT3]]</f>
        <v>-55124</v>
      </c>
      <c r="K553" s="79"/>
    </row>
    <row r="554" spans="1:11" hidden="1" x14ac:dyDescent="0.35">
      <c r="A554" s="64" t="s">
        <v>654</v>
      </c>
      <c r="B554" s="8"/>
      <c r="C554" s="8"/>
      <c r="D554" s="8" t="s">
        <v>39</v>
      </c>
      <c r="E554" s="8" t="s">
        <v>679</v>
      </c>
      <c r="F554" s="9" t="s">
        <v>66</v>
      </c>
      <c r="G554" s="13">
        <v>1000</v>
      </c>
      <c r="H554" s="8"/>
      <c r="I554" s="8"/>
      <c r="J554" s="41">
        <f>J553+Table234535[[#This Row],[AMOUNT]]-Table234535[[#This Row],[AMOUNT2]]-Table234535[[#This Row],[AMOUNT3]]</f>
        <v>-56124</v>
      </c>
      <c r="K554" s="79"/>
    </row>
    <row r="555" spans="1:11" hidden="1" x14ac:dyDescent="0.35">
      <c r="A555" s="64" t="s">
        <v>655</v>
      </c>
      <c r="B555" s="8"/>
      <c r="C555" s="8"/>
      <c r="D555" s="8" t="s">
        <v>953</v>
      </c>
      <c r="E555" s="8" t="s">
        <v>20</v>
      </c>
      <c r="F555" s="9" t="s">
        <v>685</v>
      </c>
      <c r="G555" s="13">
        <v>2000</v>
      </c>
      <c r="H555" s="8"/>
      <c r="I555" s="8"/>
      <c r="J555" s="41">
        <f>J554+Table234535[[#This Row],[AMOUNT]]-Table234535[[#This Row],[AMOUNT2]]-Table234535[[#This Row],[AMOUNT3]]</f>
        <v>-58124</v>
      </c>
      <c r="K555" s="79"/>
    </row>
    <row r="556" spans="1:11" hidden="1" x14ac:dyDescent="0.35">
      <c r="A556" s="64" t="s">
        <v>655</v>
      </c>
      <c r="B556" s="8"/>
      <c r="C556" s="8"/>
      <c r="D556" s="8" t="s">
        <v>65</v>
      </c>
      <c r="E556" s="8" t="s">
        <v>682</v>
      </c>
      <c r="F556" s="9" t="s">
        <v>686</v>
      </c>
      <c r="G556" s="13">
        <v>2500</v>
      </c>
      <c r="H556" s="8"/>
      <c r="I556" s="8"/>
      <c r="J556" s="41">
        <f>J555+Table234535[[#This Row],[AMOUNT]]-Table234535[[#This Row],[AMOUNT2]]-Table234535[[#This Row],[AMOUNT3]]</f>
        <v>-60624</v>
      </c>
      <c r="K556" s="79"/>
    </row>
    <row r="557" spans="1:11" hidden="1" x14ac:dyDescent="0.35">
      <c r="A557" s="64" t="s">
        <v>655</v>
      </c>
      <c r="B557" s="8"/>
      <c r="C557" s="8"/>
      <c r="D557" s="8" t="s">
        <v>953</v>
      </c>
      <c r="E557" s="8" t="s">
        <v>68</v>
      </c>
      <c r="F557" s="9" t="s">
        <v>486</v>
      </c>
      <c r="G557" s="13">
        <v>1500</v>
      </c>
      <c r="H557" s="8"/>
      <c r="I557" s="8"/>
      <c r="J557" s="41">
        <f>J556+Table234535[[#This Row],[AMOUNT]]-Table234535[[#This Row],[AMOUNT2]]-Table234535[[#This Row],[AMOUNT3]]</f>
        <v>-62124</v>
      </c>
      <c r="K557" s="79"/>
    </row>
    <row r="558" spans="1:11" hidden="1" x14ac:dyDescent="0.35">
      <c r="A558" s="64" t="s">
        <v>655</v>
      </c>
      <c r="B558" s="8"/>
      <c r="C558" s="8"/>
      <c r="D558" s="8" t="s">
        <v>65</v>
      </c>
      <c r="E558" s="8" t="s">
        <v>68</v>
      </c>
      <c r="F558" s="9" t="s">
        <v>262</v>
      </c>
      <c r="G558" s="13">
        <v>2400</v>
      </c>
      <c r="H558" s="8"/>
      <c r="I558" s="8"/>
      <c r="J558" s="41">
        <f>J557+Table234535[[#This Row],[AMOUNT]]-Table234535[[#This Row],[AMOUNT2]]-Table234535[[#This Row],[AMOUNT3]]</f>
        <v>-64524</v>
      </c>
      <c r="K558" s="79"/>
    </row>
    <row r="559" spans="1:11" hidden="1" x14ac:dyDescent="0.35">
      <c r="A559" s="64" t="s">
        <v>655</v>
      </c>
      <c r="B559" s="8"/>
      <c r="C559" s="8"/>
      <c r="D559" s="8" t="s">
        <v>65</v>
      </c>
      <c r="E559" s="8" t="s">
        <v>16</v>
      </c>
      <c r="F559" s="9" t="s">
        <v>680</v>
      </c>
      <c r="G559" s="13">
        <v>900</v>
      </c>
      <c r="H559" s="8"/>
      <c r="I559" s="8"/>
      <c r="J559" s="41">
        <f>J558+Table234535[[#This Row],[AMOUNT]]-Table234535[[#This Row],[AMOUNT2]]-Table234535[[#This Row],[AMOUNT3]]</f>
        <v>-65424</v>
      </c>
      <c r="K559" s="79"/>
    </row>
    <row r="560" spans="1:11" hidden="1" x14ac:dyDescent="0.35">
      <c r="A560" s="64" t="s">
        <v>656</v>
      </c>
      <c r="B560" s="8"/>
      <c r="C560" s="8"/>
      <c r="D560" s="8" t="s">
        <v>953</v>
      </c>
      <c r="E560" s="8" t="s">
        <v>679</v>
      </c>
      <c r="F560" s="9" t="s">
        <v>687</v>
      </c>
      <c r="G560" s="13">
        <v>1000</v>
      </c>
      <c r="H560" s="8" t="s">
        <v>53</v>
      </c>
      <c r="I560" s="23">
        <v>10000</v>
      </c>
      <c r="J560" s="41">
        <f>J559+Table234535[[#This Row],[AMOUNT]]-Table234535[[#This Row],[AMOUNT2]]-Table234535[[#This Row],[AMOUNT3]]</f>
        <v>-76424</v>
      </c>
      <c r="K560" s="79"/>
    </row>
    <row r="561" spans="1:11" hidden="1" x14ac:dyDescent="0.35">
      <c r="A561" s="64" t="s">
        <v>656</v>
      </c>
      <c r="B561" s="8"/>
      <c r="C561" s="8"/>
      <c r="D561" s="8" t="s">
        <v>953</v>
      </c>
      <c r="E561" s="8" t="s">
        <v>20</v>
      </c>
      <c r="F561" s="9" t="s">
        <v>688</v>
      </c>
      <c r="G561" s="13">
        <v>1550</v>
      </c>
      <c r="H561" s="8"/>
      <c r="I561" s="8"/>
      <c r="J561" s="41">
        <f>J560+Table234535[[#This Row],[AMOUNT]]-Table234535[[#This Row],[AMOUNT2]]-Table234535[[#This Row],[AMOUNT3]]</f>
        <v>-77974</v>
      </c>
      <c r="K561" s="79"/>
    </row>
    <row r="562" spans="1:11" hidden="1" x14ac:dyDescent="0.35">
      <c r="A562" s="64" t="s">
        <v>656</v>
      </c>
      <c r="B562" s="8"/>
      <c r="C562" s="8"/>
      <c r="D562" s="8" t="s">
        <v>953</v>
      </c>
      <c r="E562" s="8" t="s">
        <v>68</v>
      </c>
      <c r="F562" s="9" t="s">
        <v>643</v>
      </c>
      <c r="G562" s="82">
        <v>1500</v>
      </c>
      <c r="H562" s="8"/>
      <c r="I562" s="8"/>
      <c r="J562" s="41">
        <f>J561+Table234535[[#This Row],[AMOUNT]]-Table234535[[#This Row],[AMOUNT2]]-Table234535[[#This Row],[AMOUNT3]]</f>
        <v>-79474</v>
      </c>
      <c r="K562" s="79"/>
    </row>
    <row r="563" spans="1:11" hidden="1" x14ac:dyDescent="0.35">
      <c r="A563" s="64" t="s">
        <v>656</v>
      </c>
      <c r="B563" s="8"/>
      <c r="C563" s="8"/>
      <c r="D563" s="8" t="s">
        <v>953</v>
      </c>
      <c r="E563" s="8" t="s">
        <v>16</v>
      </c>
      <c r="F563" s="9" t="s">
        <v>631</v>
      </c>
      <c r="G563" s="82">
        <v>1150</v>
      </c>
      <c r="H563" s="8"/>
      <c r="I563" s="8"/>
      <c r="J563" s="41">
        <f>J562+Table234535[[#This Row],[AMOUNT]]-Table234535[[#This Row],[AMOUNT2]]-Table234535[[#This Row],[AMOUNT3]]</f>
        <v>-80624</v>
      </c>
      <c r="K563" s="79"/>
    </row>
    <row r="564" spans="1:11" hidden="1" x14ac:dyDescent="0.35">
      <c r="A564" s="64" t="s">
        <v>656</v>
      </c>
      <c r="B564" s="102"/>
      <c r="C564" s="102"/>
      <c r="D564" s="8" t="s">
        <v>65</v>
      </c>
      <c r="E564" s="8" t="s">
        <v>68</v>
      </c>
      <c r="F564" s="9" t="s">
        <v>262</v>
      </c>
      <c r="G564" s="13">
        <v>2400</v>
      </c>
      <c r="H564" s="102"/>
      <c r="I564" s="102"/>
      <c r="J564" s="41">
        <f>J563+Table234535[[#This Row],[AMOUNT]]-Table234535[[#This Row],[AMOUNT2]]-Table234535[[#This Row],[AMOUNT3]]</f>
        <v>-83024</v>
      </c>
      <c r="K564" s="94"/>
    </row>
    <row r="565" spans="1:11" hidden="1" x14ac:dyDescent="0.35">
      <c r="A565" s="64" t="s">
        <v>656</v>
      </c>
      <c r="B565" s="102"/>
      <c r="C565" s="102"/>
      <c r="D565" s="8" t="s">
        <v>65</v>
      </c>
      <c r="E565" s="8" t="s">
        <v>16</v>
      </c>
      <c r="F565" s="9" t="s">
        <v>680</v>
      </c>
      <c r="G565" s="13">
        <v>900</v>
      </c>
      <c r="H565" s="102"/>
      <c r="I565" s="102"/>
      <c r="J565" s="41">
        <f>J564+Table234535[[#This Row],[AMOUNT]]-Table234535[[#This Row],[AMOUNT2]]-Table234535[[#This Row],[AMOUNT3]]</f>
        <v>-83924</v>
      </c>
      <c r="K565" s="94"/>
    </row>
    <row r="566" spans="1:11" hidden="1" x14ac:dyDescent="0.35">
      <c r="A566" s="64" t="s">
        <v>665</v>
      </c>
      <c r="B566" s="8" t="s">
        <v>50</v>
      </c>
      <c r="C566" s="23">
        <v>40000</v>
      </c>
      <c r="D566" s="8" t="s">
        <v>953</v>
      </c>
      <c r="E566" s="8" t="s">
        <v>68</v>
      </c>
      <c r="F566" s="9" t="s">
        <v>222</v>
      </c>
      <c r="G566" s="13">
        <v>2250</v>
      </c>
      <c r="H566" s="8"/>
      <c r="I566" s="8"/>
      <c r="J566" s="41">
        <f>J565+Table234535[[#This Row],[AMOUNT]]-Table234535[[#This Row],[AMOUNT2]]-Table234535[[#This Row],[AMOUNT3]]</f>
        <v>-46174</v>
      </c>
      <c r="K566" s="79"/>
    </row>
    <row r="567" spans="1:11" hidden="1" x14ac:dyDescent="0.35">
      <c r="A567" s="64" t="s">
        <v>665</v>
      </c>
      <c r="B567" s="8"/>
      <c r="C567" s="8"/>
      <c r="D567" s="8" t="s">
        <v>953</v>
      </c>
      <c r="E567" s="8" t="s">
        <v>16</v>
      </c>
      <c r="F567" s="9" t="s">
        <v>646</v>
      </c>
      <c r="G567" s="13">
        <v>1200</v>
      </c>
      <c r="H567" s="8"/>
      <c r="I567" s="8"/>
      <c r="J567" s="41">
        <f>J566+Table234535[[#This Row],[AMOUNT]]-Table234535[[#This Row],[AMOUNT2]]-Table234535[[#This Row],[AMOUNT3]]</f>
        <v>-47374</v>
      </c>
      <c r="K567" s="79"/>
    </row>
    <row r="568" spans="1:11" hidden="1" x14ac:dyDescent="0.35">
      <c r="A568" s="64" t="s">
        <v>665</v>
      </c>
      <c r="B568" s="8"/>
      <c r="C568" s="8"/>
      <c r="D568" s="8" t="s">
        <v>953</v>
      </c>
      <c r="E568" s="8" t="s">
        <v>16</v>
      </c>
      <c r="F568" s="9" t="s">
        <v>629</v>
      </c>
      <c r="G568" s="13">
        <v>2300</v>
      </c>
      <c r="H568" s="8"/>
      <c r="I568" s="8"/>
      <c r="J568" s="41">
        <f>J567+Table234535[[#This Row],[AMOUNT]]-Table234535[[#This Row],[AMOUNT2]]-Table234535[[#This Row],[AMOUNT3]]</f>
        <v>-49674</v>
      </c>
      <c r="K568" s="79"/>
    </row>
    <row r="569" spans="1:11" hidden="1" x14ac:dyDescent="0.35">
      <c r="A569" s="64" t="s">
        <v>665</v>
      </c>
      <c r="B569" s="8"/>
      <c r="C569" s="8"/>
      <c r="D569" s="8" t="s">
        <v>65</v>
      </c>
      <c r="E569" s="8" t="s">
        <v>68</v>
      </c>
      <c r="F569" s="9" t="s">
        <v>251</v>
      </c>
      <c r="G569" s="13">
        <v>3200</v>
      </c>
      <c r="H569" s="8"/>
      <c r="I569" s="8"/>
      <c r="J569" s="41">
        <f>J568+Table234535[[#This Row],[AMOUNT]]-Table234535[[#This Row],[AMOUNT2]]-Table234535[[#This Row],[AMOUNT3]]</f>
        <v>-52874</v>
      </c>
      <c r="K569" s="79"/>
    </row>
    <row r="570" spans="1:11" hidden="1" x14ac:dyDescent="0.35">
      <c r="A570" s="64" t="s">
        <v>665</v>
      </c>
      <c r="B570" s="8"/>
      <c r="C570" s="8"/>
      <c r="D570" s="8" t="s">
        <v>65</v>
      </c>
      <c r="E570" s="8" t="s">
        <v>16</v>
      </c>
      <c r="F570" s="9" t="s">
        <v>70</v>
      </c>
      <c r="G570" s="13">
        <v>900</v>
      </c>
      <c r="H570" s="8" t="s">
        <v>64</v>
      </c>
      <c r="I570" s="8">
        <v>1000</v>
      </c>
      <c r="J570" s="41">
        <f>J569+Table234535[[#This Row],[AMOUNT]]-Table234535[[#This Row],[AMOUNT2]]-Table234535[[#This Row],[AMOUNT3]]</f>
        <v>-54774</v>
      </c>
      <c r="K570" s="79"/>
    </row>
    <row r="571" spans="1:11" hidden="1" x14ac:dyDescent="0.35">
      <c r="A571" s="64" t="s">
        <v>660</v>
      </c>
      <c r="B571" s="8"/>
      <c r="C571" s="8"/>
      <c r="D571" s="8" t="s">
        <v>65</v>
      </c>
      <c r="E571" s="8" t="s">
        <v>68</v>
      </c>
      <c r="F571" s="9" t="s">
        <v>262</v>
      </c>
      <c r="G571" s="13">
        <v>2400</v>
      </c>
      <c r="H571" s="8"/>
      <c r="I571" s="8"/>
      <c r="J571" s="41">
        <f>J570+Table234535[[#This Row],[AMOUNT]]-Table234535[[#This Row],[AMOUNT2]]-Table234535[[#This Row],[AMOUNT3]]</f>
        <v>-57174</v>
      </c>
      <c r="K571" s="79"/>
    </row>
    <row r="572" spans="1:11" hidden="1" x14ac:dyDescent="0.35">
      <c r="A572" s="64" t="s">
        <v>660</v>
      </c>
      <c r="B572" s="8"/>
      <c r="C572" s="8"/>
      <c r="D572" s="8" t="s">
        <v>65</v>
      </c>
      <c r="E572" s="8" t="s">
        <v>16</v>
      </c>
      <c r="F572" s="9" t="s">
        <v>680</v>
      </c>
      <c r="G572" s="13">
        <v>900</v>
      </c>
      <c r="H572" s="8"/>
      <c r="I572" s="8"/>
      <c r="J572" s="41">
        <f>J571+Table234535[[#This Row],[AMOUNT]]-Table234535[[#This Row],[AMOUNT2]]-Table234535[[#This Row],[AMOUNT3]]</f>
        <v>-58074</v>
      </c>
      <c r="K572" s="79"/>
    </row>
    <row r="573" spans="1:11" hidden="1" x14ac:dyDescent="0.35">
      <c r="A573" s="64" t="s">
        <v>660</v>
      </c>
      <c r="B573" s="8"/>
      <c r="C573" s="8"/>
      <c r="D573" s="8" t="s">
        <v>953</v>
      </c>
      <c r="E573" s="8" t="s">
        <v>68</v>
      </c>
      <c r="F573" s="9" t="s">
        <v>222</v>
      </c>
      <c r="G573" s="13">
        <v>2250</v>
      </c>
      <c r="H573" s="8"/>
      <c r="I573" s="8"/>
      <c r="J573" s="41">
        <f>J572+Table234535[[#This Row],[AMOUNT]]-Table234535[[#This Row],[AMOUNT2]]-Table234535[[#This Row],[AMOUNT3]]</f>
        <v>-60324</v>
      </c>
      <c r="K573" s="79"/>
    </row>
    <row r="574" spans="1:11" hidden="1" x14ac:dyDescent="0.35">
      <c r="A574" s="64" t="s">
        <v>660</v>
      </c>
      <c r="B574" s="8"/>
      <c r="C574" s="8"/>
      <c r="D574" s="8" t="s">
        <v>953</v>
      </c>
      <c r="E574" s="8" t="s">
        <v>16</v>
      </c>
      <c r="F574" s="9" t="s">
        <v>646</v>
      </c>
      <c r="G574" s="13">
        <v>1200</v>
      </c>
      <c r="H574" s="8"/>
      <c r="I574" s="8"/>
      <c r="J574" s="41">
        <f>J573+Table234535[[#This Row],[AMOUNT]]-Table234535[[#This Row],[AMOUNT2]]-Table234535[[#This Row],[AMOUNT3]]</f>
        <v>-61524</v>
      </c>
      <c r="K574" s="79"/>
    </row>
    <row r="575" spans="1:11" hidden="1" x14ac:dyDescent="0.35">
      <c r="A575" s="64" t="s">
        <v>660</v>
      </c>
      <c r="B575" s="8"/>
      <c r="C575" s="8"/>
      <c r="D575" s="8" t="s">
        <v>953</v>
      </c>
      <c r="E575" s="8" t="s">
        <v>16</v>
      </c>
      <c r="F575" s="9" t="s">
        <v>631</v>
      </c>
      <c r="G575" s="13">
        <v>1150</v>
      </c>
      <c r="H575" s="8"/>
      <c r="I575" s="8"/>
      <c r="J575" s="41">
        <f>J574+Table234535[[#This Row],[AMOUNT]]-Table234535[[#This Row],[AMOUNT2]]-Table234535[[#This Row],[AMOUNT3]]</f>
        <v>-62674</v>
      </c>
      <c r="K575" s="79"/>
    </row>
    <row r="576" spans="1:11" hidden="1" x14ac:dyDescent="0.35">
      <c r="A576" s="64" t="s">
        <v>660</v>
      </c>
      <c r="B576" s="8"/>
      <c r="C576" s="8"/>
      <c r="D576" s="8" t="s">
        <v>953</v>
      </c>
      <c r="E576" s="8" t="s">
        <v>679</v>
      </c>
      <c r="F576" s="9" t="s">
        <v>689</v>
      </c>
      <c r="G576" s="13">
        <v>300</v>
      </c>
      <c r="H576" s="8"/>
      <c r="I576" s="8"/>
      <c r="J576" s="41">
        <f>J575+Table234535[[#This Row],[AMOUNT]]-Table234535[[#This Row],[AMOUNT2]]-Table234535[[#This Row],[AMOUNT3]]</f>
        <v>-62974</v>
      </c>
      <c r="K576" s="79"/>
    </row>
    <row r="577" spans="1:11" hidden="1" x14ac:dyDescent="0.35">
      <c r="A577" s="64" t="s">
        <v>660</v>
      </c>
      <c r="B577" s="8"/>
      <c r="C577" s="8"/>
      <c r="D577" s="8" t="s">
        <v>65</v>
      </c>
      <c r="E577" s="8" t="s">
        <v>682</v>
      </c>
      <c r="F577" s="9" t="s">
        <v>690</v>
      </c>
      <c r="G577" s="13">
        <v>200</v>
      </c>
      <c r="H577" s="8"/>
      <c r="I577" s="8"/>
      <c r="J577" s="41">
        <f>J576+Table234535[[#This Row],[AMOUNT]]-Table234535[[#This Row],[AMOUNT2]]-Table234535[[#This Row],[AMOUNT3]]</f>
        <v>-63174</v>
      </c>
      <c r="K577" s="79"/>
    </row>
    <row r="578" spans="1:11" hidden="1" x14ac:dyDescent="0.35">
      <c r="A578" s="64" t="s">
        <v>662</v>
      </c>
      <c r="B578" s="8" t="s">
        <v>50</v>
      </c>
      <c r="C578" s="23">
        <v>20000</v>
      </c>
      <c r="D578" s="8"/>
      <c r="E578" s="8"/>
      <c r="F578" s="9"/>
      <c r="G578" s="13"/>
      <c r="H578" s="8"/>
      <c r="I578" s="8"/>
      <c r="J578" s="41">
        <f>J577+Table234535[[#This Row],[AMOUNT]]-Table234535[[#This Row],[AMOUNT2]]-Table234535[[#This Row],[AMOUNT3]]</f>
        <v>-43174</v>
      </c>
      <c r="K578" s="79"/>
    </row>
    <row r="579" spans="1:11" hidden="1" x14ac:dyDescent="0.35">
      <c r="A579" s="64" t="s">
        <v>662</v>
      </c>
      <c r="B579" s="8" t="s">
        <v>45</v>
      </c>
      <c r="C579" s="23">
        <v>7100</v>
      </c>
      <c r="D579" s="8"/>
      <c r="E579" s="8"/>
      <c r="F579" s="9"/>
      <c r="G579" s="13"/>
      <c r="H579" s="8"/>
      <c r="I579" s="8"/>
      <c r="J579" s="41">
        <f>J578+Table234535[[#This Row],[AMOUNT]]-Table234535[[#This Row],[AMOUNT2]]-Table234535[[#This Row],[AMOUNT3]]</f>
        <v>-36074</v>
      </c>
      <c r="K579" s="79"/>
    </row>
    <row r="580" spans="1:11" hidden="1" x14ac:dyDescent="0.35">
      <c r="A580" s="64" t="s">
        <v>662</v>
      </c>
      <c r="B580" s="8" t="s">
        <v>45</v>
      </c>
      <c r="C580" s="23">
        <v>4100</v>
      </c>
      <c r="D580" s="8" t="s">
        <v>953</v>
      </c>
      <c r="E580" s="8" t="s">
        <v>68</v>
      </c>
      <c r="F580" s="9" t="s">
        <v>197</v>
      </c>
      <c r="G580" s="13">
        <v>3000</v>
      </c>
      <c r="H580" s="8"/>
      <c r="I580" s="8"/>
      <c r="J580" s="41">
        <f>J579+Table234535[[#This Row],[AMOUNT]]-Table234535[[#This Row],[AMOUNT2]]-Table234535[[#This Row],[AMOUNT3]]</f>
        <v>-34974</v>
      </c>
      <c r="K580" s="79"/>
    </row>
    <row r="581" spans="1:11" hidden="1" x14ac:dyDescent="0.35">
      <c r="A581" s="64" t="s">
        <v>662</v>
      </c>
      <c r="B581" s="8"/>
      <c r="C581" s="8"/>
      <c r="D581" s="8" t="s">
        <v>65</v>
      </c>
      <c r="E581" s="8" t="s">
        <v>68</v>
      </c>
      <c r="F581" s="9" t="s">
        <v>83</v>
      </c>
      <c r="G581" s="13">
        <v>800</v>
      </c>
      <c r="H581" s="8"/>
      <c r="I581" s="8"/>
      <c r="J581" s="41">
        <f>J580+Table234535[[#This Row],[AMOUNT]]-Table234535[[#This Row],[AMOUNT2]]-Table234535[[#This Row],[AMOUNT3]]</f>
        <v>-35774</v>
      </c>
      <c r="K581" s="79"/>
    </row>
    <row r="582" spans="1:11" hidden="1" x14ac:dyDescent="0.35">
      <c r="A582" s="64" t="s">
        <v>662</v>
      </c>
      <c r="B582" s="8"/>
      <c r="C582" s="8"/>
      <c r="D582" s="8" t="s">
        <v>691</v>
      </c>
      <c r="E582" s="8" t="s">
        <v>68</v>
      </c>
      <c r="F582" s="9" t="s">
        <v>285</v>
      </c>
      <c r="G582" s="13">
        <v>1600</v>
      </c>
      <c r="H582" s="8"/>
      <c r="I582" s="8"/>
      <c r="J582" s="41">
        <f>J581+Table234535[[#This Row],[AMOUNT]]-Table234535[[#This Row],[AMOUNT2]]-Table234535[[#This Row],[AMOUNT3]]</f>
        <v>-37374</v>
      </c>
      <c r="K582" s="79"/>
    </row>
    <row r="583" spans="1:11" hidden="1" x14ac:dyDescent="0.35">
      <c r="A583" s="64" t="s">
        <v>662</v>
      </c>
      <c r="B583" s="8"/>
      <c r="C583" s="8"/>
      <c r="D583" s="8" t="s">
        <v>691</v>
      </c>
      <c r="E583" s="8" t="s">
        <v>16</v>
      </c>
      <c r="F583" s="9" t="s">
        <v>692</v>
      </c>
      <c r="G583" s="13">
        <v>900</v>
      </c>
      <c r="H583" s="8"/>
      <c r="I583" s="8"/>
      <c r="J583" s="41">
        <f>J582+Table234535[[#This Row],[AMOUNT]]-Table234535[[#This Row],[AMOUNT2]]-Table234535[[#This Row],[AMOUNT3]]</f>
        <v>-38274</v>
      </c>
      <c r="K583" s="79"/>
    </row>
    <row r="584" spans="1:11" hidden="1" x14ac:dyDescent="0.35">
      <c r="A584" s="64" t="s">
        <v>662</v>
      </c>
      <c r="B584" s="8"/>
      <c r="C584" s="8"/>
      <c r="D584" s="8" t="s">
        <v>39</v>
      </c>
      <c r="E584" s="8" t="s">
        <v>679</v>
      </c>
      <c r="F584" s="9" t="s">
        <v>693</v>
      </c>
      <c r="G584" s="13">
        <v>500</v>
      </c>
      <c r="H584" s="8"/>
      <c r="I584" s="8"/>
      <c r="J584" s="41">
        <f>J583+Table234535[[#This Row],[AMOUNT]]-Table234535[[#This Row],[AMOUNT2]]-Table234535[[#This Row],[AMOUNT3]]</f>
        <v>-38774</v>
      </c>
      <c r="K584" s="79"/>
    </row>
    <row r="585" spans="1:11" hidden="1" x14ac:dyDescent="0.35">
      <c r="A585" s="64" t="s">
        <v>662</v>
      </c>
      <c r="B585" s="8"/>
      <c r="C585" s="8"/>
      <c r="D585" s="8" t="s">
        <v>953</v>
      </c>
      <c r="E585" s="8" t="s">
        <v>679</v>
      </c>
      <c r="F585" s="9" t="s">
        <v>693</v>
      </c>
      <c r="G585" s="13">
        <v>500</v>
      </c>
      <c r="H585" s="8"/>
      <c r="I585" s="8"/>
      <c r="J585" s="41">
        <f>J584+Table234535[[#This Row],[AMOUNT]]-Table234535[[#This Row],[AMOUNT2]]-Table234535[[#This Row],[AMOUNT3]]</f>
        <v>-39274</v>
      </c>
      <c r="K585" s="79"/>
    </row>
    <row r="586" spans="1:11" hidden="1" x14ac:dyDescent="0.35">
      <c r="A586" s="64" t="s">
        <v>662</v>
      </c>
      <c r="B586" s="8"/>
      <c r="C586" s="8"/>
      <c r="D586" s="8" t="s">
        <v>953</v>
      </c>
      <c r="E586" s="8" t="s">
        <v>27</v>
      </c>
      <c r="F586" s="9" t="s">
        <v>694</v>
      </c>
      <c r="G586" s="13">
        <v>2000</v>
      </c>
      <c r="H586" s="8"/>
      <c r="I586" s="8"/>
      <c r="J586" s="41">
        <f>J585+Table234535[[#This Row],[AMOUNT]]-Table234535[[#This Row],[AMOUNT2]]-Table234535[[#This Row],[AMOUNT3]]</f>
        <v>-41274</v>
      </c>
      <c r="K586" s="79"/>
    </row>
    <row r="587" spans="1:11" hidden="1" x14ac:dyDescent="0.35">
      <c r="A587" s="64" t="s">
        <v>662</v>
      </c>
      <c r="B587" s="8"/>
      <c r="C587" s="8"/>
      <c r="D587" s="8" t="s">
        <v>691</v>
      </c>
      <c r="E587" s="8" t="s">
        <v>682</v>
      </c>
      <c r="F587" s="9" t="s">
        <v>695</v>
      </c>
      <c r="G587" s="13">
        <v>500</v>
      </c>
      <c r="H587" s="8"/>
      <c r="I587" s="8"/>
      <c r="J587" s="41">
        <f>J586+Table234535[[#This Row],[AMOUNT]]-Table234535[[#This Row],[AMOUNT2]]-Table234535[[#This Row],[AMOUNT3]]</f>
        <v>-41774</v>
      </c>
      <c r="K587" s="79"/>
    </row>
    <row r="588" spans="1:11" hidden="1" x14ac:dyDescent="0.35">
      <c r="A588" s="64" t="s">
        <v>662</v>
      </c>
      <c r="B588" s="8"/>
      <c r="C588" s="8"/>
      <c r="D588" s="8" t="s">
        <v>953</v>
      </c>
      <c r="E588" s="8" t="s">
        <v>27</v>
      </c>
      <c r="F588" s="9" t="s">
        <v>28</v>
      </c>
      <c r="G588" s="13">
        <v>3000</v>
      </c>
      <c r="H588" s="8"/>
      <c r="I588" s="8"/>
      <c r="J588" s="41">
        <f>J587+Table234535[[#This Row],[AMOUNT]]-Table234535[[#This Row],[AMOUNT2]]-Table234535[[#This Row],[AMOUNT3]]</f>
        <v>-44774</v>
      </c>
      <c r="K588" s="79"/>
    </row>
    <row r="589" spans="1:11" hidden="1" x14ac:dyDescent="0.35">
      <c r="A589" s="64" t="s">
        <v>662</v>
      </c>
      <c r="B589" s="8"/>
      <c r="C589" s="8"/>
      <c r="D589" s="8" t="s">
        <v>953</v>
      </c>
      <c r="E589" s="8" t="s">
        <v>682</v>
      </c>
      <c r="F589" s="9" t="s">
        <v>696</v>
      </c>
      <c r="G589" s="13">
        <v>300</v>
      </c>
      <c r="H589" s="8"/>
      <c r="I589" s="8"/>
      <c r="J589" s="41">
        <f>J588+Table234535[[#This Row],[AMOUNT]]-Table234535[[#This Row],[AMOUNT2]]-Table234535[[#This Row],[AMOUNT3]]</f>
        <v>-45074</v>
      </c>
      <c r="K589" s="79"/>
    </row>
    <row r="590" spans="1:11" hidden="1" x14ac:dyDescent="0.35">
      <c r="A590" s="64" t="s">
        <v>662</v>
      </c>
      <c r="B590" s="8"/>
      <c r="C590" s="8"/>
      <c r="D590" s="8" t="s">
        <v>39</v>
      </c>
      <c r="E590" s="8" t="s">
        <v>679</v>
      </c>
      <c r="F590" s="9" t="s">
        <v>697</v>
      </c>
      <c r="G590" s="13">
        <v>500</v>
      </c>
      <c r="H590" s="8"/>
      <c r="I590" s="8"/>
      <c r="J590" s="41">
        <f>J589+Table234535[[#This Row],[AMOUNT]]-Table234535[[#This Row],[AMOUNT2]]-Table234535[[#This Row],[AMOUNT3]]</f>
        <v>-45574</v>
      </c>
      <c r="K590" s="79"/>
    </row>
    <row r="591" spans="1:11" hidden="1" x14ac:dyDescent="0.35">
      <c r="A591" s="64" t="s">
        <v>662</v>
      </c>
      <c r="B591" s="8"/>
      <c r="C591" s="8"/>
      <c r="D591" s="8" t="s">
        <v>953</v>
      </c>
      <c r="E591" s="8" t="s">
        <v>679</v>
      </c>
      <c r="F591" s="9" t="s">
        <v>697</v>
      </c>
      <c r="G591" s="13">
        <v>500</v>
      </c>
      <c r="H591" s="8"/>
      <c r="I591" s="8"/>
      <c r="J591" s="41">
        <f>J590+Table234535[[#This Row],[AMOUNT]]-Table234535[[#This Row],[AMOUNT2]]-Table234535[[#This Row],[AMOUNT3]]</f>
        <v>-46074</v>
      </c>
      <c r="K591" s="79"/>
    </row>
    <row r="592" spans="1:11" hidden="1" x14ac:dyDescent="0.35">
      <c r="A592" s="64" t="s">
        <v>662</v>
      </c>
      <c r="B592" s="8"/>
      <c r="C592" s="8"/>
      <c r="D592" s="8" t="s">
        <v>65</v>
      </c>
      <c r="E592" s="8" t="s">
        <v>20</v>
      </c>
      <c r="F592" s="9" t="s">
        <v>698</v>
      </c>
      <c r="G592" s="13">
        <v>4100</v>
      </c>
      <c r="H592" s="8"/>
      <c r="I592" s="8"/>
      <c r="J592" s="41">
        <f>J591+Table234535[[#This Row],[AMOUNT]]-Table234535[[#This Row],[AMOUNT2]]-Table234535[[#This Row],[AMOUNT3]]</f>
        <v>-50174</v>
      </c>
      <c r="K592" s="79"/>
    </row>
    <row r="593" spans="1:12" hidden="1" x14ac:dyDescent="0.35">
      <c r="A593" s="64" t="s">
        <v>662</v>
      </c>
      <c r="B593" s="8"/>
      <c r="C593" s="8"/>
      <c r="D593" s="8" t="s">
        <v>953</v>
      </c>
      <c r="E593" s="8" t="s">
        <v>31</v>
      </c>
      <c r="F593" s="9" t="s">
        <v>699</v>
      </c>
      <c r="G593" s="13">
        <v>7100</v>
      </c>
      <c r="H593" s="8"/>
      <c r="I593" s="8"/>
      <c r="J593" s="41">
        <f>J592+Table234535[[#This Row],[AMOUNT]]-Table234535[[#This Row],[AMOUNT2]]-Table234535[[#This Row],[AMOUNT3]]</f>
        <v>-57274</v>
      </c>
      <c r="K593" s="79"/>
    </row>
    <row r="594" spans="1:12" hidden="1" x14ac:dyDescent="0.35">
      <c r="A594" s="64" t="s">
        <v>700</v>
      </c>
      <c r="B594" s="8" t="s">
        <v>50</v>
      </c>
      <c r="C594" s="23">
        <v>20000</v>
      </c>
      <c r="D594" s="8" t="s">
        <v>953</v>
      </c>
      <c r="E594" s="8" t="s">
        <v>68</v>
      </c>
      <c r="F594" s="9" t="s">
        <v>486</v>
      </c>
      <c r="G594" s="13">
        <v>1500</v>
      </c>
      <c r="H594" s="8"/>
      <c r="I594" s="8"/>
      <c r="J594" s="41">
        <f>J593+Table234535[[#This Row],[AMOUNT]]-Table234535[[#This Row],[AMOUNT2]]-Table234535[[#This Row],[AMOUNT3]]</f>
        <v>-38774</v>
      </c>
      <c r="K594" s="79"/>
    </row>
    <row r="595" spans="1:12" hidden="1" x14ac:dyDescent="0.35">
      <c r="A595" s="64" t="s">
        <v>700</v>
      </c>
      <c r="B595" s="8"/>
      <c r="C595" s="8"/>
      <c r="D595" s="8" t="s">
        <v>65</v>
      </c>
      <c r="E595" s="8" t="s">
        <v>68</v>
      </c>
      <c r="F595" s="9" t="s">
        <v>460</v>
      </c>
      <c r="G595" s="13">
        <v>2400</v>
      </c>
      <c r="H595" s="8"/>
      <c r="I595" s="8"/>
      <c r="J595" s="41">
        <f>J594+Table234535[[#This Row],[AMOUNT]]-Table234535[[#This Row],[AMOUNT2]]-Table234535[[#This Row],[AMOUNT3]]</f>
        <v>-41174</v>
      </c>
      <c r="K595" s="79"/>
    </row>
    <row r="596" spans="1:12" hidden="1" x14ac:dyDescent="0.35">
      <c r="A596" s="64" t="s">
        <v>700</v>
      </c>
      <c r="B596" s="8"/>
      <c r="C596" s="8"/>
      <c r="D596" s="8" t="s">
        <v>65</v>
      </c>
      <c r="E596" s="8" t="s">
        <v>16</v>
      </c>
      <c r="F596" s="9" t="s">
        <v>680</v>
      </c>
      <c r="G596" s="13">
        <v>900</v>
      </c>
      <c r="H596" s="8"/>
      <c r="I596" s="8"/>
      <c r="J596" s="41">
        <f>J595+Table234535[[#This Row],[AMOUNT]]-Table234535[[#This Row],[AMOUNT2]]-Table234535[[#This Row],[AMOUNT3]]</f>
        <v>-42074</v>
      </c>
      <c r="K596" s="79"/>
    </row>
    <row r="597" spans="1:12" hidden="1" x14ac:dyDescent="0.35">
      <c r="A597" s="64" t="s">
        <v>700</v>
      </c>
      <c r="B597" s="8"/>
      <c r="C597" s="8"/>
      <c r="D597" s="8" t="s">
        <v>39</v>
      </c>
      <c r="E597" s="8" t="s">
        <v>701</v>
      </c>
      <c r="F597" s="9" t="s">
        <v>702</v>
      </c>
      <c r="G597" s="13">
        <v>1300</v>
      </c>
      <c r="H597" s="8"/>
      <c r="I597" s="8"/>
      <c r="J597" s="41">
        <f>J596+Table234535[[#This Row],[AMOUNT]]-Table234535[[#This Row],[AMOUNT2]]-Table234535[[#This Row],[AMOUNT3]]</f>
        <v>-43374</v>
      </c>
      <c r="K597" s="79" t="s">
        <v>720</v>
      </c>
      <c r="L597">
        <v>43374</v>
      </c>
    </row>
    <row r="598" spans="1:12" hidden="1" x14ac:dyDescent="0.35">
      <c r="A598" s="64" t="s">
        <v>703</v>
      </c>
      <c r="B598" s="8" t="s">
        <v>45</v>
      </c>
      <c r="C598" s="23">
        <v>10000</v>
      </c>
      <c r="D598" s="8" t="s">
        <v>584</v>
      </c>
      <c r="E598" s="8" t="s">
        <v>27</v>
      </c>
      <c r="F598" s="9" t="s">
        <v>28</v>
      </c>
      <c r="G598" s="13">
        <v>10000</v>
      </c>
      <c r="H598" s="8"/>
      <c r="I598" s="8"/>
      <c r="J598" s="41">
        <f>J597+Table234535[[#This Row],[AMOUNT]]-Table234535[[#This Row],[AMOUNT2]]-Table234535[[#This Row],[AMOUNT3]]</f>
        <v>-43374</v>
      </c>
      <c r="K598" s="79"/>
    </row>
    <row r="599" spans="1:12" hidden="1" x14ac:dyDescent="0.35">
      <c r="A599" s="64" t="s">
        <v>703</v>
      </c>
      <c r="B599" s="8"/>
      <c r="C599" s="8"/>
      <c r="D599" s="8" t="s">
        <v>953</v>
      </c>
      <c r="E599" s="8" t="s">
        <v>68</v>
      </c>
      <c r="F599" s="9" t="s">
        <v>643</v>
      </c>
      <c r="G599" s="13">
        <v>1500</v>
      </c>
      <c r="H599" s="8"/>
      <c r="I599" s="8"/>
      <c r="J599" s="41">
        <f>J598+Table234535[[#This Row],[AMOUNT]]-Table234535[[#This Row],[AMOUNT2]]-Table234535[[#This Row],[AMOUNT3]]</f>
        <v>-44874</v>
      </c>
      <c r="K599" s="79"/>
      <c r="L599" s="55"/>
    </row>
    <row r="600" spans="1:12" hidden="1" x14ac:dyDescent="0.35">
      <c r="A600" s="64" t="s">
        <v>703</v>
      </c>
      <c r="B600" s="8"/>
      <c r="C600" s="8"/>
      <c r="D600" s="8" t="s">
        <v>65</v>
      </c>
      <c r="E600" s="8" t="s">
        <v>68</v>
      </c>
      <c r="F600" s="9" t="s">
        <v>500</v>
      </c>
      <c r="G600" s="13">
        <v>1600</v>
      </c>
      <c r="H600" s="8"/>
      <c r="I600" s="8"/>
      <c r="J600" s="41">
        <f>J599+Table234535[[#This Row],[AMOUNT]]-Table234535[[#This Row],[AMOUNT2]]-Table234535[[#This Row],[AMOUNT3]]</f>
        <v>-46474</v>
      </c>
      <c r="K600" s="79"/>
    </row>
    <row r="601" spans="1:12" hidden="1" x14ac:dyDescent="0.35">
      <c r="A601" s="64" t="s">
        <v>703</v>
      </c>
      <c r="B601" s="8"/>
      <c r="C601" s="8"/>
      <c r="D601" s="8" t="s">
        <v>65</v>
      </c>
      <c r="E601" s="8" t="s">
        <v>16</v>
      </c>
      <c r="F601" s="9" t="s">
        <v>680</v>
      </c>
      <c r="G601" s="13">
        <v>900</v>
      </c>
      <c r="H601" s="8"/>
      <c r="I601" s="8"/>
      <c r="J601" s="41">
        <f>J600+Table234535[[#This Row],[AMOUNT]]-Table234535[[#This Row],[AMOUNT2]]-Table234535[[#This Row],[AMOUNT3]]</f>
        <v>-47374</v>
      </c>
      <c r="K601" s="79"/>
    </row>
    <row r="602" spans="1:12" hidden="1" x14ac:dyDescent="0.35">
      <c r="A602" s="64" t="s">
        <v>774</v>
      </c>
      <c r="B602" s="8"/>
      <c r="C602" s="8"/>
      <c r="D602" s="8" t="s">
        <v>953</v>
      </c>
      <c r="E602" s="8" t="s">
        <v>68</v>
      </c>
      <c r="F602" s="9" t="s">
        <v>643</v>
      </c>
      <c r="G602" s="13">
        <v>750</v>
      </c>
      <c r="H602" s="8"/>
      <c r="I602" s="8"/>
      <c r="J602" s="41">
        <f>J601+Table234535[[#This Row],[AMOUNT]]-Table234535[[#This Row],[AMOUNT2]]-Table234535[[#This Row],[AMOUNT3]]</f>
        <v>-48124</v>
      </c>
      <c r="K602" s="79"/>
    </row>
    <row r="603" spans="1:12" hidden="1" x14ac:dyDescent="0.35">
      <c r="A603" s="64" t="s">
        <v>775</v>
      </c>
      <c r="B603" s="8"/>
      <c r="C603" s="8"/>
      <c r="D603" s="8"/>
      <c r="E603" s="8"/>
      <c r="F603" s="9"/>
      <c r="G603" s="13"/>
      <c r="H603" s="8" t="s">
        <v>64</v>
      </c>
      <c r="I603" s="8">
        <v>1350</v>
      </c>
      <c r="J603" s="41">
        <f>J602+Table234535[[#This Row],[AMOUNT]]-Table234535[[#This Row],[AMOUNT2]]-Table234535[[#This Row],[AMOUNT3]]</f>
        <v>-49474</v>
      </c>
      <c r="K603" s="79"/>
    </row>
    <row r="604" spans="1:12" hidden="1" x14ac:dyDescent="0.35">
      <c r="A604" s="64" t="s">
        <v>775</v>
      </c>
      <c r="B604" s="8"/>
      <c r="C604" s="8"/>
      <c r="D604" s="8" t="s">
        <v>953</v>
      </c>
      <c r="E604" s="8" t="s">
        <v>68</v>
      </c>
      <c r="F604" s="9" t="s">
        <v>653</v>
      </c>
      <c r="G604" s="13">
        <v>750</v>
      </c>
      <c r="H604" s="8"/>
      <c r="I604" s="8"/>
      <c r="J604" s="41">
        <f>J603+Table234535[[#This Row],[AMOUNT]]-Table234535[[#This Row],[AMOUNT2]]-Table234535[[#This Row],[AMOUNT3]]</f>
        <v>-50224</v>
      </c>
      <c r="K604" s="79"/>
    </row>
    <row r="605" spans="1:12" hidden="1" x14ac:dyDescent="0.35">
      <c r="A605" s="64" t="s">
        <v>775</v>
      </c>
      <c r="B605" s="8"/>
      <c r="C605" s="8"/>
      <c r="D605" s="8" t="s">
        <v>65</v>
      </c>
      <c r="E605" s="8" t="s">
        <v>68</v>
      </c>
      <c r="F605" s="9" t="s">
        <v>500</v>
      </c>
      <c r="G605" s="13">
        <v>1600</v>
      </c>
      <c r="H605" s="8"/>
      <c r="I605" s="8"/>
      <c r="J605" s="41">
        <f>J604+Table234535[[#This Row],[AMOUNT]]-Table234535[[#This Row],[AMOUNT2]]-Table234535[[#This Row],[AMOUNT3]]</f>
        <v>-51824</v>
      </c>
      <c r="K605" s="79"/>
    </row>
    <row r="606" spans="1:12" hidden="1" x14ac:dyDescent="0.35">
      <c r="A606" s="64" t="s">
        <v>775</v>
      </c>
      <c r="B606" s="8"/>
      <c r="C606" s="8"/>
      <c r="D606" s="8" t="s">
        <v>65</v>
      </c>
      <c r="E606" s="8" t="s">
        <v>16</v>
      </c>
      <c r="F606" s="9" t="s">
        <v>680</v>
      </c>
      <c r="G606" s="13">
        <v>900</v>
      </c>
      <c r="H606" s="8"/>
      <c r="I606" s="8"/>
      <c r="J606" s="41">
        <f>J605+Table234535[[#This Row],[AMOUNT]]-Table234535[[#This Row],[AMOUNT2]]-Table234535[[#This Row],[AMOUNT3]]</f>
        <v>-52724</v>
      </c>
      <c r="K606" s="79"/>
    </row>
    <row r="607" spans="1:12" ht="16.25" hidden="1" customHeight="1" x14ac:dyDescent="0.35">
      <c r="A607" s="64" t="s">
        <v>775</v>
      </c>
      <c r="B607" s="8"/>
      <c r="C607" s="8"/>
      <c r="D607" s="8" t="s">
        <v>953</v>
      </c>
      <c r="E607" s="8" t="s">
        <v>682</v>
      </c>
      <c r="F607" s="9" t="s">
        <v>776</v>
      </c>
      <c r="G607" s="13">
        <v>500</v>
      </c>
      <c r="H607" s="8"/>
      <c r="I607" s="8"/>
      <c r="J607" s="41">
        <f>J606+Table234535[[#This Row],[AMOUNT]]-Table234535[[#This Row],[AMOUNT2]]-Table234535[[#This Row],[AMOUNT3]]</f>
        <v>-53224</v>
      </c>
      <c r="K607" s="79"/>
    </row>
    <row r="608" spans="1:12" hidden="1" x14ac:dyDescent="0.35">
      <c r="A608" s="64" t="s">
        <v>777</v>
      </c>
      <c r="B608" s="8" t="s">
        <v>50</v>
      </c>
      <c r="C608" s="23">
        <v>20000</v>
      </c>
      <c r="D608" s="8" t="s">
        <v>65</v>
      </c>
      <c r="E608" s="8" t="s">
        <v>20</v>
      </c>
      <c r="F608" s="9" t="s">
        <v>778</v>
      </c>
      <c r="G608" s="13">
        <v>4300</v>
      </c>
      <c r="H608" s="8"/>
      <c r="I608" s="8"/>
      <c r="J608" s="41">
        <f>J607+Table234535[[#This Row],[AMOUNT]]-Table234535[[#This Row],[AMOUNT2]]-Table234535[[#This Row],[AMOUNT3]]</f>
        <v>-37524</v>
      </c>
      <c r="K608" s="79"/>
    </row>
    <row r="609" spans="1:11" hidden="1" x14ac:dyDescent="0.35">
      <c r="A609" s="64" t="s">
        <v>777</v>
      </c>
      <c r="B609" s="8"/>
      <c r="C609" s="8"/>
      <c r="D609" s="8" t="s">
        <v>953</v>
      </c>
      <c r="E609" s="8" t="s">
        <v>68</v>
      </c>
      <c r="F609" s="9" t="s">
        <v>653</v>
      </c>
      <c r="G609" s="13">
        <v>750</v>
      </c>
      <c r="H609" s="8"/>
      <c r="I609" s="8"/>
      <c r="J609" s="41">
        <f>J608+Table234535[[#This Row],[AMOUNT]]-Table234535[[#This Row],[AMOUNT2]]-Table234535[[#This Row],[AMOUNT3]]</f>
        <v>-38274</v>
      </c>
      <c r="K609" s="79"/>
    </row>
    <row r="610" spans="1:11" hidden="1" x14ac:dyDescent="0.35">
      <c r="A610" s="64" t="s">
        <v>777</v>
      </c>
      <c r="B610" s="8"/>
      <c r="C610" s="8"/>
      <c r="D610" s="8" t="s">
        <v>65</v>
      </c>
      <c r="E610" s="8" t="s">
        <v>68</v>
      </c>
      <c r="F610" s="9" t="s">
        <v>262</v>
      </c>
      <c r="G610" s="13">
        <v>2400</v>
      </c>
      <c r="H610" s="8"/>
      <c r="I610" s="8"/>
      <c r="J610" s="41">
        <f>J609+Table234535[[#This Row],[AMOUNT]]-Table234535[[#This Row],[AMOUNT2]]-Table234535[[#This Row],[AMOUNT3]]</f>
        <v>-40674</v>
      </c>
      <c r="K610" s="79"/>
    </row>
    <row r="611" spans="1:11" hidden="1" x14ac:dyDescent="0.35">
      <c r="A611" s="64" t="s">
        <v>777</v>
      </c>
      <c r="B611" s="8"/>
      <c r="C611" s="8"/>
      <c r="D611" s="8" t="s">
        <v>65</v>
      </c>
      <c r="E611" s="8" t="s">
        <v>16</v>
      </c>
      <c r="F611" s="9" t="s">
        <v>680</v>
      </c>
      <c r="G611" s="13">
        <v>900</v>
      </c>
      <c r="H611" s="8"/>
      <c r="I611" s="8"/>
      <c r="J611" s="41">
        <f>J610+Table234535[[#This Row],[AMOUNT]]-Table234535[[#This Row],[AMOUNT2]]-Table234535[[#This Row],[AMOUNT3]]</f>
        <v>-41574</v>
      </c>
      <c r="K611" s="79"/>
    </row>
    <row r="612" spans="1:11" hidden="1" x14ac:dyDescent="0.35">
      <c r="A612" s="64" t="s">
        <v>777</v>
      </c>
      <c r="B612" s="8"/>
      <c r="C612" s="8"/>
      <c r="D612" s="8" t="s">
        <v>953</v>
      </c>
      <c r="E612" s="8" t="s">
        <v>679</v>
      </c>
      <c r="F612" s="9" t="s">
        <v>1</v>
      </c>
      <c r="G612" s="13">
        <v>500</v>
      </c>
      <c r="H612" s="8"/>
      <c r="I612" s="8"/>
      <c r="J612" s="41">
        <f>J611+Table234535[[#This Row],[AMOUNT]]-Table234535[[#This Row],[AMOUNT2]]-Table234535[[#This Row],[AMOUNT3]]</f>
        <v>-42074</v>
      </c>
      <c r="K612" s="79"/>
    </row>
    <row r="613" spans="1:11" hidden="1" x14ac:dyDescent="0.35">
      <c r="A613" s="64" t="s">
        <v>777</v>
      </c>
      <c r="B613" s="8"/>
      <c r="C613" s="8"/>
      <c r="D613" s="8" t="s">
        <v>65</v>
      </c>
      <c r="E613" s="8" t="s">
        <v>679</v>
      </c>
      <c r="F613" s="9" t="s">
        <v>1</v>
      </c>
      <c r="G613" s="13">
        <v>500</v>
      </c>
      <c r="H613" s="8"/>
      <c r="I613" s="8"/>
      <c r="J613" s="41">
        <f>J612+Table234535[[#This Row],[AMOUNT]]-Table234535[[#This Row],[AMOUNT2]]-Table234535[[#This Row],[AMOUNT3]]</f>
        <v>-42574</v>
      </c>
      <c r="K613" s="79"/>
    </row>
    <row r="614" spans="1:11" hidden="1" x14ac:dyDescent="0.35">
      <c r="A614" s="64" t="s">
        <v>779</v>
      </c>
      <c r="B614" s="8"/>
      <c r="C614" s="8"/>
      <c r="D614" s="8" t="s">
        <v>65</v>
      </c>
      <c r="E614" s="8" t="s">
        <v>68</v>
      </c>
      <c r="F614" s="9" t="s">
        <v>500</v>
      </c>
      <c r="G614" s="13">
        <v>1600</v>
      </c>
      <c r="H614" s="8"/>
      <c r="I614" s="8"/>
      <c r="J614" s="41">
        <f>J613+Table234535[[#This Row],[AMOUNT]]-Table234535[[#This Row],[AMOUNT2]]-Table234535[[#This Row],[AMOUNT3]]</f>
        <v>-44174</v>
      </c>
      <c r="K614" s="79"/>
    </row>
    <row r="615" spans="1:11" hidden="1" x14ac:dyDescent="0.35">
      <c r="A615" s="64" t="s">
        <v>779</v>
      </c>
      <c r="B615" s="8"/>
      <c r="C615" s="8"/>
      <c r="D615" s="8" t="s">
        <v>65</v>
      </c>
      <c r="E615" s="8" t="s">
        <v>16</v>
      </c>
      <c r="F615" s="9" t="s">
        <v>680</v>
      </c>
      <c r="G615" s="13">
        <v>900</v>
      </c>
      <c r="H615" s="8"/>
      <c r="I615" s="8"/>
      <c r="J615" s="41">
        <f>J614+Table234535[[#This Row],[AMOUNT]]-Table234535[[#This Row],[AMOUNT2]]-Table234535[[#This Row],[AMOUNT3]]</f>
        <v>-45074</v>
      </c>
      <c r="K615" s="81">
        <v>25</v>
      </c>
    </row>
    <row r="616" spans="1:11" hidden="1" x14ac:dyDescent="0.35">
      <c r="A616" s="64" t="s">
        <v>780</v>
      </c>
      <c r="B616" s="8" t="s">
        <v>45</v>
      </c>
      <c r="C616" s="23">
        <v>10000</v>
      </c>
      <c r="D616" s="8" t="s">
        <v>65</v>
      </c>
      <c r="E616" s="8" t="s">
        <v>20</v>
      </c>
      <c r="F616" s="9" t="s">
        <v>778</v>
      </c>
      <c r="G616" s="13">
        <v>4300</v>
      </c>
      <c r="H616" s="8"/>
      <c r="I616" s="8"/>
      <c r="J616" s="41">
        <f>J615+Table234535[[#This Row],[AMOUNT]]-Table234535[[#This Row],[AMOUNT2]]-Table234535[[#This Row],[AMOUNT3]]</f>
        <v>-39374</v>
      </c>
      <c r="K616" s="81"/>
    </row>
    <row r="617" spans="1:11" hidden="1" x14ac:dyDescent="0.35">
      <c r="A617" s="64" t="s">
        <v>780</v>
      </c>
      <c r="B617" s="8"/>
      <c r="C617" s="8"/>
      <c r="D617" s="8" t="s">
        <v>65</v>
      </c>
      <c r="E617" s="8" t="s">
        <v>68</v>
      </c>
      <c r="F617" s="9" t="s">
        <v>500</v>
      </c>
      <c r="G617" s="13">
        <v>1600</v>
      </c>
      <c r="H617" s="8"/>
      <c r="I617" s="8"/>
      <c r="J617" s="41">
        <f>J616+Table234535[[#This Row],[AMOUNT]]-Table234535[[#This Row],[AMOUNT2]]-Table234535[[#This Row],[AMOUNT3]]</f>
        <v>-40974</v>
      </c>
      <c r="K617" s="81"/>
    </row>
    <row r="618" spans="1:11" hidden="1" x14ac:dyDescent="0.35">
      <c r="A618" s="64" t="s">
        <v>780</v>
      </c>
      <c r="B618" s="8"/>
      <c r="C618" s="8"/>
      <c r="D618" s="8" t="s">
        <v>65</v>
      </c>
      <c r="E618" s="8" t="s">
        <v>16</v>
      </c>
      <c r="F618" s="9" t="s">
        <v>680</v>
      </c>
      <c r="G618" s="13">
        <v>900</v>
      </c>
      <c r="H618" s="8"/>
      <c r="I618" s="8"/>
      <c r="J618" s="41">
        <f>J617+Table234535[[#This Row],[AMOUNT]]-Table234535[[#This Row],[AMOUNT2]]-Table234535[[#This Row],[AMOUNT3]]</f>
        <v>-41874</v>
      </c>
      <c r="K618" s="81"/>
    </row>
    <row r="619" spans="1:11" hidden="1" x14ac:dyDescent="0.35">
      <c r="A619" s="64" t="s">
        <v>781</v>
      </c>
      <c r="B619" s="8" t="s">
        <v>45</v>
      </c>
      <c r="C619" s="23">
        <v>10000</v>
      </c>
      <c r="D619" s="8" t="s">
        <v>953</v>
      </c>
      <c r="E619" s="8" t="s">
        <v>34</v>
      </c>
      <c r="F619" s="9" t="s">
        <v>782</v>
      </c>
      <c r="G619" s="13">
        <v>1900</v>
      </c>
      <c r="H619" s="8"/>
      <c r="I619" s="8"/>
      <c r="J619" s="41">
        <f>J618+Table234535[[#This Row],[AMOUNT]]-Table234535[[#This Row],[AMOUNT2]]-Table234535[[#This Row],[AMOUNT3]]</f>
        <v>-33774</v>
      </c>
      <c r="K619" s="81"/>
    </row>
    <row r="620" spans="1:11" hidden="1" x14ac:dyDescent="0.35">
      <c r="A620" s="64" t="s">
        <v>781</v>
      </c>
      <c r="B620" s="110"/>
      <c r="C620" s="110"/>
      <c r="D620" s="8" t="s">
        <v>953</v>
      </c>
      <c r="E620" s="8" t="s">
        <v>68</v>
      </c>
      <c r="F620" s="9" t="s">
        <v>500</v>
      </c>
      <c r="G620" s="13">
        <v>1600</v>
      </c>
      <c r="H620" s="8"/>
      <c r="I620" s="8"/>
      <c r="J620" s="41">
        <f>J619+Table234535[[#This Row],[AMOUNT]]-Table234535[[#This Row],[AMOUNT2]]-Table234535[[#This Row],[AMOUNT3]]</f>
        <v>-35374</v>
      </c>
      <c r="K620" s="81"/>
    </row>
    <row r="621" spans="1:11" hidden="1" x14ac:dyDescent="0.35">
      <c r="A621" s="64" t="s">
        <v>781</v>
      </c>
      <c r="B621" s="8"/>
      <c r="C621" s="8"/>
      <c r="D621" s="8" t="s">
        <v>65</v>
      </c>
      <c r="E621" s="8" t="s">
        <v>68</v>
      </c>
      <c r="F621" s="9" t="s">
        <v>500</v>
      </c>
      <c r="G621" s="13">
        <v>1600</v>
      </c>
      <c r="H621" s="8"/>
      <c r="I621" s="8"/>
      <c r="J621" s="41">
        <f>J620+Table234535[[#This Row],[AMOUNT]]-Table234535[[#This Row],[AMOUNT2]]-Table234535[[#This Row],[AMOUNT3]]</f>
        <v>-36974</v>
      </c>
      <c r="K621" s="81"/>
    </row>
    <row r="622" spans="1:11" hidden="1" x14ac:dyDescent="0.35">
      <c r="A622" s="64" t="s">
        <v>781</v>
      </c>
      <c r="B622" s="8"/>
      <c r="C622" s="8"/>
      <c r="D622" s="8" t="s">
        <v>65</v>
      </c>
      <c r="E622" s="8" t="s">
        <v>16</v>
      </c>
      <c r="F622" s="9" t="s">
        <v>680</v>
      </c>
      <c r="G622" s="13">
        <v>900</v>
      </c>
      <c r="H622" s="8"/>
      <c r="I622" s="8"/>
      <c r="J622" s="41">
        <f>J621+Table234535[[#This Row],[AMOUNT]]-Table234535[[#This Row],[AMOUNT2]]-Table234535[[#This Row],[AMOUNT3]]</f>
        <v>-37874</v>
      </c>
      <c r="K622" s="81"/>
    </row>
    <row r="623" spans="1:11" hidden="1" x14ac:dyDescent="0.35">
      <c r="A623" s="64" t="s">
        <v>783</v>
      </c>
      <c r="B623" s="8"/>
      <c r="C623" s="8"/>
      <c r="D623" s="8" t="s">
        <v>953</v>
      </c>
      <c r="E623" s="8" t="s">
        <v>82</v>
      </c>
      <c r="F623" s="9" t="s">
        <v>784</v>
      </c>
      <c r="G623" s="13">
        <v>1000</v>
      </c>
      <c r="H623" s="8"/>
      <c r="I623" s="8"/>
      <c r="J623" s="41">
        <f>J622+Table234535[[#This Row],[AMOUNT]]-Table234535[[#This Row],[AMOUNT2]]-Table234535[[#This Row],[AMOUNT3]]</f>
        <v>-38874</v>
      </c>
      <c r="K623" s="81"/>
    </row>
    <row r="624" spans="1:11" hidden="1" x14ac:dyDescent="0.35">
      <c r="A624" s="64" t="s">
        <v>783</v>
      </c>
      <c r="B624" s="8"/>
      <c r="C624" s="8"/>
      <c r="D624" s="8" t="s">
        <v>953</v>
      </c>
      <c r="E624" s="8" t="s">
        <v>68</v>
      </c>
      <c r="F624" s="9" t="s">
        <v>262</v>
      </c>
      <c r="G624" s="13">
        <v>2400</v>
      </c>
      <c r="H624" s="8"/>
      <c r="I624" s="8"/>
      <c r="J624" s="41">
        <f>J623+Table234535[[#This Row],[AMOUNT]]-Table234535[[#This Row],[AMOUNT2]]-Table234535[[#This Row],[AMOUNT3]]</f>
        <v>-41274</v>
      </c>
      <c r="K624" s="81"/>
    </row>
    <row r="625" spans="1:12" hidden="1" x14ac:dyDescent="0.35">
      <c r="A625" s="64" t="s">
        <v>783</v>
      </c>
      <c r="B625" s="8"/>
      <c r="C625" s="8"/>
      <c r="D625" s="8" t="s">
        <v>953</v>
      </c>
      <c r="E625" s="8" t="s">
        <v>0</v>
      </c>
      <c r="F625" s="9" t="s">
        <v>785</v>
      </c>
      <c r="G625" s="13">
        <v>120</v>
      </c>
      <c r="H625" s="8"/>
      <c r="I625" s="8"/>
      <c r="J625" s="41">
        <f>J624+Table234535[[#This Row],[AMOUNT]]-Table234535[[#This Row],[AMOUNT2]]-Table234535[[#This Row],[AMOUNT3]]</f>
        <v>-41394</v>
      </c>
      <c r="K625" s="81"/>
    </row>
    <row r="626" spans="1:12" hidden="1" x14ac:dyDescent="0.35">
      <c r="A626" s="64" t="s">
        <v>783</v>
      </c>
      <c r="B626" s="8"/>
      <c r="C626" s="8"/>
      <c r="D626" s="8" t="s">
        <v>953</v>
      </c>
      <c r="E626" s="8" t="s">
        <v>24</v>
      </c>
      <c r="F626" s="9" t="s">
        <v>786</v>
      </c>
      <c r="G626" s="13">
        <v>2000</v>
      </c>
      <c r="H626" s="8"/>
      <c r="I626" s="8"/>
      <c r="J626" s="41">
        <f>J625+Table234535[[#This Row],[AMOUNT]]-Table234535[[#This Row],[AMOUNT2]]-Table234535[[#This Row],[AMOUNT3]]</f>
        <v>-43394</v>
      </c>
      <c r="K626" s="81">
        <v>20</v>
      </c>
    </row>
    <row r="627" spans="1:12" hidden="1" x14ac:dyDescent="0.35">
      <c r="A627" s="64" t="s">
        <v>787</v>
      </c>
      <c r="B627" s="8" t="s">
        <v>45</v>
      </c>
      <c r="C627" s="23">
        <v>8000</v>
      </c>
      <c r="D627" s="8" t="s">
        <v>65</v>
      </c>
      <c r="E627" s="8" t="s">
        <v>16</v>
      </c>
      <c r="F627" s="9" t="s">
        <v>680</v>
      </c>
      <c r="G627" s="13">
        <v>900</v>
      </c>
      <c r="H627" s="8"/>
      <c r="I627" s="8"/>
      <c r="J627" s="41">
        <f>J626+Table234535[[#This Row],[AMOUNT]]-Table234535[[#This Row],[AMOUNT2]]-Table234535[[#This Row],[AMOUNT3]]</f>
        <v>-36294</v>
      </c>
      <c r="K627" s="79"/>
    </row>
    <row r="628" spans="1:12" hidden="1" x14ac:dyDescent="0.35">
      <c r="A628" s="64" t="s">
        <v>787</v>
      </c>
      <c r="B628" s="8"/>
      <c r="C628" s="8"/>
      <c r="D628" s="8" t="s">
        <v>953</v>
      </c>
      <c r="E628" s="8" t="s">
        <v>679</v>
      </c>
      <c r="F628" s="9" t="s">
        <v>788</v>
      </c>
      <c r="G628" s="13">
        <v>1000</v>
      </c>
      <c r="H628" s="8"/>
      <c r="I628" s="8"/>
      <c r="J628" s="41">
        <f>J627+Table234535[[#This Row],[AMOUNT]]-Table234535[[#This Row],[AMOUNT2]]-Table234535[[#This Row],[AMOUNT3]]</f>
        <v>-37294</v>
      </c>
      <c r="K628" s="79"/>
    </row>
    <row r="629" spans="1:12" hidden="1" x14ac:dyDescent="0.35">
      <c r="A629" s="64" t="s">
        <v>787</v>
      </c>
      <c r="B629" s="8"/>
      <c r="C629" s="8"/>
      <c r="D629" s="8" t="s">
        <v>953</v>
      </c>
      <c r="E629" s="8" t="s">
        <v>34</v>
      </c>
      <c r="F629" s="9" t="s">
        <v>789</v>
      </c>
      <c r="G629" s="13">
        <v>1900</v>
      </c>
      <c r="H629" s="8" t="s">
        <v>64</v>
      </c>
      <c r="I629" s="8">
        <v>8000</v>
      </c>
      <c r="J629" s="41">
        <f>J628+Table234535[[#This Row],[AMOUNT]]-Table234535[[#This Row],[AMOUNT2]]-Table234535[[#This Row],[AMOUNT3]]</f>
        <v>-47194</v>
      </c>
      <c r="K629" s="79"/>
    </row>
    <row r="630" spans="1:12" hidden="1" x14ac:dyDescent="0.35">
      <c r="A630" s="64" t="s">
        <v>787</v>
      </c>
      <c r="B630" s="8"/>
      <c r="C630" s="8"/>
      <c r="D630" s="8" t="s">
        <v>953</v>
      </c>
      <c r="E630" s="8" t="s">
        <v>771</v>
      </c>
      <c r="F630" s="9" t="s">
        <v>790</v>
      </c>
      <c r="G630" s="13">
        <v>1150</v>
      </c>
      <c r="H630" s="8"/>
      <c r="I630" s="8"/>
      <c r="J630" s="41">
        <f>J629+Table234535[[#This Row],[AMOUNT]]-Table234535[[#This Row],[AMOUNT2]]-Table234535[[#This Row],[AMOUNT3]]</f>
        <v>-48344</v>
      </c>
      <c r="K630" s="79"/>
    </row>
    <row r="631" spans="1:12" hidden="1" x14ac:dyDescent="0.35">
      <c r="A631" s="64" t="s">
        <v>791</v>
      </c>
      <c r="B631" s="8" t="s">
        <v>50</v>
      </c>
      <c r="C631" s="23">
        <v>10000</v>
      </c>
      <c r="D631" s="8" t="s">
        <v>65</v>
      </c>
      <c r="E631" s="8" t="s">
        <v>68</v>
      </c>
      <c r="F631" s="9" t="s">
        <v>83</v>
      </c>
      <c r="G631" s="13">
        <v>800</v>
      </c>
      <c r="H631" s="8"/>
      <c r="I631" s="8"/>
      <c r="J631" s="41">
        <f>J630+Table234535[[#This Row],[AMOUNT]]-Table234535[[#This Row],[AMOUNT2]]-Table234535[[#This Row],[AMOUNT3]]</f>
        <v>-39144</v>
      </c>
      <c r="K631" s="79"/>
    </row>
    <row r="632" spans="1:12" hidden="1" x14ac:dyDescent="0.35">
      <c r="A632" s="64" t="s">
        <v>791</v>
      </c>
      <c r="B632" s="8"/>
      <c r="C632" s="8"/>
      <c r="D632" s="8" t="s">
        <v>65</v>
      </c>
      <c r="E632" s="8" t="s">
        <v>68</v>
      </c>
      <c r="F632" s="9" t="s">
        <v>680</v>
      </c>
      <c r="G632" s="13">
        <v>900</v>
      </c>
      <c r="H632" s="8"/>
      <c r="I632" s="8"/>
      <c r="J632" s="41">
        <f>J631+Table234535[[#This Row],[AMOUNT]]-Table234535[[#This Row],[AMOUNT2]]-Table234535[[#This Row],[AMOUNT3]]</f>
        <v>-40044</v>
      </c>
      <c r="K632" s="79"/>
    </row>
    <row r="633" spans="1:12" hidden="1" x14ac:dyDescent="0.35">
      <c r="A633" s="64" t="s">
        <v>791</v>
      </c>
      <c r="B633" s="8"/>
      <c r="C633" s="8"/>
      <c r="D633" s="8" t="s">
        <v>953</v>
      </c>
      <c r="E633" s="8" t="s">
        <v>68</v>
      </c>
      <c r="F633" s="9" t="s">
        <v>792</v>
      </c>
      <c r="G633" s="13">
        <v>4000</v>
      </c>
      <c r="H633" s="8"/>
      <c r="I633" s="8"/>
      <c r="J633" s="41">
        <f>J632+Table234535[[#This Row],[AMOUNT]]-Table234535[[#This Row],[AMOUNT2]]-Table234535[[#This Row],[AMOUNT3]]</f>
        <v>-44044</v>
      </c>
      <c r="K633" s="79"/>
    </row>
    <row r="634" spans="1:12" hidden="1" x14ac:dyDescent="0.35">
      <c r="A634" s="64" t="s">
        <v>791</v>
      </c>
      <c r="B634" s="8"/>
      <c r="C634" s="8"/>
      <c r="D634" s="8" t="s">
        <v>953</v>
      </c>
      <c r="E634" s="8" t="s">
        <v>679</v>
      </c>
      <c r="F634" s="9" t="s">
        <v>793</v>
      </c>
      <c r="G634" s="13">
        <v>500</v>
      </c>
      <c r="H634" s="8"/>
      <c r="I634" s="8"/>
      <c r="J634" s="41">
        <f>J633+Table234535[[#This Row],[AMOUNT]]-Table234535[[#This Row],[AMOUNT2]]-Table234535[[#This Row],[AMOUNT3]]</f>
        <v>-44544</v>
      </c>
      <c r="K634" s="79"/>
    </row>
    <row r="635" spans="1:12" hidden="1" x14ac:dyDescent="0.35">
      <c r="A635" s="64" t="s">
        <v>791</v>
      </c>
      <c r="B635" s="8"/>
      <c r="C635" s="8"/>
      <c r="D635" s="8" t="s">
        <v>65</v>
      </c>
      <c r="E635" s="8" t="s">
        <v>679</v>
      </c>
      <c r="F635" s="9" t="s">
        <v>793</v>
      </c>
      <c r="G635" s="13">
        <v>500</v>
      </c>
      <c r="H635" s="8"/>
      <c r="I635" s="8"/>
      <c r="J635" s="41">
        <f>J634+Table234535[[#This Row],[AMOUNT]]-Table234535[[#This Row],[AMOUNT2]]-Table234535[[#This Row],[AMOUNT3]]</f>
        <v>-45044</v>
      </c>
      <c r="K635" s="79"/>
    </row>
    <row r="636" spans="1:12" hidden="1" x14ac:dyDescent="0.35">
      <c r="A636" s="64" t="s">
        <v>791</v>
      </c>
      <c r="B636" s="8"/>
      <c r="C636" s="8"/>
      <c r="D636" s="8" t="s">
        <v>953</v>
      </c>
      <c r="E636" s="8" t="s">
        <v>0</v>
      </c>
      <c r="F636" s="9" t="s">
        <v>794</v>
      </c>
      <c r="G636" s="13">
        <v>200</v>
      </c>
      <c r="H636" s="8" t="s">
        <v>57</v>
      </c>
      <c r="I636" s="23">
        <v>6600</v>
      </c>
      <c r="J636" s="41">
        <f>J635+Table234535[[#This Row],[AMOUNT]]-Table234535[[#This Row],[AMOUNT2]]-Table234535[[#This Row],[AMOUNT3]]</f>
        <v>-51844</v>
      </c>
      <c r="K636" s="79"/>
    </row>
    <row r="637" spans="1:12" hidden="1" x14ac:dyDescent="0.35">
      <c r="A637" s="64" t="s">
        <v>795</v>
      </c>
      <c r="B637" s="8" t="s">
        <v>392</v>
      </c>
      <c r="C637" s="23">
        <v>9500</v>
      </c>
      <c r="D637" s="8" t="s">
        <v>65</v>
      </c>
      <c r="E637" s="8" t="s">
        <v>68</v>
      </c>
      <c r="F637" s="9" t="s">
        <v>676</v>
      </c>
      <c r="G637" s="13">
        <v>900</v>
      </c>
      <c r="H637" s="8"/>
      <c r="I637" s="8"/>
      <c r="J637" s="41">
        <f>J636+Table234535[[#This Row],[AMOUNT]]-Table234535[[#This Row],[AMOUNT2]]-Table234535[[#This Row],[AMOUNT3]]</f>
        <v>-43244</v>
      </c>
      <c r="K637" s="79"/>
    </row>
    <row r="638" spans="1:12" hidden="1" x14ac:dyDescent="0.35">
      <c r="A638" s="112" t="s">
        <v>795</v>
      </c>
      <c r="B638" s="113"/>
      <c r="C638" s="113"/>
      <c r="D638" s="8" t="s">
        <v>953</v>
      </c>
      <c r="E638" s="113" t="s">
        <v>682</v>
      </c>
      <c r="F638" s="96" t="s">
        <v>796</v>
      </c>
      <c r="G638" s="107">
        <v>4000</v>
      </c>
      <c r="H638" s="113"/>
      <c r="I638" s="113"/>
      <c r="J638" s="41">
        <f>J637+Table234535[[#This Row],[AMOUNT]]-Table234535[[#This Row],[AMOUNT2]]-Table234535[[#This Row],[AMOUNT3]]</f>
        <v>-47244</v>
      </c>
      <c r="K638" s="79"/>
      <c r="L638" s="100"/>
    </row>
    <row r="639" spans="1:12" hidden="1" x14ac:dyDescent="0.35">
      <c r="A639" s="64" t="s">
        <v>795</v>
      </c>
      <c r="B639" s="8"/>
      <c r="C639" s="8"/>
      <c r="D639" s="8" t="s">
        <v>953</v>
      </c>
      <c r="E639" s="8" t="s">
        <v>24</v>
      </c>
      <c r="F639" s="9" t="s">
        <v>797</v>
      </c>
      <c r="G639" s="13">
        <v>2000</v>
      </c>
      <c r="H639" s="8" t="s">
        <v>57</v>
      </c>
      <c r="I639" s="23">
        <v>9500</v>
      </c>
      <c r="J639" s="41">
        <f>J638+Table234535[[#This Row],[AMOUNT]]-Table234535[[#This Row],[AMOUNT2]]-Table234535[[#This Row],[AMOUNT3]]</f>
        <v>-58744</v>
      </c>
      <c r="K639" s="79"/>
    </row>
    <row r="640" spans="1:12" hidden="1" x14ac:dyDescent="0.35">
      <c r="A640" s="64" t="s">
        <v>798</v>
      </c>
      <c r="B640" s="8" t="s">
        <v>45</v>
      </c>
      <c r="C640" s="23">
        <v>3000</v>
      </c>
      <c r="D640" s="8"/>
      <c r="E640" s="8"/>
      <c r="F640" s="9"/>
      <c r="G640" s="13"/>
      <c r="H640" s="8"/>
      <c r="I640" s="8"/>
      <c r="J640" s="41">
        <f>J639+Table234535[[#This Row],[AMOUNT]]-Table234535[[#This Row],[AMOUNT2]]-Table234535[[#This Row],[AMOUNT3]]</f>
        <v>-55744</v>
      </c>
      <c r="K640" s="79"/>
    </row>
    <row r="641" spans="1:11" hidden="1" x14ac:dyDescent="0.35">
      <c r="A641" s="64" t="s">
        <v>798</v>
      </c>
      <c r="B641" s="8" t="s">
        <v>45</v>
      </c>
      <c r="C641" s="23">
        <v>12000</v>
      </c>
      <c r="D641" s="8"/>
      <c r="E641" s="8"/>
      <c r="F641" s="9"/>
      <c r="G641" s="13"/>
      <c r="H641" s="8"/>
      <c r="I641" s="8"/>
      <c r="J641" s="41">
        <f>J640+Table234535[[#This Row],[AMOUNT]]-Table234535[[#This Row],[AMOUNT2]]-Table234535[[#This Row],[AMOUNT3]]</f>
        <v>-43744</v>
      </c>
      <c r="K641" s="79"/>
    </row>
    <row r="642" spans="1:11" hidden="1" x14ac:dyDescent="0.35">
      <c r="A642" s="64" t="s">
        <v>798</v>
      </c>
      <c r="B642" s="8" t="s">
        <v>45</v>
      </c>
      <c r="C642" s="23">
        <v>2000</v>
      </c>
      <c r="D642" s="8" t="s">
        <v>953</v>
      </c>
      <c r="E642" s="8" t="s">
        <v>27</v>
      </c>
      <c r="F642" s="9" t="s">
        <v>72</v>
      </c>
      <c r="G642" s="13">
        <v>2000</v>
      </c>
      <c r="H642" s="8"/>
      <c r="I642" s="8"/>
      <c r="J642" s="41">
        <f>J641+Table234535[[#This Row],[AMOUNT]]-Table234535[[#This Row],[AMOUNT2]]-Table234535[[#This Row],[AMOUNT3]]</f>
        <v>-43744</v>
      </c>
      <c r="K642" s="79"/>
    </row>
    <row r="643" spans="1:11" hidden="1" x14ac:dyDescent="0.35">
      <c r="A643" s="64" t="s">
        <v>798</v>
      </c>
      <c r="B643" s="8"/>
      <c r="C643" s="8"/>
      <c r="D643" s="8" t="s">
        <v>953</v>
      </c>
      <c r="E643" s="8" t="s">
        <v>27</v>
      </c>
      <c r="F643" s="9" t="s">
        <v>799</v>
      </c>
      <c r="G643" s="13">
        <v>12000</v>
      </c>
      <c r="H643" s="8"/>
      <c r="I643" s="8"/>
      <c r="J643" s="41">
        <f>J642+Table234535[[#This Row],[AMOUNT]]-Table234535[[#This Row],[AMOUNT2]]-Table234535[[#This Row],[AMOUNT3]]</f>
        <v>-55744</v>
      </c>
      <c r="K643" s="79"/>
    </row>
    <row r="644" spans="1:11" hidden="1" x14ac:dyDescent="0.35">
      <c r="A644" s="64" t="s">
        <v>798</v>
      </c>
      <c r="B644" s="8"/>
      <c r="C644" s="8"/>
      <c r="D644" s="8" t="s">
        <v>65</v>
      </c>
      <c r="E644" s="8" t="s">
        <v>68</v>
      </c>
      <c r="F644" s="9" t="s">
        <v>83</v>
      </c>
      <c r="G644" s="13">
        <v>800</v>
      </c>
      <c r="H644" s="8"/>
      <c r="I644" s="8"/>
      <c r="J644" s="41">
        <f>J643+Table234535[[#This Row],[AMOUNT]]-Table234535[[#This Row],[AMOUNT2]]-Table234535[[#This Row],[AMOUNT3]]</f>
        <v>-56544</v>
      </c>
      <c r="K644" s="79"/>
    </row>
    <row r="645" spans="1:11" hidden="1" x14ac:dyDescent="0.35">
      <c r="A645" s="64" t="s">
        <v>798</v>
      </c>
      <c r="B645" s="8"/>
      <c r="C645" s="8"/>
      <c r="D645" s="8" t="s">
        <v>65</v>
      </c>
      <c r="E645" s="8" t="s">
        <v>16</v>
      </c>
      <c r="F645" s="9" t="s">
        <v>676</v>
      </c>
      <c r="G645" s="13">
        <v>900</v>
      </c>
      <c r="H645" s="8"/>
      <c r="I645" s="8"/>
      <c r="J645" s="41">
        <f>J644+Table234535[[#This Row],[AMOUNT]]-Table234535[[#This Row],[AMOUNT2]]-Table234535[[#This Row],[AMOUNT3]]</f>
        <v>-57444</v>
      </c>
      <c r="K645" s="79"/>
    </row>
    <row r="646" spans="1:11" hidden="1" x14ac:dyDescent="0.35">
      <c r="A646" s="64" t="s">
        <v>798</v>
      </c>
      <c r="B646" s="8"/>
      <c r="C646" s="8"/>
      <c r="D646" s="8" t="s">
        <v>65</v>
      </c>
      <c r="E646" s="8" t="s">
        <v>38</v>
      </c>
      <c r="F646" s="9" t="s">
        <v>800</v>
      </c>
      <c r="G646" s="13">
        <v>6300</v>
      </c>
      <c r="H646" s="8"/>
      <c r="I646" s="8"/>
      <c r="J646" s="41">
        <f>J645+Table234535[[#This Row],[AMOUNT]]-Table234535[[#This Row],[AMOUNT2]]-Table234535[[#This Row],[AMOUNT3]]</f>
        <v>-63744</v>
      </c>
      <c r="K646" s="79"/>
    </row>
    <row r="647" spans="1:11" hidden="1" x14ac:dyDescent="0.35">
      <c r="A647" s="64" t="s">
        <v>798</v>
      </c>
      <c r="B647" s="8"/>
      <c r="C647" s="8"/>
      <c r="D647" s="8" t="s">
        <v>953</v>
      </c>
      <c r="E647" s="8" t="s">
        <v>24</v>
      </c>
      <c r="F647" s="9" t="s">
        <v>801</v>
      </c>
      <c r="G647" s="13">
        <v>3000</v>
      </c>
      <c r="H647" s="8"/>
      <c r="I647" s="8"/>
      <c r="J647" s="41">
        <f>J646+Table234535[[#This Row],[AMOUNT]]-Table234535[[#This Row],[AMOUNT2]]-Table234535[[#This Row],[AMOUNT3]]</f>
        <v>-66744</v>
      </c>
      <c r="K647" s="79"/>
    </row>
    <row r="648" spans="1:11" hidden="1" x14ac:dyDescent="0.35">
      <c r="A648" s="64" t="s">
        <v>802</v>
      </c>
      <c r="B648" s="8" t="s">
        <v>569</v>
      </c>
      <c r="C648" s="23">
        <v>25000</v>
      </c>
      <c r="D648" s="8" t="s">
        <v>65</v>
      </c>
      <c r="E648" s="8" t="s">
        <v>68</v>
      </c>
      <c r="F648" s="9" t="s">
        <v>467</v>
      </c>
      <c r="G648" s="13">
        <v>800</v>
      </c>
      <c r="H648" s="8"/>
      <c r="I648" s="8"/>
      <c r="J648" s="41">
        <f>J647+Table234535[[#This Row],[AMOUNT]]-Table234535[[#This Row],[AMOUNT2]]-Table234535[[#This Row],[AMOUNT3]]</f>
        <v>-42544</v>
      </c>
      <c r="K648" s="79"/>
    </row>
    <row r="649" spans="1:11" hidden="1" x14ac:dyDescent="0.35">
      <c r="A649" s="64" t="s">
        <v>802</v>
      </c>
      <c r="B649" s="8"/>
      <c r="C649" s="8"/>
      <c r="D649" s="8" t="s">
        <v>65</v>
      </c>
      <c r="E649" s="8" t="s">
        <v>16</v>
      </c>
      <c r="F649" s="9" t="s">
        <v>70</v>
      </c>
      <c r="G649" s="13">
        <v>900</v>
      </c>
      <c r="H649" s="8" t="s">
        <v>57</v>
      </c>
      <c r="I649" s="23">
        <v>10550</v>
      </c>
      <c r="J649" s="41">
        <f>J648+Table234535[[#This Row],[AMOUNT]]-Table234535[[#This Row],[AMOUNT2]]-Table234535[[#This Row],[AMOUNT3]]</f>
        <v>-53994</v>
      </c>
      <c r="K649" s="79"/>
    </row>
    <row r="650" spans="1:11" hidden="1" x14ac:dyDescent="0.35">
      <c r="A650" s="64" t="s">
        <v>802</v>
      </c>
      <c r="B650" s="8"/>
      <c r="C650" s="8"/>
      <c r="D650" s="8"/>
      <c r="E650" s="8"/>
      <c r="F650" s="9"/>
      <c r="G650" s="13"/>
      <c r="H650" s="8" t="s">
        <v>923</v>
      </c>
      <c r="I650" s="23">
        <v>5000</v>
      </c>
      <c r="J650" s="41">
        <f>J649+Table234535[[#This Row],[AMOUNT]]-Table234535[[#This Row],[AMOUNT2]]-Table234535[[#This Row],[AMOUNT3]]</f>
        <v>-58994</v>
      </c>
      <c r="K650" s="79"/>
    </row>
    <row r="651" spans="1:11" hidden="1" x14ac:dyDescent="0.35">
      <c r="A651" s="64" t="s">
        <v>842</v>
      </c>
      <c r="B651" s="8" t="s">
        <v>569</v>
      </c>
      <c r="C651" s="23">
        <v>30000</v>
      </c>
      <c r="D651" s="8"/>
      <c r="E651" s="8"/>
      <c r="F651" s="9"/>
      <c r="G651" s="13"/>
      <c r="H651" s="8"/>
      <c r="I651" s="8"/>
      <c r="J651" s="41">
        <f>J650+Table234535[[#This Row],[AMOUNT]]-Table234535[[#This Row],[AMOUNT2]]-Table234535[[#This Row],[AMOUNT3]]</f>
        <v>-28994</v>
      </c>
      <c r="K651" s="79"/>
    </row>
    <row r="652" spans="1:11" hidden="1" x14ac:dyDescent="0.35">
      <c r="A652" s="64" t="s">
        <v>842</v>
      </c>
      <c r="B652" s="8" t="s">
        <v>45</v>
      </c>
      <c r="C652" s="23">
        <v>5000</v>
      </c>
      <c r="D652" s="8" t="s">
        <v>953</v>
      </c>
      <c r="E652" s="8" t="s">
        <v>679</v>
      </c>
      <c r="F652" s="9" t="s">
        <v>924</v>
      </c>
      <c r="G652" s="13">
        <v>1610</v>
      </c>
      <c r="H652" s="8"/>
      <c r="I652" s="8"/>
      <c r="J652" s="41">
        <f>J651+Table234535[[#This Row],[AMOUNT]]-Table234535[[#This Row],[AMOUNT2]]-Table234535[[#This Row],[AMOUNT3]]</f>
        <v>-25604</v>
      </c>
      <c r="K652" s="79"/>
    </row>
    <row r="653" spans="1:11" hidden="1" x14ac:dyDescent="0.35">
      <c r="A653" s="64" t="s">
        <v>842</v>
      </c>
      <c r="B653" s="8"/>
      <c r="C653" s="8"/>
      <c r="D653" s="8" t="s">
        <v>65</v>
      </c>
      <c r="E653" s="8" t="s">
        <v>68</v>
      </c>
      <c r="F653" s="9" t="s">
        <v>467</v>
      </c>
      <c r="G653" s="13">
        <v>800</v>
      </c>
      <c r="H653" s="8"/>
      <c r="I653" s="8"/>
      <c r="J653" s="41">
        <f>J652+Table234535[[#This Row],[AMOUNT]]-Table234535[[#This Row],[AMOUNT2]]-Table234535[[#This Row],[AMOUNT3]]</f>
        <v>-26404</v>
      </c>
      <c r="K653" s="79"/>
    </row>
    <row r="654" spans="1:11" hidden="1" x14ac:dyDescent="0.35">
      <c r="A654" s="64" t="s">
        <v>842</v>
      </c>
      <c r="B654" s="8"/>
      <c r="C654" s="8"/>
      <c r="D654" s="8" t="s">
        <v>65</v>
      </c>
      <c r="E654" s="8" t="s">
        <v>16</v>
      </c>
      <c r="F654" s="9" t="s">
        <v>70</v>
      </c>
      <c r="G654" s="13">
        <v>900</v>
      </c>
      <c r="H654" s="8"/>
      <c r="I654" s="8"/>
      <c r="J654" s="41">
        <f>J653+Table234535[[#This Row],[AMOUNT]]-Table234535[[#This Row],[AMOUNT2]]-Table234535[[#This Row],[AMOUNT3]]</f>
        <v>-27304</v>
      </c>
      <c r="K654" s="79"/>
    </row>
    <row r="655" spans="1:11" hidden="1" x14ac:dyDescent="0.35">
      <c r="A655" s="64" t="s">
        <v>842</v>
      </c>
      <c r="B655" s="8"/>
      <c r="C655" s="8"/>
      <c r="D655" s="8" t="s">
        <v>584</v>
      </c>
      <c r="E655" s="8" t="s">
        <v>679</v>
      </c>
      <c r="F655" s="9" t="s">
        <v>925</v>
      </c>
      <c r="G655" s="13">
        <v>1280</v>
      </c>
      <c r="H655" s="8"/>
      <c r="I655" s="8"/>
      <c r="J655" s="41">
        <f>J654+Table234535[[#This Row],[AMOUNT]]-Table234535[[#This Row],[AMOUNT2]]-Table234535[[#This Row],[AMOUNT3]]</f>
        <v>-28584</v>
      </c>
      <c r="K655" s="79"/>
    </row>
    <row r="656" spans="1:11" hidden="1" x14ac:dyDescent="0.35">
      <c r="A656" s="64" t="s">
        <v>842</v>
      </c>
      <c r="B656" s="8"/>
      <c r="C656" s="8"/>
      <c r="D656" s="8" t="s">
        <v>584</v>
      </c>
      <c r="E656" s="8" t="s">
        <v>27</v>
      </c>
      <c r="F656" s="9" t="s">
        <v>28</v>
      </c>
      <c r="G656" s="13">
        <v>5000</v>
      </c>
      <c r="H656" s="8"/>
      <c r="I656" s="8"/>
      <c r="J656" s="41">
        <f>J655+Table234535[[#This Row],[AMOUNT]]-Table234535[[#This Row],[AMOUNT2]]-Table234535[[#This Row],[AMOUNT3]]</f>
        <v>-33584</v>
      </c>
      <c r="K656" s="79"/>
    </row>
    <row r="657" spans="1:11" hidden="1" x14ac:dyDescent="0.35">
      <c r="A657" s="64" t="s">
        <v>844</v>
      </c>
      <c r="B657" s="8"/>
      <c r="C657" s="8"/>
      <c r="D657" s="8" t="s">
        <v>65</v>
      </c>
      <c r="E657" s="8" t="s">
        <v>0</v>
      </c>
      <c r="F657" s="9" t="s">
        <v>926</v>
      </c>
      <c r="G657" s="13">
        <v>350</v>
      </c>
      <c r="H657" s="8"/>
      <c r="I657" s="8"/>
      <c r="J657" s="41">
        <f>J656+Table234535[[#This Row],[AMOUNT]]-Table234535[[#This Row],[AMOUNT2]]-Table234535[[#This Row],[AMOUNT3]]</f>
        <v>-33934</v>
      </c>
      <c r="K657" s="79"/>
    </row>
    <row r="658" spans="1:11" hidden="1" x14ac:dyDescent="0.35">
      <c r="A658" s="64" t="s">
        <v>844</v>
      </c>
      <c r="B658" s="8"/>
      <c r="C658" s="8"/>
      <c r="D658" s="8" t="s">
        <v>65</v>
      </c>
      <c r="E658" s="8" t="s">
        <v>679</v>
      </c>
      <c r="F658" s="9" t="s">
        <v>693</v>
      </c>
      <c r="G658" s="13">
        <v>500</v>
      </c>
      <c r="H658" s="8"/>
      <c r="I658" s="8"/>
      <c r="J658" s="41">
        <f>J657+Table234535[[#This Row],[AMOUNT]]-Table234535[[#This Row],[AMOUNT2]]-Table234535[[#This Row],[AMOUNT3]]</f>
        <v>-34434</v>
      </c>
      <c r="K658" s="79"/>
    </row>
    <row r="659" spans="1:11" hidden="1" x14ac:dyDescent="0.35">
      <c r="A659" s="64" t="s">
        <v>844</v>
      </c>
      <c r="B659" s="8"/>
      <c r="C659" s="8"/>
      <c r="D659" s="8" t="s">
        <v>39</v>
      </c>
      <c r="E659" s="8" t="s">
        <v>679</v>
      </c>
      <c r="F659" s="9" t="s">
        <v>693</v>
      </c>
      <c r="G659" s="13">
        <v>500</v>
      </c>
      <c r="H659" s="8"/>
      <c r="I659" s="8"/>
      <c r="J659" s="41">
        <f>J658+Table234535[[#This Row],[AMOUNT]]-Table234535[[#This Row],[AMOUNT2]]-Table234535[[#This Row],[AMOUNT3]]</f>
        <v>-34934</v>
      </c>
      <c r="K659" s="79"/>
    </row>
    <row r="660" spans="1:11" hidden="1" x14ac:dyDescent="0.35">
      <c r="A660" s="64" t="s">
        <v>844</v>
      </c>
      <c r="B660" s="8"/>
      <c r="C660" s="8"/>
      <c r="D660" s="8" t="s">
        <v>65</v>
      </c>
      <c r="E660" s="8" t="s">
        <v>68</v>
      </c>
      <c r="F660" s="9" t="s">
        <v>467</v>
      </c>
      <c r="G660" s="13">
        <v>800</v>
      </c>
      <c r="H660" s="8"/>
      <c r="I660" s="8"/>
      <c r="J660" s="41">
        <f>J659+Table234535[[#This Row],[AMOUNT]]-Table234535[[#This Row],[AMOUNT2]]-Table234535[[#This Row],[AMOUNT3]]</f>
        <v>-35734</v>
      </c>
      <c r="K660" s="79"/>
    </row>
    <row r="661" spans="1:11" hidden="1" x14ac:dyDescent="0.35">
      <c r="A661" s="64" t="s">
        <v>844</v>
      </c>
      <c r="B661" s="8"/>
      <c r="C661" s="8"/>
      <c r="D661" s="8" t="s">
        <v>65</v>
      </c>
      <c r="E661" s="8" t="s">
        <v>16</v>
      </c>
      <c r="F661" s="9" t="s">
        <v>70</v>
      </c>
      <c r="G661" s="13">
        <v>900</v>
      </c>
      <c r="H661" s="8"/>
      <c r="I661" s="8"/>
      <c r="J661" s="41">
        <f>J660+Table234535[[#This Row],[AMOUNT]]-Table234535[[#This Row],[AMOUNT2]]-Table234535[[#This Row],[AMOUNT3]]</f>
        <v>-36634</v>
      </c>
      <c r="K661" s="79"/>
    </row>
    <row r="662" spans="1:11" hidden="1" x14ac:dyDescent="0.35">
      <c r="A662" s="64" t="s">
        <v>846</v>
      </c>
      <c r="B662" s="8"/>
      <c r="C662" s="8"/>
      <c r="D662" s="8" t="s">
        <v>65</v>
      </c>
      <c r="E662" s="8" t="s">
        <v>16</v>
      </c>
      <c r="F662" s="9" t="s">
        <v>70</v>
      </c>
      <c r="G662" s="13">
        <v>900</v>
      </c>
      <c r="H662" s="8"/>
      <c r="I662" s="8"/>
      <c r="J662" s="41">
        <f>J661+Table234535[[#This Row],[AMOUNT]]-Table234535[[#This Row],[AMOUNT2]]-Table234535[[#This Row],[AMOUNT3]]</f>
        <v>-37534</v>
      </c>
      <c r="K662" s="79"/>
    </row>
    <row r="663" spans="1:11" hidden="1" x14ac:dyDescent="0.35">
      <c r="A663" s="64" t="s">
        <v>846</v>
      </c>
      <c r="B663" s="8"/>
      <c r="C663" s="8"/>
      <c r="D663" s="8" t="s">
        <v>953</v>
      </c>
      <c r="E663" s="8" t="s">
        <v>68</v>
      </c>
      <c r="F663" s="9" t="s">
        <v>927</v>
      </c>
      <c r="G663" s="13">
        <v>1800</v>
      </c>
      <c r="H663" s="8"/>
      <c r="I663" s="8"/>
      <c r="J663" s="41">
        <f>J662+Table234535[[#This Row],[AMOUNT]]-Table234535[[#This Row],[AMOUNT2]]-Table234535[[#This Row],[AMOUNT3]]</f>
        <v>-39334</v>
      </c>
      <c r="K663" s="79"/>
    </row>
    <row r="664" spans="1:11" hidden="1" x14ac:dyDescent="0.35">
      <c r="A664" s="64" t="s">
        <v>846</v>
      </c>
      <c r="B664" s="8"/>
      <c r="C664" s="8"/>
      <c r="D664" s="8" t="s">
        <v>953</v>
      </c>
      <c r="E664" s="8" t="s">
        <v>16</v>
      </c>
      <c r="F664" s="9" t="s">
        <v>845</v>
      </c>
      <c r="G664" s="13">
        <v>2400</v>
      </c>
      <c r="H664" s="8"/>
      <c r="I664" s="8"/>
      <c r="J664" s="41">
        <f>J663+Table234535[[#This Row],[AMOUNT]]-Table234535[[#This Row],[AMOUNT2]]-Table234535[[#This Row],[AMOUNT3]]</f>
        <v>-41734</v>
      </c>
      <c r="K664" s="79"/>
    </row>
    <row r="665" spans="1:11" hidden="1" x14ac:dyDescent="0.35">
      <c r="A665" s="64" t="s">
        <v>846</v>
      </c>
      <c r="B665" s="8"/>
      <c r="C665" s="8"/>
      <c r="D665" s="8" t="s">
        <v>953</v>
      </c>
      <c r="E665" s="8" t="s">
        <v>679</v>
      </c>
      <c r="F665" s="9" t="s">
        <v>1</v>
      </c>
      <c r="G665" s="13">
        <v>500</v>
      </c>
      <c r="H665" s="8"/>
      <c r="I665" s="8"/>
      <c r="J665" s="41">
        <f>J664+Table234535[[#This Row],[AMOUNT]]-Table234535[[#This Row],[AMOUNT2]]-Table234535[[#This Row],[AMOUNT3]]</f>
        <v>-42234</v>
      </c>
      <c r="K665" s="79"/>
    </row>
    <row r="666" spans="1:11" hidden="1" x14ac:dyDescent="0.35">
      <c r="A666" s="64" t="s">
        <v>846</v>
      </c>
      <c r="B666" s="8"/>
      <c r="C666" s="8"/>
      <c r="D666" s="8" t="s">
        <v>39</v>
      </c>
      <c r="E666" s="8" t="s">
        <v>679</v>
      </c>
      <c r="F666" s="9" t="s">
        <v>1</v>
      </c>
      <c r="G666" s="13">
        <v>500</v>
      </c>
      <c r="H666" s="8"/>
      <c r="I666" s="8"/>
      <c r="J666" s="41">
        <f>J665+Table234535[[#This Row],[AMOUNT]]-Table234535[[#This Row],[AMOUNT2]]-Table234535[[#This Row],[AMOUNT3]]</f>
        <v>-42734</v>
      </c>
      <c r="K666" s="79"/>
    </row>
    <row r="667" spans="1:11" hidden="1" x14ac:dyDescent="0.35">
      <c r="A667" s="64" t="s">
        <v>849</v>
      </c>
      <c r="B667" s="8" t="s">
        <v>45</v>
      </c>
      <c r="C667" s="8">
        <v>7600</v>
      </c>
      <c r="D667" s="8"/>
      <c r="E667" s="8"/>
      <c r="F667" s="9"/>
      <c r="G667" s="13"/>
      <c r="H667" s="8"/>
      <c r="I667" s="8"/>
      <c r="J667" s="41">
        <f>J666+Table234535[[#This Row],[AMOUNT]]-Table234535[[#This Row],[AMOUNT2]]-Table234535[[#This Row],[AMOUNT3]]</f>
        <v>-35134</v>
      </c>
      <c r="K667" s="79"/>
    </row>
    <row r="668" spans="1:11" hidden="1" x14ac:dyDescent="0.35">
      <c r="A668" s="64" t="s">
        <v>849</v>
      </c>
      <c r="B668" s="8" t="s">
        <v>45</v>
      </c>
      <c r="C668" s="8">
        <v>7500</v>
      </c>
      <c r="D668" s="8"/>
      <c r="E668" s="8"/>
      <c r="F668" s="9"/>
      <c r="G668" s="13"/>
      <c r="H668" s="8"/>
      <c r="I668" s="8"/>
      <c r="J668" s="41">
        <f>J667+Table234535[[#This Row],[AMOUNT]]-Table234535[[#This Row],[AMOUNT2]]-Table234535[[#This Row],[AMOUNT3]]</f>
        <v>-27634</v>
      </c>
      <c r="K668" s="79"/>
    </row>
    <row r="669" spans="1:11" hidden="1" x14ac:dyDescent="0.35">
      <c r="A669" s="64" t="s">
        <v>849</v>
      </c>
      <c r="B669" s="8" t="s">
        <v>569</v>
      </c>
      <c r="C669" s="8">
        <v>10000</v>
      </c>
      <c r="D669" s="8" t="s">
        <v>65</v>
      </c>
      <c r="E669" s="8" t="s">
        <v>16</v>
      </c>
      <c r="F669" s="9" t="s">
        <v>70</v>
      </c>
      <c r="G669" s="13">
        <v>900</v>
      </c>
      <c r="H669" s="8"/>
      <c r="I669" s="8"/>
      <c r="J669" s="41">
        <f>J668+Table234535[[#This Row],[AMOUNT]]-Table234535[[#This Row],[AMOUNT2]]-Table234535[[#This Row],[AMOUNT3]]</f>
        <v>-18534</v>
      </c>
      <c r="K669" s="79"/>
    </row>
    <row r="670" spans="1:11" hidden="1" x14ac:dyDescent="0.35">
      <c r="A670" s="64" t="s">
        <v>849</v>
      </c>
      <c r="B670" s="8"/>
      <c r="C670" s="8"/>
      <c r="D670" s="8" t="s">
        <v>953</v>
      </c>
      <c r="E670" s="8" t="s">
        <v>68</v>
      </c>
      <c r="F670" s="9" t="s">
        <v>927</v>
      </c>
      <c r="G670" s="13">
        <v>1800</v>
      </c>
      <c r="H670" s="8"/>
      <c r="I670" s="8"/>
      <c r="J670" s="41">
        <f>J669+Table234535[[#This Row],[AMOUNT]]-Table234535[[#This Row],[AMOUNT2]]-Table234535[[#This Row],[AMOUNT3]]</f>
        <v>-20334</v>
      </c>
      <c r="K670" s="79"/>
    </row>
    <row r="671" spans="1:11" hidden="1" x14ac:dyDescent="0.35">
      <c r="A671" s="64" t="s">
        <v>849</v>
      </c>
      <c r="B671" s="8"/>
      <c r="C671" s="8"/>
      <c r="D671" s="8" t="s">
        <v>953</v>
      </c>
      <c r="E671" s="8" t="s">
        <v>16</v>
      </c>
      <c r="F671" s="9" t="s">
        <v>845</v>
      </c>
      <c r="G671" s="13">
        <v>2400</v>
      </c>
      <c r="H671" s="8"/>
      <c r="I671" s="8"/>
      <c r="J671" s="41">
        <f>J670+Table234535[[#This Row],[AMOUNT]]-Table234535[[#This Row],[AMOUNT2]]-Table234535[[#This Row],[AMOUNT3]]</f>
        <v>-22734</v>
      </c>
      <c r="K671" s="79"/>
    </row>
    <row r="672" spans="1:11" hidden="1" x14ac:dyDescent="0.35">
      <c r="A672" s="64" t="s">
        <v>849</v>
      </c>
      <c r="B672" s="8"/>
      <c r="C672" s="8"/>
      <c r="D672" s="8" t="s">
        <v>65</v>
      </c>
      <c r="E672" s="8" t="s">
        <v>20</v>
      </c>
      <c r="F672" s="9" t="s">
        <v>928</v>
      </c>
      <c r="G672" s="13">
        <v>7500</v>
      </c>
      <c r="H672" s="8" t="s">
        <v>57</v>
      </c>
      <c r="I672" s="23">
        <v>10000</v>
      </c>
      <c r="J672" s="41">
        <f>J671+Table234535[[#This Row],[AMOUNT]]-Table234535[[#This Row],[AMOUNT2]]-Table234535[[#This Row],[AMOUNT3]]</f>
        <v>-40234</v>
      </c>
      <c r="K672" s="79"/>
    </row>
    <row r="673" spans="1:11" hidden="1" x14ac:dyDescent="0.35">
      <c r="A673" s="64" t="s">
        <v>849</v>
      </c>
      <c r="B673" s="8"/>
      <c r="C673" s="8"/>
      <c r="D673" s="8" t="s">
        <v>65</v>
      </c>
      <c r="E673" s="8" t="s">
        <v>682</v>
      </c>
      <c r="F673" s="9" t="s">
        <v>929</v>
      </c>
      <c r="G673" s="13">
        <v>250</v>
      </c>
      <c r="H673" s="8"/>
      <c r="I673" s="8"/>
      <c r="J673" s="41">
        <f>J672+Table234535[[#This Row],[AMOUNT]]-Table234535[[#This Row],[AMOUNT2]]-Table234535[[#This Row],[AMOUNT3]]</f>
        <v>-40484</v>
      </c>
      <c r="K673" s="79"/>
    </row>
    <row r="674" spans="1:11" hidden="1" x14ac:dyDescent="0.35">
      <c r="A674" s="64" t="s">
        <v>849</v>
      </c>
      <c r="B674" s="8"/>
      <c r="C674" s="8"/>
      <c r="D674" s="8" t="s">
        <v>39</v>
      </c>
      <c r="E674" s="8" t="s">
        <v>682</v>
      </c>
      <c r="F674" s="9" t="s">
        <v>930</v>
      </c>
      <c r="G674" s="13">
        <v>300</v>
      </c>
      <c r="H674" s="8"/>
      <c r="I674" s="8"/>
      <c r="J674" s="41">
        <f>J673+Table234535[[#This Row],[AMOUNT]]-Table234535[[#This Row],[AMOUNT2]]-Table234535[[#This Row],[AMOUNT3]]</f>
        <v>-40784</v>
      </c>
      <c r="K674" s="79"/>
    </row>
    <row r="675" spans="1:11" hidden="1" x14ac:dyDescent="0.35">
      <c r="A675" s="64" t="s">
        <v>881</v>
      </c>
      <c r="B675" s="8" t="s">
        <v>45</v>
      </c>
      <c r="C675" s="8">
        <v>3900</v>
      </c>
      <c r="D675" s="8"/>
      <c r="E675" s="8"/>
      <c r="F675" s="9"/>
      <c r="G675" s="13"/>
      <c r="H675" s="8"/>
      <c r="I675" s="8"/>
      <c r="J675" s="41">
        <f>J674+Table234535[[#This Row],[AMOUNT]]-Table234535[[#This Row],[AMOUNT2]]-Table234535[[#This Row],[AMOUNT3]]</f>
        <v>-36884</v>
      </c>
      <c r="K675" s="79"/>
    </row>
    <row r="676" spans="1:11" hidden="1" x14ac:dyDescent="0.35">
      <c r="A676" s="64" t="s">
        <v>881</v>
      </c>
      <c r="B676" s="8" t="s">
        <v>45</v>
      </c>
      <c r="C676" s="8">
        <v>1700</v>
      </c>
      <c r="D676" s="8"/>
      <c r="E676" s="8"/>
      <c r="F676" s="9"/>
      <c r="G676" s="13"/>
      <c r="H676" s="8"/>
      <c r="I676" s="8"/>
      <c r="J676" s="41">
        <f>J675+Table234535[[#This Row],[AMOUNT]]-Table234535[[#This Row],[AMOUNT2]]-Table234535[[#This Row],[AMOUNT3]]</f>
        <v>-35184</v>
      </c>
      <c r="K676" s="79"/>
    </row>
    <row r="677" spans="1:11" hidden="1" x14ac:dyDescent="0.35">
      <c r="A677" s="64" t="s">
        <v>881</v>
      </c>
      <c r="B677" s="8" t="s">
        <v>45</v>
      </c>
      <c r="C677" s="8">
        <v>5000</v>
      </c>
      <c r="D677" s="8" t="s">
        <v>65</v>
      </c>
      <c r="E677" s="8" t="s">
        <v>68</v>
      </c>
      <c r="F677" s="9" t="s">
        <v>467</v>
      </c>
      <c r="G677" s="13">
        <v>800</v>
      </c>
      <c r="H677" s="8"/>
      <c r="I677" s="8"/>
      <c r="J677" s="41">
        <f>J676+Table234535[[#This Row],[AMOUNT]]-Table234535[[#This Row],[AMOUNT2]]-Table234535[[#This Row],[AMOUNT3]]</f>
        <v>-30984</v>
      </c>
      <c r="K677" s="79"/>
    </row>
    <row r="678" spans="1:11" hidden="1" x14ac:dyDescent="0.35">
      <c r="A678" s="64" t="s">
        <v>881</v>
      </c>
      <c r="B678" s="8"/>
      <c r="C678" s="8"/>
      <c r="D678" s="8" t="s">
        <v>65</v>
      </c>
      <c r="E678" s="8" t="s">
        <v>16</v>
      </c>
      <c r="F678" s="9" t="s">
        <v>70</v>
      </c>
      <c r="G678" s="13">
        <v>900</v>
      </c>
      <c r="H678" s="8"/>
      <c r="I678" s="8"/>
      <c r="J678" s="41">
        <f>J677+Table234535[[#This Row],[AMOUNT]]-Table234535[[#This Row],[AMOUNT2]]-Table234535[[#This Row],[AMOUNT3]]</f>
        <v>-31884</v>
      </c>
      <c r="K678" s="79"/>
    </row>
    <row r="679" spans="1:11" hidden="1" x14ac:dyDescent="0.35">
      <c r="A679" s="64" t="s">
        <v>881</v>
      </c>
      <c r="B679" s="8"/>
      <c r="C679" s="8"/>
      <c r="D679" s="6" t="s">
        <v>39</v>
      </c>
      <c r="E679" s="6" t="s">
        <v>706</v>
      </c>
      <c r="F679" s="33" t="s">
        <v>931</v>
      </c>
      <c r="G679" s="16">
        <v>1700</v>
      </c>
      <c r="H679" s="8"/>
      <c r="I679" s="8"/>
      <c r="J679" s="41">
        <f>J678+Table234535[[#This Row],[AMOUNT]]-Table234535[[#This Row],[AMOUNT2]]-Table234535[[#This Row],[AMOUNT3]]</f>
        <v>-33584</v>
      </c>
      <c r="K679" s="79"/>
    </row>
    <row r="680" spans="1:11" hidden="1" x14ac:dyDescent="0.35">
      <c r="A680" s="64" t="s">
        <v>881</v>
      </c>
      <c r="B680" s="8"/>
      <c r="C680" s="8"/>
      <c r="D680" s="8" t="s">
        <v>39</v>
      </c>
      <c r="E680" s="8" t="s">
        <v>24</v>
      </c>
      <c r="F680" s="96" t="s">
        <v>932</v>
      </c>
      <c r="G680" s="13">
        <v>5000</v>
      </c>
      <c r="H680" s="8"/>
      <c r="I680" s="8"/>
      <c r="J680" s="41">
        <f>J679+Table234535[[#This Row],[AMOUNT]]-Table234535[[#This Row],[AMOUNT2]]-Table234535[[#This Row],[AMOUNT3]]</f>
        <v>-38584</v>
      </c>
      <c r="K680" s="79"/>
    </row>
    <row r="681" spans="1:11" hidden="1" x14ac:dyDescent="0.35">
      <c r="A681" s="64" t="s">
        <v>881</v>
      </c>
      <c r="B681" s="8"/>
      <c r="C681" s="8"/>
      <c r="D681" s="8" t="s">
        <v>953</v>
      </c>
      <c r="E681" s="8" t="s">
        <v>68</v>
      </c>
      <c r="F681" s="9" t="s">
        <v>792</v>
      </c>
      <c r="G681" s="13">
        <v>4000</v>
      </c>
      <c r="H681" s="8"/>
      <c r="I681" s="8"/>
      <c r="J681" s="41">
        <f>J680+Table234535[[#This Row],[AMOUNT]]-Table234535[[#This Row],[AMOUNT2]]-Table234535[[#This Row],[AMOUNT3]]</f>
        <v>-42584</v>
      </c>
      <c r="K681" s="79"/>
    </row>
    <row r="682" spans="1:11" hidden="1" x14ac:dyDescent="0.35">
      <c r="A682" s="64" t="s">
        <v>882</v>
      </c>
      <c r="B682" s="8" t="s">
        <v>45</v>
      </c>
      <c r="C682" s="8">
        <v>7000</v>
      </c>
      <c r="D682" s="8"/>
      <c r="E682" s="8"/>
      <c r="F682" s="9"/>
      <c r="G682" s="13"/>
      <c r="H682" s="8"/>
      <c r="I682" s="8"/>
      <c r="J682" s="41">
        <f>J681+Table234535[[#This Row],[AMOUNT]]-Table234535[[#This Row],[AMOUNT2]]-Table234535[[#This Row],[AMOUNT3]]</f>
        <v>-35584</v>
      </c>
      <c r="K682" s="79"/>
    </row>
    <row r="683" spans="1:11" hidden="1" x14ac:dyDescent="0.35">
      <c r="A683" s="64" t="s">
        <v>882</v>
      </c>
      <c r="B683" s="8" t="s">
        <v>45</v>
      </c>
      <c r="C683" s="8">
        <v>20000</v>
      </c>
      <c r="D683" s="8"/>
      <c r="E683" s="8"/>
      <c r="F683" s="9"/>
      <c r="G683" s="13"/>
      <c r="H683" s="8" t="s">
        <v>57</v>
      </c>
      <c r="I683" s="23">
        <v>10000</v>
      </c>
      <c r="J683" s="41">
        <f>J682+Table234535[[#This Row],[AMOUNT]]-Table234535[[#This Row],[AMOUNT2]]-Table234535[[#This Row],[AMOUNT3]]</f>
        <v>-25584</v>
      </c>
      <c r="K683" s="79"/>
    </row>
    <row r="684" spans="1:11" hidden="1" x14ac:dyDescent="0.35">
      <c r="A684" s="64" t="s">
        <v>882</v>
      </c>
      <c r="B684" s="8"/>
      <c r="C684" s="8"/>
      <c r="D684" s="8"/>
      <c r="E684" s="8"/>
      <c r="F684" s="9"/>
      <c r="G684" s="13"/>
      <c r="H684" s="8" t="s">
        <v>923</v>
      </c>
      <c r="I684" s="23">
        <v>8650</v>
      </c>
      <c r="J684" s="41">
        <f>J683+Table234535[[#This Row],[AMOUNT]]-Table234535[[#This Row],[AMOUNT2]]-Table234535[[#This Row],[AMOUNT3]]</f>
        <v>-34234</v>
      </c>
      <c r="K684" s="79"/>
    </row>
    <row r="685" spans="1:11" hidden="1" x14ac:dyDescent="0.35">
      <c r="A685" s="64" t="s">
        <v>882</v>
      </c>
      <c r="B685" s="8"/>
      <c r="C685" s="8"/>
      <c r="D685" s="8" t="s">
        <v>65</v>
      </c>
      <c r="E685" s="8" t="s">
        <v>68</v>
      </c>
      <c r="F685" s="9" t="s">
        <v>467</v>
      </c>
      <c r="G685" s="13">
        <v>800</v>
      </c>
      <c r="H685" s="8"/>
      <c r="I685" s="8"/>
      <c r="J685" s="41">
        <f>J684+Table234535[[#This Row],[AMOUNT]]-Table234535[[#This Row],[AMOUNT2]]-Table234535[[#This Row],[AMOUNT3]]</f>
        <v>-35034</v>
      </c>
      <c r="K685" s="79"/>
    </row>
    <row r="686" spans="1:11" hidden="1" x14ac:dyDescent="0.35">
      <c r="A686" s="64" t="s">
        <v>882</v>
      </c>
      <c r="B686" s="8"/>
      <c r="C686" s="8"/>
      <c r="D686" s="8" t="s">
        <v>65</v>
      </c>
      <c r="E686" s="8" t="s">
        <v>16</v>
      </c>
      <c r="F686" s="9" t="s">
        <v>933</v>
      </c>
      <c r="G686" s="13">
        <v>900</v>
      </c>
      <c r="H686" s="8"/>
      <c r="I686" s="8"/>
      <c r="J686" s="41">
        <f>J685+Table234535[[#This Row],[AMOUNT]]-Table234535[[#This Row],[AMOUNT2]]-Table234535[[#This Row],[AMOUNT3]]</f>
        <v>-35934</v>
      </c>
      <c r="K686" s="79"/>
    </row>
    <row r="687" spans="1:11" hidden="1" x14ac:dyDescent="0.35">
      <c r="A687" s="64" t="s">
        <v>882</v>
      </c>
      <c r="B687" s="8"/>
      <c r="C687" s="8"/>
      <c r="D687" s="8" t="s">
        <v>39</v>
      </c>
      <c r="E687" s="8" t="s">
        <v>0</v>
      </c>
      <c r="F687" s="9" t="s">
        <v>934</v>
      </c>
      <c r="G687" s="13">
        <v>7000</v>
      </c>
      <c r="H687" s="8"/>
      <c r="I687" s="8"/>
      <c r="J687" s="41">
        <f>J686+Table234535[[#This Row],[AMOUNT]]-Table234535[[#This Row],[AMOUNT2]]-Table234535[[#This Row],[AMOUNT3]]</f>
        <v>-42934</v>
      </c>
      <c r="K687" s="79"/>
    </row>
    <row r="688" spans="1:11" hidden="1" x14ac:dyDescent="0.35">
      <c r="A688" s="64" t="s">
        <v>884</v>
      </c>
      <c r="B688" s="8"/>
      <c r="C688" s="8"/>
      <c r="D688" s="8" t="s">
        <v>65</v>
      </c>
      <c r="E688" s="8" t="s">
        <v>68</v>
      </c>
      <c r="F688" s="9" t="s">
        <v>467</v>
      </c>
      <c r="G688" s="13">
        <v>800</v>
      </c>
      <c r="H688" s="8"/>
      <c r="I688" s="8"/>
      <c r="J688" s="41">
        <f>J687+Table234535[[#This Row],[AMOUNT]]-Table234535[[#This Row],[AMOUNT2]]-Table234535[[#This Row],[AMOUNT3]]</f>
        <v>-43734</v>
      </c>
      <c r="K688" s="79"/>
    </row>
    <row r="689" spans="1:11" hidden="1" x14ac:dyDescent="0.35">
      <c r="A689" s="64" t="s">
        <v>884</v>
      </c>
      <c r="B689" s="8"/>
      <c r="C689" s="8"/>
      <c r="D689" s="8" t="s">
        <v>65</v>
      </c>
      <c r="E689" s="8" t="s">
        <v>16</v>
      </c>
      <c r="F689" s="9" t="s">
        <v>933</v>
      </c>
      <c r="G689" s="13">
        <v>900</v>
      </c>
      <c r="H689" s="8"/>
      <c r="I689" s="8"/>
      <c r="J689" s="41">
        <f>J688+Table234535[[#This Row],[AMOUNT]]-Table234535[[#This Row],[AMOUNT2]]-Table234535[[#This Row],[AMOUNT3]]</f>
        <v>-44634</v>
      </c>
      <c r="K689" s="79"/>
    </row>
    <row r="690" spans="1:11" hidden="1" x14ac:dyDescent="0.35">
      <c r="A690" s="64" t="s">
        <v>884</v>
      </c>
      <c r="B690" s="8"/>
      <c r="C690" s="8"/>
      <c r="D690" s="8" t="s">
        <v>953</v>
      </c>
      <c r="E690" s="8" t="s">
        <v>68</v>
      </c>
      <c r="F690" s="9" t="s">
        <v>936</v>
      </c>
      <c r="G690" s="13">
        <v>600</v>
      </c>
      <c r="H690" s="8"/>
      <c r="I690" s="8"/>
      <c r="J690" s="41">
        <f>J689+Table234535[[#This Row],[AMOUNT]]-Table234535[[#This Row],[AMOUNT2]]-Table234535[[#This Row],[AMOUNT3]]</f>
        <v>-45234</v>
      </c>
      <c r="K690" s="79"/>
    </row>
    <row r="691" spans="1:11" hidden="1" x14ac:dyDescent="0.35">
      <c r="A691" s="64" t="s">
        <v>884</v>
      </c>
      <c r="B691" s="8"/>
      <c r="C691" s="8"/>
      <c r="D691" s="8" t="s">
        <v>953</v>
      </c>
      <c r="E691" s="8" t="s">
        <v>24</v>
      </c>
      <c r="F691" s="9" t="s">
        <v>937</v>
      </c>
      <c r="G691" s="13">
        <v>3200</v>
      </c>
      <c r="H691" s="8"/>
      <c r="I691" s="8"/>
      <c r="J691" s="41">
        <f>J690+Table234535[[#This Row],[AMOUNT]]-Table234535[[#This Row],[AMOUNT2]]-Table234535[[#This Row],[AMOUNT3]]</f>
        <v>-48434</v>
      </c>
      <c r="K691" s="79"/>
    </row>
    <row r="692" spans="1:11" hidden="1" x14ac:dyDescent="0.35">
      <c r="A692" s="64" t="s">
        <v>884</v>
      </c>
      <c r="B692" s="8"/>
      <c r="C692" s="8"/>
      <c r="D692" s="8" t="s">
        <v>953</v>
      </c>
      <c r="E692" s="8" t="s">
        <v>24</v>
      </c>
      <c r="F692" s="9" t="s">
        <v>938</v>
      </c>
      <c r="G692" s="13">
        <v>4500</v>
      </c>
      <c r="H692" s="8"/>
      <c r="I692" s="8"/>
      <c r="J692" s="41">
        <f>J691+Table234535[[#This Row],[AMOUNT]]-Table234535[[#This Row],[AMOUNT2]]-Table234535[[#This Row],[AMOUNT3]]</f>
        <v>-52934</v>
      </c>
      <c r="K692" s="79"/>
    </row>
    <row r="693" spans="1:11" hidden="1" x14ac:dyDescent="0.35">
      <c r="A693" s="64" t="s">
        <v>885</v>
      </c>
      <c r="B693" s="8"/>
      <c r="C693" s="8"/>
      <c r="D693" s="8" t="s">
        <v>65</v>
      </c>
      <c r="E693" s="8" t="s">
        <v>68</v>
      </c>
      <c r="F693" s="9" t="s">
        <v>467</v>
      </c>
      <c r="G693" s="13">
        <v>800</v>
      </c>
      <c r="H693" s="8"/>
      <c r="I693" s="8"/>
      <c r="J693" s="41">
        <f>J692+Table234535[[#This Row],[AMOUNT]]-Table234535[[#This Row],[AMOUNT2]]-Table234535[[#This Row],[AMOUNT3]]</f>
        <v>-53734</v>
      </c>
      <c r="K693" s="79"/>
    </row>
    <row r="694" spans="1:11" hidden="1" x14ac:dyDescent="0.35">
      <c r="A694" s="64" t="s">
        <v>885</v>
      </c>
      <c r="B694" s="8"/>
      <c r="C694" s="8"/>
      <c r="D694" s="8" t="s">
        <v>65</v>
      </c>
      <c r="E694" s="8" t="s">
        <v>16</v>
      </c>
      <c r="F694" s="9" t="s">
        <v>933</v>
      </c>
      <c r="G694" s="13">
        <v>900</v>
      </c>
      <c r="H694" s="8"/>
      <c r="I694" s="8"/>
      <c r="J694" s="41">
        <f>J693+Table234535[[#This Row],[AMOUNT]]-Table234535[[#This Row],[AMOUNT2]]-Table234535[[#This Row],[AMOUNT3]]</f>
        <v>-54634</v>
      </c>
      <c r="K694" s="79"/>
    </row>
    <row r="695" spans="1:11" hidden="1" x14ac:dyDescent="0.35">
      <c r="A695" s="64" t="s">
        <v>885</v>
      </c>
      <c r="B695" s="8"/>
      <c r="C695" s="8"/>
      <c r="D695" s="8" t="s">
        <v>953</v>
      </c>
      <c r="E695" s="8" t="s">
        <v>68</v>
      </c>
      <c r="F695" s="9" t="s">
        <v>467</v>
      </c>
      <c r="G695" s="13">
        <v>800</v>
      </c>
      <c r="H695" s="8"/>
      <c r="I695" s="8"/>
      <c r="J695" s="41">
        <f>J694+Table234535[[#This Row],[AMOUNT]]-Table234535[[#This Row],[AMOUNT2]]-Table234535[[#This Row],[AMOUNT3]]</f>
        <v>-55434</v>
      </c>
      <c r="K695" s="79"/>
    </row>
    <row r="696" spans="1:11" hidden="1" x14ac:dyDescent="0.35">
      <c r="A696" s="64" t="s">
        <v>885</v>
      </c>
      <c r="B696" s="8"/>
      <c r="C696" s="8"/>
      <c r="D696" s="8" t="s">
        <v>953</v>
      </c>
      <c r="E696" s="8" t="s">
        <v>16</v>
      </c>
      <c r="F696" s="9" t="s">
        <v>646</v>
      </c>
      <c r="G696" s="13">
        <v>1200</v>
      </c>
      <c r="H696" s="8"/>
      <c r="I696" s="8"/>
      <c r="J696" s="41">
        <f>J695+Table234535[[#This Row],[AMOUNT]]-Table234535[[#This Row],[AMOUNT2]]-Table234535[[#This Row],[AMOUNT3]]</f>
        <v>-56634</v>
      </c>
      <c r="K696" s="79"/>
    </row>
    <row r="697" spans="1:11" hidden="1" x14ac:dyDescent="0.35">
      <c r="A697" s="64" t="s">
        <v>885</v>
      </c>
      <c r="B697" s="8"/>
      <c r="C697" s="8"/>
      <c r="D697" s="8" t="s">
        <v>953</v>
      </c>
      <c r="E697" s="8" t="s">
        <v>679</v>
      </c>
      <c r="F697" s="9" t="s">
        <v>939</v>
      </c>
      <c r="G697" s="13">
        <v>750</v>
      </c>
      <c r="H697" s="8"/>
      <c r="I697" s="8"/>
      <c r="J697" s="41">
        <f>J696+Table234535[[#This Row],[AMOUNT]]-Table234535[[#This Row],[AMOUNT2]]-Table234535[[#This Row],[AMOUNT3]]</f>
        <v>-57384</v>
      </c>
      <c r="K697" s="79"/>
    </row>
    <row r="698" spans="1:11" hidden="1" x14ac:dyDescent="0.35">
      <c r="A698" s="64" t="s">
        <v>885</v>
      </c>
      <c r="B698" s="8"/>
      <c r="C698" s="8"/>
      <c r="D698" s="8" t="s">
        <v>953</v>
      </c>
      <c r="E698" s="8" t="s">
        <v>679</v>
      </c>
      <c r="F698" s="9" t="s">
        <v>939</v>
      </c>
      <c r="G698" s="13">
        <v>750</v>
      </c>
      <c r="H698" s="8" t="s">
        <v>64</v>
      </c>
      <c r="I698" s="8">
        <v>1500</v>
      </c>
      <c r="J698" s="41">
        <f>J697+Table234535[[#This Row],[AMOUNT]]-Table234535[[#This Row],[AMOUNT2]]-Table234535[[#This Row],[AMOUNT3]]</f>
        <v>-59634</v>
      </c>
      <c r="K698" s="79"/>
    </row>
    <row r="699" spans="1:11" hidden="1" x14ac:dyDescent="0.35">
      <c r="A699" s="64" t="s">
        <v>917</v>
      </c>
      <c r="B699" s="8"/>
      <c r="C699" s="8"/>
      <c r="D699" s="8" t="s">
        <v>65</v>
      </c>
      <c r="E699" s="8" t="s">
        <v>68</v>
      </c>
      <c r="F699" s="9" t="s">
        <v>467</v>
      </c>
      <c r="G699" s="13">
        <v>800</v>
      </c>
      <c r="H699" s="8"/>
      <c r="I699" s="8"/>
      <c r="J699" s="41">
        <f>J698+Table234535[[#This Row],[AMOUNT]]-Table234535[[#This Row],[AMOUNT2]]-Table234535[[#This Row],[AMOUNT3]]</f>
        <v>-60434</v>
      </c>
      <c r="K699" s="79"/>
    </row>
    <row r="700" spans="1:11" hidden="1" x14ac:dyDescent="0.35">
      <c r="A700" s="64" t="s">
        <v>917</v>
      </c>
      <c r="B700" s="8"/>
      <c r="C700" s="8"/>
      <c r="D700" s="8" t="s">
        <v>65</v>
      </c>
      <c r="E700" s="8" t="s">
        <v>16</v>
      </c>
      <c r="F700" s="9" t="s">
        <v>933</v>
      </c>
      <c r="G700" s="13">
        <v>900</v>
      </c>
      <c r="H700" s="8"/>
      <c r="I700" s="8"/>
      <c r="J700" s="41">
        <f>J699+Table234535[[#This Row],[AMOUNT]]-Table234535[[#This Row],[AMOUNT2]]-Table234535[[#This Row],[AMOUNT3]]</f>
        <v>-61334</v>
      </c>
      <c r="K700" s="79"/>
    </row>
    <row r="701" spans="1:11" hidden="1" x14ac:dyDescent="0.35">
      <c r="A701" s="64" t="s">
        <v>917</v>
      </c>
      <c r="B701" s="8"/>
      <c r="C701" s="8"/>
      <c r="D701" s="8" t="s">
        <v>953</v>
      </c>
      <c r="E701" s="8" t="s">
        <v>68</v>
      </c>
      <c r="F701" s="9" t="s">
        <v>467</v>
      </c>
      <c r="G701" s="13">
        <v>800</v>
      </c>
      <c r="H701" s="8"/>
      <c r="I701" s="8"/>
      <c r="J701" s="41">
        <f>J700+Table234535[[#This Row],[AMOUNT]]-Table234535[[#This Row],[AMOUNT2]]-Table234535[[#This Row],[AMOUNT3]]</f>
        <v>-62134</v>
      </c>
      <c r="K701" s="79"/>
    </row>
    <row r="702" spans="1:11" hidden="1" x14ac:dyDescent="0.35">
      <c r="A702" s="64" t="s">
        <v>917</v>
      </c>
      <c r="B702" s="8"/>
      <c r="C702" s="8"/>
      <c r="D702" s="8" t="s">
        <v>953</v>
      </c>
      <c r="E702" s="8" t="s">
        <v>679</v>
      </c>
      <c r="F702" s="9" t="s">
        <v>1</v>
      </c>
      <c r="G702" s="13">
        <v>300</v>
      </c>
      <c r="H702" s="8"/>
      <c r="I702" s="8"/>
      <c r="J702" s="41">
        <f>J701+Table234535[[#This Row],[AMOUNT]]-Table234535[[#This Row],[AMOUNT2]]-Table234535[[#This Row],[AMOUNT3]]</f>
        <v>-62434</v>
      </c>
      <c r="K702" s="79"/>
    </row>
    <row r="703" spans="1:11" hidden="1" x14ac:dyDescent="0.35">
      <c r="A703" s="64" t="s">
        <v>917</v>
      </c>
      <c r="B703" s="8"/>
      <c r="C703" s="8"/>
      <c r="D703" s="8" t="s">
        <v>39</v>
      </c>
      <c r="E703" s="8" t="s">
        <v>679</v>
      </c>
      <c r="F703" s="9" t="s">
        <v>1</v>
      </c>
      <c r="G703" s="13">
        <v>300</v>
      </c>
      <c r="H703" s="8"/>
      <c r="I703" s="8"/>
      <c r="J703" s="41">
        <f>J702+Table234535[[#This Row],[AMOUNT]]-Table234535[[#This Row],[AMOUNT2]]-Table234535[[#This Row],[AMOUNT3]]</f>
        <v>-62734</v>
      </c>
      <c r="K703" s="79"/>
    </row>
    <row r="704" spans="1:11" hidden="1" x14ac:dyDescent="0.35">
      <c r="A704" s="64" t="s">
        <v>917</v>
      </c>
      <c r="B704" s="8"/>
      <c r="C704" s="8"/>
      <c r="D704" s="8" t="s">
        <v>65</v>
      </c>
      <c r="E704" s="8" t="s">
        <v>679</v>
      </c>
      <c r="F704" s="9" t="s">
        <v>1</v>
      </c>
      <c r="G704" s="13">
        <v>400</v>
      </c>
      <c r="H704" s="8"/>
      <c r="I704" s="8"/>
      <c r="J704" s="41">
        <f>J703+Table234535[[#This Row],[AMOUNT]]-Table234535[[#This Row],[AMOUNT2]]-Table234535[[#This Row],[AMOUNT3]]</f>
        <v>-63134</v>
      </c>
      <c r="K704" s="79"/>
    </row>
    <row r="705" spans="1:11" hidden="1" x14ac:dyDescent="0.35">
      <c r="A705" s="64" t="s">
        <v>917</v>
      </c>
      <c r="B705" s="8"/>
      <c r="C705" s="8"/>
      <c r="D705" s="8" t="s">
        <v>65</v>
      </c>
      <c r="E705" s="8" t="s">
        <v>20</v>
      </c>
      <c r="F705" s="9" t="s">
        <v>940</v>
      </c>
      <c r="G705" s="13">
        <v>800</v>
      </c>
      <c r="H705" s="8"/>
      <c r="I705" s="8"/>
      <c r="J705" s="41">
        <f>J704+Table234535[[#This Row],[AMOUNT]]-Table234535[[#This Row],[AMOUNT2]]-Table234535[[#This Row],[AMOUNT3]]</f>
        <v>-63934</v>
      </c>
      <c r="K705" s="79"/>
    </row>
    <row r="706" spans="1:11" hidden="1" x14ac:dyDescent="0.35">
      <c r="A706" s="64" t="s">
        <v>920</v>
      </c>
      <c r="B706" s="8"/>
      <c r="C706" s="8"/>
      <c r="D706" s="8" t="s">
        <v>65</v>
      </c>
      <c r="E706" s="8" t="s">
        <v>16</v>
      </c>
      <c r="F706" s="9" t="s">
        <v>933</v>
      </c>
      <c r="G706" s="13">
        <v>900</v>
      </c>
      <c r="H706" s="8"/>
      <c r="I706" s="8"/>
      <c r="J706" s="41">
        <f>J705+Table234535[[#This Row],[AMOUNT]]-Table234535[[#This Row],[AMOUNT2]]-Table234535[[#This Row],[AMOUNT3]]</f>
        <v>-64834</v>
      </c>
      <c r="K706" s="79"/>
    </row>
    <row r="707" spans="1:11" hidden="1" x14ac:dyDescent="0.35">
      <c r="A707" s="64" t="s">
        <v>920</v>
      </c>
      <c r="B707" s="8"/>
      <c r="C707" s="8"/>
      <c r="D707" s="8" t="s">
        <v>953</v>
      </c>
      <c r="E707" s="8" t="s">
        <v>68</v>
      </c>
      <c r="F707" s="9" t="s">
        <v>467</v>
      </c>
      <c r="G707" s="13">
        <v>800</v>
      </c>
      <c r="H707" s="8"/>
      <c r="I707" s="8"/>
      <c r="J707" s="41">
        <f>J706+Table234535[[#This Row],[AMOUNT]]-Table234535[[#This Row],[AMOUNT2]]-Table234535[[#This Row],[AMOUNT3]]</f>
        <v>-65634</v>
      </c>
      <c r="K707" s="79"/>
    </row>
    <row r="708" spans="1:11" hidden="1" x14ac:dyDescent="0.35">
      <c r="A708" s="64" t="s">
        <v>921</v>
      </c>
      <c r="B708" s="8" t="s">
        <v>357</v>
      </c>
      <c r="C708" s="8">
        <v>40000</v>
      </c>
      <c r="D708" s="8" t="s">
        <v>65</v>
      </c>
      <c r="E708" s="8" t="s">
        <v>68</v>
      </c>
      <c r="F708" s="9" t="s">
        <v>467</v>
      </c>
      <c r="G708" s="13">
        <v>800</v>
      </c>
      <c r="H708" s="8"/>
      <c r="I708" s="8"/>
      <c r="J708" s="41">
        <f>J707+Table234535[[#This Row],[AMOUNT]]-Table234535[[#This Row],[AMOUNT2]]-Table234535[[#This Row],[AMOUNT3]]</f>
        <v>-26434</v>
      </c>
      <c r="K708" s="79"/>
    </row>
    <row r="709" spans="1:11" hidden="1" x14ac:dyDescent="0.35">
      <c r="A709" s="64" t="s">
        <v>921</v>
      </c>
      <c r="B709" s="8"/>
      <c r="C709" s="8"/>
      <c r="D709" s="8" t="s">
        <v>65</v>
      </c>
      <c r="E709" s="8" t="s">
        <v>16</v>
      </c>
      <c r="F709" s="9" t="s">
        <v>933</v>
      </c>
      <c r="G709" s="13">
        <v>900</v>
      </c>
      <c r="H709" s="8"/>
      <c r="I709" s="8"/>
      <c r="J709" s="41">
        <f>J708+Table234535[[#This Row],[AMOUNT]]-Table234535[[#This Row],[AMOUNT2]]-Table234535[[#This Row],[AMOUNT3]]</f>
        <v>-27334</v>
      </c>
      <c r="K709" s="79"/>
    </row>
    <row r="710" spans="1:11" hidden="1" x14ac:dyDescent="0.35">
      <c r="A710" s="64" t="s">
        <v>921</v>
      </c>
      <c r="B710" s="8"/>
      <c r="C710" s="8"/>
      <c r="D710" s="8" t="s">
        <v>953</v>
      </c>
      <c r="E710" s="8" t="s">
        <v>68</v>
      </c>
      <c r="F710" s="9" t="s">
        <v>467</v>
      </c>
      <c r="G710" s="13">
        <v>800</v>
      </c>
      <c r="H710" s="8" t="s">
        <v>57</v>
      </c>
      <c r="I710" s="23">
        <v>10000</v>
      </c>
      <c r="J710" s="41">
        <f>J709+Table234535[[#This Row],[AMOUNT]]-Table234535[[#This Row],[AMOUNT2]]-Table234535[[#This Row],[AMOUNT3]]</f>
        <v>-38134</v>
      </c>
      <c r="K710" s="79"/>
    </row>
    <row r="711" spans="1:11" hidden="1" x14ac:dyDescent="0.35">
      <c r="A711" s="64" t="s">
        <v>941</v>
      </c>
      <c r="B711" s="8"/>
      <c r="C711" s="8"/>
      <c r="D711" s="8" t="s">
        <v>65</v>
      </c>
      <c r="E711" s="8" t="s">
        <v>68</v>
      </c>
      <c r="F711" s="9" t="s">
        <v>500</v>
      </c>
      <c r="G711" s="13">
        <v>1600</v>
      </c>
      <c r="H711" s="8"/>
      <c r="I711" s="8"/>
      <c r="J711" s="41">
        <f>J710+Table234535[[#This Row],[AMOUNT]]-Table234535[[#This Row],[AMOUNT2]]-Table234535[[#This Row],[AMOUNT3]]</f>
        <v>-39734</v>
      </c>
      <c r="K711" s="79"/>
    </row>
    <row r="712" spans="1:11" hidden="1" x14ac:dyDescent="0.35">
      <c r="A712" s="64" t="s">
        <v>941</v>
      </c>
      <c r="B712" s="8"/>
      <c r="C712" s="8"/>
      <c r="D712" s="8" t="s">
        <v>65</v>
      </c>
      <c r="E712" s="8" t="s">
        <v>16</v>
      </c>
      <c r="F712" s="9" t="s">
        <v>933</v>
      </c>
      <c r="G712" s="13">
        <v>900</v>
      </c>
      <c r="H712" s="8"/>
      <c r="I712" s="8"/>
      <c r="J712" s="41">
        <f>J711+Table234535[[#This Row],[AMOUNT]]-Table234535[[#This Row],[AMOUNT2]]-Table234535[[#This Row],[AMOUNT3]]</f>
        <v>-40634</v>
      </c>
      <c r="K712" s="79"/>
    </row>
    <row r="713" spans="1:11" hidden="1" x14ac:dyDescent="0.35">
      <c r="A713" s="64" t="s">
        <v>941</v>
      </c>
      <c r="B713" s="8"/>
      <c r="C713" s="8"/>
      <c r="D713" s="8" t="s">
        <v>953</v>
      </c>
      <c r="E713" s="8" t="s">
        <v>68</v>
      </c>
      <c r="F713" s="9" t="s">
        <v>467</v>
      </c>
      <c r="G713" s="13">
        <v>800</v>
      </c>
      <c r="H713" s="8"/>
      <c r="I713" s="8"/>
      <c r="J713" s="41">
        <f>J712+Table234535[[#This Row],[AMOUNT]]-Table234535[[#This Row],[AMOUNT2]]-Table234535[[#This Row],[AMOUNT3]]</f>
        <v>-41434</v>
      </c>
      <c r="K713" s="79"/>
    </row>
    <row r="714" spans="1:11" hidden="1" x14ac:dyDescent="0.35">
      <c r="A714" s="64" t="s">
        <v>942</v>
      </c>
      <c r="B714" s="8"/>
      <c r="C714" s="8"/>
      <c r="D714" s="8" t="s">
        <v>65</v>
      </c>
      <c r="E714" s="8" t="s">
        <v>68</v>
      </c>
      <c r="F714" s="9" t="s">
        <v>500</v>
      </c>
      <c r="G714" s="13">
        <v>1600</v>
      </c>
      <c r="H714" s="8"/>
      <c r="I714" s="8"/>
      <c r="J714" s="41">
        <f>J713+Table234535[[#This Row],[AMOUNT]]-Table234535[[#This Row],[AMOUNT2]]-Table234535[[#This Row],[AMOUNT3]]</f>
        <v>-43034</v>
      </c>
      <c r="K714" s="79"/>
    </row>
    <row r="715" spans="1:11" hidden="1" x14ac:dyDescent="0.35">
      <c r="A715" s="64" t="s">
        <v>942</v>
      </c>
      <c r="B715" s="8"/>
      <c r="C715" s="8"/>
      <c r="D715" s="8" t="s">
        <v>65</v>
      </c>
      <c r="E715" s="8" t="s">
        <v>16</v>
      </c>
      <c r="F715" s="9" t="s">
        <v>933</v>
      </c>
      <c r="G715" s="13">
        <v>900</v>
      </c>
      <c r="H715" s="8"/>
      <c r="I715" s="8"/>
      <c r="J715" s="41">
        <f>J714+Table234535[[#This Row],[AMOUNT]]-Table234535[[#This Row],[AMOUNT2]]-Table234535[[#This Row],[AMOUNT3]]</f>
        <v>-43934</v>
      </c>
      <c r="K715" s="79"/>
    </row>
    <row r="716" spans="1:11" hidden="1" x14ac:dyDescent="0.35">
      <c r="A716" s="64" t="s">
        <v>943</v>
      </c>
      <c r="B716" s="8" t="s">
        <v>45</v>
      </c>
      <c r="C716" s="8">
        <v>7100</v>
      </c>
      <c r="D716" s="8"/>
      <c r="E716" s="8"/>
      <c r="F716" s="9"/>
      <c r="G716" s="13"/>
      <c r="H716" s="8"/>
      <c r="I716" s="8"/>
      <c r="J716" s="41">
        <f>J715+Table234535[[#This Row],[AMOUNT]]-Table234535[[#This Row],[AMOUNT2]]-Table234535[[#This Row],[AMOUNT3]]</f>
        <v>-36834</v>
      </c>
      <c r="K716" s="79"/>
    </row>
    <row r="717" spans="1:11" hidden="1" x14ac:dyDescent="0.35">
      <c r="A717" s="64" t="s">
        <v>943</v>
      </c>
      <c r="B717" s="8" t="s">
        <v>45</v>
      </c>
      <c r="C717" s="8">
        <v>10000</v>
      </c>
      <c r="D717" s="8"/>
      <c r="E717" s="8"/>
      <c r="F717" s="9"/>
      <c r="G717" s="13"/>
      <c r="H717" s="8"/>
      <c r="I717" s="8"/>
      <c r="J717" s="41">
        <f>J716+Table234535[[#This Row],[AMOUNT]]-Table234535[[#This Row],[AMOUNT2]]-Table234535[[#This Row],[AMOUNT3]]</f>
        <v>-26834</v>
      </c>
      <c r="K717" s="79"/>
    </row>
    <row r="718" spans="1:11" hidden="1" x14ac:dyDescent="0.35">
      <c r="A718" s="64" t="s">
        <v>943</v>
      </c>
      <c r="B718" s="8" t="s">
        <v>45</v>
      </c>
      <c r="C718" s="8">
        <v>1000</v>
      </c>
      <c r="D718" s="8"/>
      <c r="E718" s="8"/>
      <c r="F718" s="9"/>
      <c r="G718" s="13"/>
      <c r="H718" s="8"/>
      <c r="I718" s="8"/>
      <c r="J718" s="41">
        <f>J717+Table234535[[#This Row],[AMOUNT]]-Table234535[[#This Row],[AMOUNT2]]-Table234535[[#This Row],[AMOUNT3]]</f>
        <v>-25834</v>
      </c>
      <c r="K718" s="79"/>
    </row>
    <row r="719" spans="1:11" hidden="1" x14ac:dyDescent="0.35">
      <c r="A719" s="64" t="s">
        <v>943</v>
      </c>
      <c r="B719" s="8"/>
      <c r="C719" s="8"/>
      <c r="D719" s="8" t="s">
        <v>65</v>
      </c>
      <c r="E719" s="8" t="s">
        <v>16</v>
      </c>
      <c r="F719" s="9" t="s">
        <v>933</v>
      </c>
      <c r="G719" s="13">
        <v>900</v>
      </c>
      <c r="H719" s="8"/>
      <c r="I719" s="8"/>
      <c r="J719" s="41">
        <f>J718+Table234535[[#This Row],[AMOUNT]]-Table234535[[#This Row],[AMOUNT2]]-Table234535[[#This Row],[AMOUNT3]]</f>
        <v>-26734</v>
      </c>
      <c r="K719" s="79"/>
    </row>
    <row r="720" spans="1:11" hidden="1" x14ac:dyDescent="0.35">
      <c r="A720" s="64" t="s">
        <v>943</v>
      </c>
      <c r="B720" s="8"/>
      <c r="C720" s="8"/>
      <c r="D720" s="8" t="s">
        <v>65</v>
      </c>
      <c r="E720" s="8" t="s">
        <v>68</v>
      </c>
      <c r="F720" s="9" t="s">
        <v>500</v>
      </c>
      <c r="G720" s="13">
        <v>1600</v>
      </c>
      <c r="H720" s="8"/>
      <c r="I720" s="8"/>
      <c r="J720" s="41">
        <f>J719+Table234535[[#This Row],[AMOUNT]]-Table234535[[#This Row],[AMOUNT2]]-Table234535[[#This Row],[AMOUNT3]]</f>
        <v>-28334</v>
      </c>
      <c r="K720" s="79"/>
    </row>
    <row r="721" spans="1:11" hidden="1" x14ac:dyDescent="0.35">
      <c r="A721" s="64" t="s">
        <v>943</v>
      </c>
      <c r="B721" s="8"/>
      <c r="C721" s="8"/>
      <c r="D721" s="8" t="s">
        <v>953</v>
      </c>
      <c r="E721" s="8" t="s">
        <v>68</v>
      </c>
      <c r="F721" s="9" t="s">
        <v>467</v>
      </c>
      <c r="G721" s="13">
        <v>800</v>
      </c>
      <c r="H721" s="8"/>
      <c r="I721" s="8"/>
      <c r="J721" s="41">
        <f>J720+Table234535[[#This Row],[AMOUNT]]-Table234535[[#This Row],[AMOUNT2]]-Table234535[[#This Row],[AMOUNT3]]</f>
        <v>-29134</v>
      </c>
      <c r="K721" s="79"/>
    </row>
    <row r="722" spans="1:11" hidden="1" x14ac:dyDescent="0.35">
      <c r="A722" s="64" t="s">
        <v>943</v>
      </c>
      <c r="B722" s="8"/>
      <c r="C722" s="8"/>
      <c r="D722" s="8" t="s">
        <v>953</v>
      </c>
      <c r="E722" s="8" t="s">
        <v>31</v>
      </c>
      <c r="F722" s="9" t="s">
        <v>954</v>
      </c>
      <c r="G722" s="13">
        <v>7100</v>
      </c>
      <c r="H722" s="8"/>
      <c r="I722" s="8"/>
      <c r="J722" s="41">
        <f>J721+Table234535[[#This Row],[AMOUNT]]-Table234535[[#This Row],[AMOUNT2]]-Table234535[[#This Row],[AMOUNT3]]</f>
        <v>-36234</v>
      </c>
      <c r="K722" s="79"/>
    </row>
    <row r="723" spans="1:11" hidden="1" x14ac:dyDescent="0.35">
      <c r="A723" s="64" t="s">
        <v>943</v>
      </c>
      <c r="B723" s="8"/>
      <c r="C723" s="8"/>
      <c r="D723" s="8" t="s">
        <v>953</v>
      </c>
      <c r="E723" s="8" t="s">
        <v>679</v>
      </c>
      <c r="F723" s="9" t="s">
        <v>955</v>
      </c>
      <c r="G723" s="13">
        <v>300</v>
      </c>
      <c r="H723" s="8"/>
      <c r="I723" s="8"/>
      <c r="J723" s="41">
        <f>J722+Table234535[[#This Row],[AMOUNT]]-Table234535[[#This Row],[AMOUNT2]]-Table234535[[#This Row],[AMOUNT3]]</f>
        <v>-36534</v>
      </c>
      <c r="K723" s="79"/>
    </row>
    <row r="724" spans="1:11" hidden="1" x14ac:dyDescent="0.35">
      <c r="A724" s="64" t="s">
        <v>943</v>
      </c>
      <c r="B724" s="8"/>
      <c r="C724" s="8"/>
      <c r="D724" s="8" t="s">
        <v>65</v>
      </c>
      <c r="E724" s="8" t="s">
        <v>679</v>
      </c>
      <c r="F724" s="9" t="s">
        <v>955</v>
      </c>
      <c r="G724" s="13">
        <v>300</v>
      </c>
      <c r="H724" s="8"/>
      <c r="I724" s="8"/>
      <c r="J724" s="41">
        <f>J723+Table234535[[#This Row],[AMOUNT]]-Table234535[[#This Row],[AMOUNT2]]-Table234535[[#This Row],[AMOUNT3]]</f>
        <v>-36834</v>
      </c>
      <c r="K724" s="79"/>
    </row>
    <row r="725" spans="1:11" hidden="1" x14ac:dyDescent="0.35">
      <c r="A725" s="64" t="s">
        <v>943</v>
      </c>
      <c r="B725" s="8"/>
      <c r="C725" s="8"/>
      <c r="D725" s="8" t="s">
        <v>39</v>
      </c>
      <c r="E725" s="8" t="s">
        <v>679</v>
      </c>
      <c r="F725" s="9" t="s">
        <v>955</v>
      </c>
      <c r="G725" s="13">
        <v>400</v>
      </c>
      <c r="H725" s="8" t="s">
        <v>57</v>
      </c>
      <c r="I725" s="8">
        <v>10000</v>
      </c>
      <c r="J725" s="41">
        <f>J724+Table234535[[#This Row],[AMOUNT]]-Table234535[[#This Row],[AMOUNT2]]-Table234535[[#This Row],[AMOUNT3]]</f>
        <v>-47234</v>
      </c>
      <c r="K725" s="79"/>
    </row>
    <row r="726" spans="1:11" hidden="1" x14ac:dyDescent="0.35">
      <c r="A726" s="64" t="s">
        <v>943</v>
      </c>
      <c r="B726" s="8"/>
      <c r="C726" s="8"/>
      <c r="D726" s="8" t="s">
        <v>953</v>
      </c>
      <c r="E726" s="8" t="s">
        <v>27</v>
      </c>
      <c r="F726" s="9" t="s">
        <v>28</v>
      </c>
      <c r="G726" s="13">
        <v>1000</v>
      </c>
      <c r="H726" s="8"/>
      <c r="I726" s="8"/>
      <c r="J726" s="41">
        <f>J725+Table234535[[#This Row],[AMOUNT]]-Table234535[[#This Row],[AMOUNT2]]-Table234535[[#This Row],[AMOUNT3]]</f>
        <v>-48234</v>
      </c>
      <c r="K726" s="79"/>
    </row>
    <row r="727" spans="1:11" hidden="1" x14ac:dyDescent="0.35">
      <c r="A727" s="64" t="s">
        <v>944</v>
      </c>
      <c r="B727" s="8" t="s">
        <v>45</v>
      </c>
      <c r="C727" s="8">
        <v>15000</v>
      </c>
      <c r="D727" s="8"/>
      <c r="E727" s="8"/>
      <c r="F727" s="9"/>
      <c r="G727" s="13"/>
      <c r="H727" s="8"/>
      <c r="I727" s="8"/>
      <c r="J727" s="41">
        <f>J726+Table234535[[#This Row],[AMOUNT]]-Table234535[[#This Row],[AMOUNT2]]-Table234535[[#This Row],[AMOUNT3]]</f>
        <v>-33234</v>
      </c>
      <c r="K727" s="79"/>
    </row>
    <row r="728" spans="1:11" hidden="1" x14ac:dyDescent="0.35">
      <c r="A728" s="64" t="s">
        <v>944</v>
      </c>
      <c r="B728" s="8" t="s">
        <v>357</v>
      </c>
      <c r="C728" s="8">
        <v>3000</v>
      </c>
      <c r="D728" s="8" t="s">
        <v>65</v>
      </c>
      <c r="E728" s="8" t="s">
        <v>16</v>
      </c>
      <c r="F728" s="9" t="s">
        <v>933</v>
      </c>
      <c r="G728" s="13">
        <v>900</v>
      </c>
      <c r="H728" s="8"/>
      <c r="I728" s="8"/>
      <c r="J728" s="41">
        <f>J727+Table234535[[#This Row],[AMOUNT]]-Table234535[[#This Row],[AMOUNT2]]-Table234535[[#This Row],[AMOUNT3]]</f>
        <v>-31134</v>
      </c>
      <c r="K728" s="79"/>
    </row>
    <row r="729" spans="1:11" hidden="1" x14ac:dyDescent="0.35">
      <c r="A729" s="64" t="s">
        <v>944</v>
      </c>
      <c r="B729" s="8"/>
      <c r="C729" s="8"/>
      <c r="D729" s="8" t="s">
        <v>65</v>
      </c>
      <c r="E729" s="8" t="s">
        <v>68</v>
      </c>
      <c r="F729" s="9" t="s">
        <v>500</v>
      </c>
      <c r="G729" s="13">
        <v>1600</v>
      </c>
      <c r="H729" s="8"/>
      <c r="I729" s="8"/>
      <c r="J729" s="41">
        <f>J728+Table234535[[#This Row],[AMOUNT]]-Table234535[[#This Row],[AMOUNT2]]-Table234535[[#This Row],[AMOUNT3]]</f>
        <v>-32734</v>
      </c>
      <c r="K729" s="79"/>
    </row>
    <row r="730" spans="1:11" hidden="1" x14ac:dyDescent="0.35">
      <c r="A730" s="64" t="s">
        <v>944</v>
      </c>
      <c r="B730" s="8"/>
      <c r="C730" s="8"/>
      <c r="D730" s="8" t="s">
        <v>953</v>
      </c>
      <c r="E730" s="8" t="s">
        <v>16</v>
      </c>
      <c r="F730" s="9" t="s">
        <v>956</v>
      </c>
      <c r="G730" s="13">
        <v>1200</v>
      </c>
      <c r="H730" s="8"/>
      <c r="I730" s="8"/>
      <c r="J730" s="41">
        <f>J729+Table234535[[#This Row],[AMOUNT]]-Table234535[[#This Row],[AMOUNT2]]-Table234535[[#This Row],[AMOUNT3]]</f>
        <v>-33934</v>
      </c>
      <c r="K730" s="79"/>
    </row>
    <row r="731" spans="1:11" hidden="1" x14ac:dyDescent="0.35">
      <c r="A731" s="64" t="s">
        <v>944</v>
      </c>
      <c r="B731" s="8"/>
      <c r="C731" s="8"/>
      <c r="D731" s="8" t="s">
        <v>953</v>
      </c>
      <c r="E731" s="8" t="s">
        <v>68</v>
      </c>
      <c r="F731" s="9" t="s">
        <v>500</v>
      </c>
      <c r="G731" s="13">
        <v>800</v>
      </c>
      <c r="H731" s="8"/>
      <c r="I731" s="8"/>
      <c r="J731" s="41">
        <f>J730+Table234535[[#This Row],[AMOUNT]]-Table234535[[#This Row],[AMOUNT2]]-Table234535[[#This Row],[AMOUNT3]]</f>
        <v>-34734</v>
      </c>
      <c r="K731" s="79"/>
    </row>
    <row r="732" spans="1:11" hidden="1" x14ac:dyDescent="0.35">
      <c r="A732" s="64" t="s">
        <v>944</v>
      </c>
      <c r="B732" s="8"/>
      <c r="C732" s="8"/>
      <c r="D732" s="8" t="s">
        <v>39</v>
      </c>
      <c r="E732" s="8" t="s">
        <v>701</v>
      </c>
      <c r="F732" s="9" t="s">
        <v>959</v>
      </c>
      <c r="G732" s="13">
        <v>3500</v>
      </c>
      <c r="H732" s="8"/>
      <c r="I732" s="8"/>
      <c r="J732" s="41">
        <f>J731+Table234535[[#This Row],[AMOUNT]]-Table234535[[#This Row],[AMOUNT2]]-Table234535[[#This Row],[AMOUNT3]]</f>
        <v>-38234</v>
      </c>
      <c r="K732" s="79"/>
    </row>
    <row r="733" spans="1:11" hidden="1" x14ac:dyDescent="0.35">
      <c r="A733" s="64" t="s">
        <v>944</v>
      </c>
      <c r="B733" s="8"/>
      <c r="C733" s="8"/>
      <c r="D733" s="8" t="s">
        <v>957</v>
      </c>
      <c r="E733" s="8" t="s">
        <v>679</v>
      </c>
      <c r="F733" s="9" t="s">
        <v>958</v>
      </c>
      <c r="G733" s="13">
        <v>50</v>
      </c>
      <c r="H733" s="8"/>
      <c r="I733" s="8"/>
      <c r="J733" s="41">
        <f>J732+Table234535[[#This Row],[AMOUNT]]-Table234535[[#This Row],[AMOUNT2]]-Table234535[[#This Row],[AMOUNT3]]</f>
        <v>-38284</v>
      </c>
      <c r="K733" s="79"/>
    </row>
    <row r="734" spans="1:11" hidden="1" x14ac:dyDescent="0.35">
      <c r="A734" s="64" t="s">
        <v>944</v>
      </c>
      <c r="B734" s="8"/>
      <c r="C734" s="8"/>
      <c r="D734" s="8" t="s">
        <v>65</v>
      </c>
      <c r="E734" s="8" t="s">
        <v>24</v>
      </c>
      <c r="F734" s="9" t="s">
        <v>960</v>
      </c>
      <c r="G734" s="13">
        <v>400</v>
      </c>
      <c r="H734" s="8"/>
      <c r="I734" s="8"/>
      <c r="J734" s="41">
        <f>J733+Table234535[[#This Row],[AMOUNT]]-Table234535[[#This Row],[AMOUNT2]]-Table234535[[#This Row],[AMOUNT3]]</f>
        <v>-38684</v>
      </c>
      <c r="K734" s="79"/>
    </row>
    <row r="735" spans="1:11" hidden="1" x14ac:dyDescent="0.35">
      <c r="A735" s="64" t="s">
        <v>948</v>
      </c>
      <c r="B735" s="113" t="s">
        <v>45</v>
      </c>
      <c r="C735" s="113">
        <v>25500</v>
      </c>
      <c r="D735" s="113" t="s">
        <v>65</v>
      </c>
      <c r="E735" s="113" t="s">
        <v>682</v>
      </c>
      <c r="F735" s="96" t="s">
        <v>961</v>
      </c>
      <c r="G735" s="107">
        <v>300</v>
      </c>
      <c r="H735" s="8"/>
      <c r="I735" s="8"/>
      <c r="J735" s="41">
        <f>J734+Table234535[[#This Row],[AMOUNT]]-Table234535[[#This Row],[AMOUNT2]]-Table234535[[#This Row],[AMOUNT3]]</f>
        <v>-13484</v>
      </c>
      <c r="K735" s="79"/>
    </row>
    <row r="736" spans="1:11" hidden="1" x14ac:dyDescent="0.35">
      <c r="A736" s="64" t="s">
        <v>948</v>
      </c>
      <c r="B736" s="8"/>
      <c r="C736" s="8"/>
      <c r="D736" s="8" t="s">
        <v>953</v>
      </c>
      <c r="E736" s="8" t="s">
        <v>20</v>
      </c>
      <c r="F736" s="9" t="s">
        <v>962</v>
      </c>
      <c r="G736" s="13">
        <v>25500</v>
      </c>
      <c r="H736" s="8"/>
      <c r="I736" s="8"/>
      <c r="J736" s="41">
        <f>J735+Table234535[[#This Row],[AMOUNT]]-Table234535[[#This Row],[AMOUNT2]]-Table234535[[#This Row],[AMOUNT3]]</f>
        <v>-38984</v>
      </c>
      <c r="K736" s="79"/>
    </row>
    <row r="737" spans="1:11" hidden="1" x14ac:dyDescent="0.35">
      <c r="A737" s="64" t="s">
        <v>948</v>
      </c>
      <c r="B737" s="8"/>
      <c r="C737" s="8"/>
      <c r="D737" s="8" t="s">
        <v>953</v>
      </c>
      <c r="E737" s="8" t="s">
        <v>16</v>
      </c>
      <c r="F737" s="9" t="s">
        <v>963</v>
      </c>
      <c r="G737" s="13">
        <v>1000</v>
      </c>
      <c r="H737" s="8"/>
      <c r="I737" s="8"/>
      <c r="J737" s="41">
        <f>J736+Table234535[[#This Row],[AMOUNT]]-Table234535[[#This Row],[AMOUNT2]]-Table234535[[#This Row],[AMOUNT3]]</f>
        <v>-39984</v>
      </c>
      <c r="K737" s="79"/>
    </row>
    <row r="738" spans="1:11" hidden="1" x14ac:dyDescent="0.35">
      <c r="A738" s="64" t="s">
        <v>948</v>
      </c>
      <c r="B738" s="8"/>
      <c r="C738" s="8"/>
      <c r="D738" s="8" t="s">
        <v>953</v>
      </c>
      <c r="E738" s="8" t="s">
        <v>68</v>
      </c>
      <c r="F738" s="9" t="s">
        <v>467</v>
      </c>
      <c r="G738" s="13">
        <v>800</v>
      </c>
      <c r="H738" s="8"/>
      <c r="I738" s="8"/>
      <c r="J738" s="41">
        <f>J737+Table234535[[#This Row],[AMOUNT]]-Table234535[[#This Row],[AMOUNT2]]-Table234535[[#This Row],[AMOUNT3]]</f>
        <v>-40784</v>
      </c>
      <c r="K738" s="79"/>
    </row>
    <row r="739" spans="1:11" hidden="1" x14ac:dyDescent="0.35">
      <c r="A739" s="64" t="s">
        <v>948</v>
      </c>
      <c r="B739" s="8"/>
      <c r="C739" s="8"/>
      <c r="D739" s="8" t="s">
        <v>65</v>
      </c>
      <c r="E739" s="8" t="s">
        <v>16</v>
      </c>
      <c r="F739" s="9" t="s">
        <v>933</v>
      </c>
      <c r="G739" s="13">
        <v>900</v>
      </c>
      <c r="H739" s="8"/>
      <c r="I739" s="8"/>
      <c r="J739" s="41">
        <f>J738+Table234535[[#This Row],[AMOUNT]]-Table234535[[#This Row],[AMOUNT2]]-Table234535[[#This Row],[AMOUNT3]]</f>
        <v>-41684</v>
      </c>
      <c r="K739" s="79"/>
    </row>
    <row r="740" spans="1:11" hidden="1" x14ac:dyDescent="0.35">
      <c r="A740" s="64" t="s">
        <v>948</v>
      </c>
      <c r="B740" s="8"/>
      <c r="C740" s="8"/>
      <c r="D740" s="8" t="s">
        <v>65</v>
      </c>
      <c r="E740" s="8" t="s">
        <v>68</v>
      </c>
      <c r="F740" s="9" t="s">
        <v>467</v>
      </c>
      <c r="G740" s="13">
        <v>800</v>
      </c>
      <c r="H740" s="8"/>
      <c r="I740" s="8"/>
      <c r="J740" s="41">
        <f>J739+Table234535[[#This Row],[AMOUNT]]-Table234535[[#This Row],[AMOUNT2]]-Table234535[[#This Row],[AMOUNT3]]</f>
        <v>-42484</v>
      </c>
      <c r="K740" s="79"/>
    </row>
    <row r="741" spans="1:11" hidden="1" x14ac:dyDescent="0.35">
      <c r="A741" s="64" t="s">
        <v>948</v>
      </c>
      <c r="B741" s="8"/>
      <c r="C741" s="8"/>
      <c r="D741" s="8" t="s">
        <v>953</v>
      </c>
      <c r="E741" s="8" t="s">
        <v>682</v>
      </c>
      <c r="F741" s="9" t="s">
        <v>964</v>
      </c>
      <c r="G741" s="13">
        <v>2200</v>
      </c>
      <c r="H741" s="8"/>
      <c r="I741" s="8"/>
      <c r="J741" s="41">
        <f>J740+Table234535[[#This Row],[AMOUNT]]-Table234535[[#This Row],[AMOUNT2]]-Table234535[[#This Row],[AMOUNT3]]</f>
        <v>-44684</v>
      </c>
      <c r="K741" s="79"/>
    </row>
    <row r="742" spans="1:11" hidden="1" x14ac:dyDescent="0.35">
      <c r="A742" s="64" t="s">
        <v>949</v>
      </c>
      <c r="B742" s="8" t="s">
        <v>45</v>
      </c>
      <c r="C742" s="8">
        <v>15000</v>
      </c>
      <c r="D742" s="8"/>
      <c r="E742" s="8"/>
      <c r="F742" s="9"/>
      <c r="G742" s="13"/>
      <c r="H742" s="8"/>
      <c r="I742" s="8"/>
      <c r="J742" s="41">
        <f>J741+Table234535[[#This Row],[AMOUNT]]-Table234535[[#This Row],[AMOUNT2]]-Table234535[[#This Row],[AMOUNT3]]</f>
        <v>-29684</v>
      </c>
      <c r="K742" s="79"/>
    </row>
    <row r="743" spans="1:11" hidden="1" x14ac:dyDescent="0.35">
      <c r="A743" s="64" t="s">
        <v>949</v>
      </c>
      <c r="B743" s="8" t="s">
        <v>45</v>
      </c>
      <c r="C743" s="8">
        <v>15000</v>
      </c>
      <c r="D743" s="8"/>
      <c r="E743" s="8"/>
      <c r="F743" s="9"/>
      <c r="G743" s="13"/>
      <c r="H743" s="8"/>
      <c r="I743" s="8"/>
      <c r="J743" s="41">
        <f>J742+Table234535[[#This Row],[AMOUNT]]-Table234535[[#This Row],[AMOUNT2]]-Table234535[[#This Row],[AMOUNT3]]</f>
        <v>-14684</v>
      </c>
      <c r="K743" s="79"/>
    </row>
    <row r="744" spans="1:11" hidden="1" x14ac:dyDescent="0.35">
      <c r="A744" s="64" t="s">
        <v>949</v>
      </c>
      <c r="B744" s="8" t="s">
        <v>45</v>
      </c>
      <c r="C744" s="8">
        <v>1000</v>
      </c>
      <c r="D744" s="8"/>
      <c r="E744" s="8"/>
      <c r="F744" s="9"/>
      <c r="G744" s="13"/>
      <c r="H744" s="8"/>
      <c r="I744" s="8"/>
      <c r="J744" s="41">
        <f>J743+Table234535[[#This Row],[AMOUNT]]-Table234535[[#This Row],[AMOUNT2]]-Table234535[[#This Row],[AMOUNT3]]</f>
        <v>-13684</v>
      </c>
      <c r="K744" s="79"/>
    </row>
    <row r="745" spans="1:11" hidden="1" x14ac:dyDescent="0.35">
      <c r="A745" s="64" t="s">
        <v>949</v>
      </c>
      <c r="B745" s="8" t="s">
        <v>357</v>
      </c>
      <c r="C745" s="8">
        <v>10000</v>
      </c>
      <c r="D745" s="8" t="s">
        <v>39</v>
      </c>
      <c r="E745" s="8" t="s">
        <v>965</v>
      </c>
      <c r="F745" s="9" t="s">
        <v>966</v>
      </c>
      <c r="G745" s="13">
        <v>1000</v>
      </c>
      <c r="H745" s="8"/>
      <c r="I745" s="8"/>
      <c r="J745" s="41">
        <f>J744+Table234535[[#This Row],[AMOUNT]]-Table234535[[#This Row],[AMOUNT2]]-Table234535[[#This Row],[AMOUNT3]]</f>
        <v>-4684</v>
      </c>
      <c r="K745" s="79"/>
    </row>
    <row r="746" spans="1:11" hidden="1" x14ac:dyDescent="0.35">
      <c r="A746" s="64" t="s">
        <v>949</v>
      </c>
      <c r="B746" s="8"/>
      <c r="C746" s="8"/>
      <c r="D746" s="8" t="s">
        <v>953</v>
      </c>
      <c r="E746" s="8" t="s">
        <v>24</v>
      </c>
      <c r="F746" s="9" t="s">
        <v>978</v>
      </c>
      <c r="G746" s="13">
        <v>2000</v>
      </c>
      <c r="H746" s="8"/>
      <c r="I746" s="8"/>
      <c r="J746" s="41">
        <f>J745+Table234535[[#This Row],[AMOUNT]]-Table234535[[#This Row],[AMOUNT2]]-Table234535[[#This Row],[AMOUNT3]]</f>
        <v>-6684</v>
      </c>
      <c r="K746" s="79"/>
    </row>
    <row r="747" spans="1:11" hidden="1" x14ac:dyDescent="0.35">
      <c r="A747" s="64" t="s">
        <v>949</v>
      </c>
      <c r="B747" s="8"/>
      <c r="C747" s="8"/>
      <c r="D747" s="8" t="s">
        <v>953</v>
      </c>
      <c r="E747" s="8" t="s">
        <v>20</v>
      </c>
      <c r="F747" s="9" t="s">
        <v>967</v>
      </c>
      <c r="G747" s="13">
        <v>11900</v>
      </c>
      <c r="H747" s="8"/>
      <c r="I747" s="8"/>
      <c r="J747" s="41">
        <f>J746+Table234535[[#This Row],[AMOUNT]]-Table234535[[#This Row],[AMOUNT2]]-Table234535[[#This Row],[AMOUNT3]]</f>
        <v>-18584</v>
      </c>
      <c r="K747" s="79"/>
    </row>
    <row r="748" spans="1:11" hidden="1" x14ac:dyDescent="0.35">
      <c r="A748" s="64" t="s">
        <v>949</v>
      </c>
      <c r="B748" s="8"/>
      <c r="C748" s="8"/>
      <c r="D748" s="8"/>
      <c r="E748" s="8"/>
      <c r="F748" s="9"/>
      <c r="G748" s="13"/>
      <c r="H748" s="8" t="s">
        <v>57</v>
      </c>
      <c r="I748" s="8">
        <v>10000</v>
      </c>
      <c r="J748" s="41">
        <f>J747+Table234535[[#This Row],[AMOUNT]]-Table234535[[#This Row],[AMOUNT2]]-Table234535[[#This Row],[AMOUNT3]]</f>
        <v>-28584</v>
      </c>
      <c r="K748" s="79"/>
    </row>
    <row r="749" spans="1:11" hidden="1" x14ac:dyDescent="0.35">
      <c r="A749" s="64" t="s">
        <v>949</v>
      </c>
      <c r="B749" s="8"/>
      <c r="C749" s="8"/>
      <c r="D749" s="8" t="s">
        <v>65</v>
      </c>
      <c r="E749" s="8" t="s">
        <v>16</v>
      </c>
      <c r="F749" s="9" t="s">
        <v>933</v>
      </c>
      <c r="G749" s="13">
        <v>900</v>
      </c>
      <c r="H749" s="8"/>
      <c r="I749" s="8"/>
      <c r="J749" s="41">
        <f>J748+Table234535[[#This Row],[AMOUNT]]-Table234535[[#This Row],[AMOUNT2]]-Table234535[[#This Row],[AMOUNT3]]</f>
        <v>-29484</v>
      </c>
      <c r="K749" s="79"/>
    </row>
    <row r="750" spans="1:11" hidden="1" x14ac:dyDescent="0.35">
      <c r="A750" s="64" t="s">
        <v>949</v>
      </c>
      <c r="B750" s="8"/>
      <c r="C750" s="8"/>
      <c r="D750" s="8" t="s">
        <v>65</v>
      </c>
      <c r="E750" s="8" t="s">
        <v>68</v>
      </c>
      <c r="F750" s="9" t="s">
        <v>467</v>
      </c>
      <c r="G750" s="13">
        <v>800</v>
      </c>
      <c r="H750" s="8"/>
      <c r="I750" s="8"/>
      <c r="J750" s="41">
        <f>J749+Table234535[[#This Row],[AMOUNT]]-Table234535[[#This Row],[AMOUNT2]]-Table234535[[#This Row],[AMOUNT3]]</f>
        <v>-30284</v>
      </c>
      <c r="K750" s="79"/>
    </row>
    <row r="751" spans="1:11" hidden="1" x14ac:dyDescent="0.35">
      <c r="A751" s="64" t="s">
        <v>968</v>
      </c>
      <c r="B751" s="8"/>
      <c r="C751" s="8"/>
      <c r="D751" s="8" t="s">
        <v>91</v>
      </c>
      <c r="E751" s="8" t="s">
        <v>682</v>
      </c>
      <c r="F751" s="9" t="s">
        <v>969</v>
      </c>
      <c r="G751" s="13">
        <v>1000</v>
      </c>
      <c r="H751" s="8"/>
      <c r="I751" s="8"/>
      <c r="J751" s="41">
        <f>J750+Table234535[[#This Row],[AMOUNT]]-Table234535[[#This Row],[AMOUNT2]]-Table234535[[#This Row],[AMOUNT3]]</f>
        <v>-31284</v>
      </c>
      <c r="K751" s="79"/>
    </row>
    <row r="752" spans="1:11" hidden="1" x14ac:dyDescent="0.35">
      <c r="A752" s="64" t="s">
        <v>968</v>
      </c>
      <c r="B752" s="8"/>
      <c r="C752" s="8"/>
      <c r="D752" s="8"/>
      <c r="E752" s="8"/>
      <c r="F752" s="9"/>
      <c r="G752" s="13"/>
      <c r="H752" s="8" t="s">
        <v>970</v>
      </c>
      <c r="I752" s="8">
        <v>5400</v>
      </c>
      <c r="J752" s="41">
        <f>J751+Table234535[[#This Row],[AMOUNT]]-Table234535[[#This Row],[AMOUNT2]]-Table234535[[#This Row],[AMOUNT3]]</f>
        <v>-36684</v>
      </c>
      <c r="K752" s="79"/>
    </row>
    <row r="753" spans="1:11" hidden="1" x14ac:dyDescent="0.35">
      <c r="A753" s="64" t="s">
        <v>968</v>
      </c>
      <c r="B753" s="8"/>
      <c r="C753" s="8"/>
      <c r="D753" s="8" t="s">
        <v>65</v>
      </c>
      <c r="E753" s="8" t="s">
        <v>16</v>
      </c>
      <c r="F753" s="9" t="s">
        <v>933</v>
      </c>
      <c r="G753" s="13">
        <v>900</v>
      </c>
      <c r="H753" s="8"/>
      <c r="I753" s="8"/>
      <c r="J753" s="41">
        <f>J752+Table234535[[#This Row],[AMOUNT]]-Table234535[[#This Row],[AMOUNT2]]-Table234535[[#This Row],[AMOUNT3]]</f>
        <v>-37584</v>
      </c>
      <c r="K753" s="79"/>
    </row>
    <row r="754" spans="1:11" hidden="1" x14ac:dyDescent="0.35">
      <c r="A754" s="64" t="s">
        <v>968</v>
      </c>
      <c r="B754" s="8"/>
      <c r="C754" s="8"/>
      <c r="D754" s="8" t="s">
        <v>65</v>
      </c>
      <c r="E754" s="8" t="s">
        <v>68</v>
      </c>
      <c r="F754" s="9" t="s">
        <v>467</v>
      </c>
      <c r="G754" s="13">
        <v>800</v>
      </c>
      <c r="H754" s="8"/>
      <c r="I754" s="8"/>
      <c r="J754" s="41">
        <f>J753+Table234535[[#This Row],[AMOUNT]]-Table234535[[#This Row],[AMOUNT2]]-Table234535[[#This Row],[AMOUNT3]]</f>
        <v>-38384</v>
      </c>
      <c r="K754" s="79"/>
    </row>
    <row r="755" spans="1:11" hidden="1" x14ac:dyDescent="0.35">
      <c r="A755" s="64" t="s">
        <v>968</v>
      </c>
      <c r="B755" s="8"/>
      <c r="C755" s="8"/>
      <c r="D755" s="8" t="s">
        <v>39</v>
      </c>
      <c r="E755" s="8" t="s">
        <v>20</v>
      </c>
      <c r="F755" s="9" t="s">
        <v>972</v>
      </c>
      <c r="G755" s="13">
        <v>3600</v>
      </c>
      <c r="H755" s="8"/>
      <c r="I755" s="8"/>
      <c r="J755" s="41">
        <f>J754+Table234535[[#This Row],[AMOUNT]]-Table234535[[#This Row],[AMOUNT2]]-Table234535[[#This Row],[AMOUNT3]]</f>
        <v>-41984</v>
      </c>
      <c r="K755" s="79"/>
    </row>
    <row r="756" spans="1:11" hidden="1" x14ac:dyDescent="0.35">
      <c r="A756" s="64" t="s">
        <v>968</v>
      </c>
      <c r="B756" s="8"/>
      <c r="C756" s="8"/>
      <c r="D756" s="8" t="s">
        <v>39</v>
      </c>
      <c r="E756" s="8" t="s">
        <v>20</v>
      </c>
      <c r="F756" s="9" t="s">
        <v>973</v>
      </c>
      <c r="G756" s="13">
        <v>400</v>
      </c>
      <c r="H756" s="8"/>
      <c r="I756" s="8"/>
      <c r="J756" s="41">
        <f>J755+Table234535[[#This Row],[AMOUNT]]-Table234535[[#This Row],[AMOUNT2]]-Table234535[[#This Row],[AMOUNT3]]</f>
        <v>-42384</v>
      </c>
      <c r="K756" s="79"/>
    </row>
    <row r="757" spans="1:11" hidden="1" x14ac:dyDescent="0.35">
      <c r="A757" s="64" t="s">
        <v>968</v>
      </c>
      <c r="B757" s="8"/>
      <c r="C757" s="8"/>
      <c r="D757" s="8" t="s">
        <v>39</v>
      </c>
      <c r="E757" s="8" t="s">
        <v>20</v>
      </c>
      <c r="F757" s="9" t="s">
        <v>974</v>
      </c>
      <c r="G757" s="13">
        <v>600</v>
      </c>
      <c r="H757" s="8"/>
      <c r="I757" s="8"/>
      <c r="J757" s="41">
        <f>J756+Table234535[[#This Row],[AMOUNT]]-Table234535[[#This Row],[AMOUNT2]]-Table234535[[#This Row],[AMOUNT3]]</f>
        <v>-42984</v>
      </c>
      <c r="K757" s="79"/>
    </row>
    <row r="758" spans="1:11" hidden="1" x14ac:dyDescent="0.35">
      <c r="A758" s="64" t="s">
        <v>968</v>
      </c>
      <c r="B758" s="8"/>
      <c r="C758" s="8"/>
      <c r="D758" s="8" t="s">
        <v>91</v>
      </c>
      <c r="E758" s="8" t="s">
        <v>68</v>
      </c>
      <c r="F758" s="9" t="s">
        <v>971</v>
      </c>
      <c r="G758" s="13">
        <v>800</v>
      </c>
      <c r="H758" s="8"/>
      <c r="I758" s="8"/>
      <c r="J758" s="41">
        <f>J757+Table234535[[#This Row],[AMOUNT]]-Table234535[[#This Row],[AMOUNT2]]-Table234535[[#This Row],[AMOUNT3]]</f>
        <v>-43784</v>
      </c>
      <c r="K758" s="79"/>
    </row>
    <row r="759" spans="1:11" hidden="1" x14ac:dyDescent="0.35">
      <c r="A759" s="64" t="s">
        <v>968</v>
      </c>
      <c r="B759" s="8"/>
      <c r="C759" s="8"/>
      <c r="D759" s="8" t="s">
        <v>953</v>
      </c>
      <c r="E759" s="8" t="s">
        <v>68</v>
      </c>
      <c r="F759" s="9" t="s">
        <v>467</v>
      </c>
      <c r="G759" s="13">
        <v>800</v>
      </c>
      <c r="H759" s="8"/>
      <c r="I759" s="8"/>
      <c r="J759" s="41">
        <f>J758+Table234535[[#This Row],[AMOUNT]]-Table234535[[#This Row],[AMOUNT2]]-Table234535[[#This Row],[AMOUNT3]]</f>
        <v>-44584</v>
      </c>
      <c r="K759" s="79"/>
    </row>
    <row r="760" spans="1:11" hidden="1" x14ac:dyDescent="0.35">
      <c r="A760" s="64" t="s">
        <v>968</v>
      </c>
      <c r="B760" s="8"/>
      <c r="C760" s="18"/>
      <c r="D760" s="113" t="s">
        <v>39</v>
      </c>
      <c r="E760" s="113" t="s">
        <v>701</v>
      </c>
      <c r="F760" s="96" t="s">
        <v>975</v>
      </c>
      <c r="G760" s="107">
        <v>2850</v>
      </c>
      <c r="H760" s="8"/>
      <c r="I760" s="8"/>
      <c r="J760" s="41">
        <f>J759+Table234535[[#This Row],[AMOUNT]]-Table234535[[#This Row],[AMOUNT2]]-Table234535[[#This Row],[AMOUNT3]]</f>
        <v>-47434</v>
      </c>
      <c r="K760" s="79"/>
    </row>
    <row r="761" spans="1:11" hidden="1" x14ac:dyDescent="0.35">
      <c r="A761" s="64" t="s">
        <v>968</v>
      </c>
      <c r="B761" s="8"/>
      <c r="C761" s="8"/>
      <c r="D761" s="113" t="s">
        <v>47</v>
      </c>
      <c r="E761" s="113" t="s">
        <v>679</v>
      </c>
      <c r="F761" s="96" t="s">
        <v>976</v>
      </c>
      <c r="G761" s="107">
        <v>430</v>
      </c>
      <c r="H761" s="8"/>
      <c r="I761" s="8"/>
      <c r="J761" s="41">
        <f>J760+Table234535[[#This Row],[AMOUNT]]-Table234535[[#This Row],[AMOUNT2]]-Table234535[[#This Row],[AMOUNT3]]</f>
        <v>-47864</v>
      </c>
      <c r="K761" s="79"/>
    </row>
    <row r="762" spans="1:11" hidden="1" x14ac:dyDescent="0.35">
      <c r="A762" s="64" t="s">
        <v>968</v>
      </c>
      <c r="B762" s="8"/>
      <c r="C762" s="8"/>
      <c r="D762" s="8" t="s">
        <v>39</v>
      </c>
      <c r="E762" s="8" t="s">
        <v>771</v>
      </c>
      <c r="F762" s="9" t="s">
        <v>977</v>
      </c>
      <c r="G762" s="13">
        <v>700</v>
      </c>
      <c r="H762" s="8"/>
      <c r="I762" s="8"/>
      <c r="J762" s="41">
        <f>J761+Table234535[[#This Row],[AMOUNT]]-Table234535[[#This Row],[AMOUNT2]]-Table234535[[#This Row],[AMOUNT3]]</f>
        <v>-48564</v>
      </c>
      <c r="K762" s="79"/>
    </row>
    <row r="763" spans="1:11" hidden="1" x14ac:dyDescent="0.35">
      <c r="A763" s="64" t="s">
        <v>1035</v>
      </c>
      <c r="B763" s="8" t="s">
        <v>1055</v>
      </c>
      <c r="C763" s="8">
        <v>20000</v>
      </c>
      <c r="D763" s="8"/>
      <c r="E763" s="8"/>
      <c r="F763" s="9"/>
      <c r="G763" s="13"/>
      <c r="H763" s="8"/>
      <c r="I763" s="8"/>
      <c r="J763" s="41">
        <f>J762+Table234535[[#This Row],[AMOUNT]]-Table234535[[#This Row],[AMOUNT2]]-Table234535[[#This Row],[AMOUNT3]]</f>
        <v>-28564</v>
      </c>
      <c r="K763" s="79"/>
    </row>
    <row r="764" spans="1:11" hidden="1" x14ac:dyDescent="0.35">
      <c r="A764" s="64" t="s">
        <v>1035</v>
      </c>
      <c r="B764" s="8"/>
      <c r="C764" s="8"/>
      <c r="D764" s="8" t="s">
        <v>65</v>
      </c>
      <c r="E764" s="8" t="s">
        <v>1053</v>
      </c>
      <c r="F764" s="9" t="s">
        <v>933</v>
      </c>
      <c r="G764" s="13">
        <v>900</v>
      </c>
      <c r="H764" s="8"/>
      <c r="I764" s="8"/>
      <c r="J764" s="41">
        <f>J763+Table234535[[#This Row],[AMOUNT]]-Table234535[[#This Row],[AMOUNT2]]-Table234535[[#This Row],[AMOUNT3]]</f>
        <v>-29464</v>
      </c>
      <c r="K764" s="79"/>
    </row>
    <row r="765" spans="1:11" hidden="1" x14ac:dyDescent="0.35">
      <c r="A765" s="64" t="s">
        <v>1035</v>
      </c>
      <c r="B765" s="8"/>
      <c r="C765" s="8"/>
      <c r="D765" s="8" t="s">
        <v>65</v>
      </c>
      <c r="E765" s="8" t="s">
        <v>68</v>
      </c>
      <c r="F765" s="9" t="s">
        <v>467</v>
      </c>
      <c r="G765" s="13">
        <v>800</v>
      </c>
      <c r="H765" s="8"/>
      <c r="I765" s="8"/>
      <c r="J765" s="41">
        <f>J764+Table234535[[#This Row],[AMOUNT]]-Table234535[[#This Row],[AMOUNT2]]-Table234535[[#This Row],[AMOUNT3]]</f>
        <v>-30264</v>
      </c>
      <c r="K765" s="79"/>
    </row>
    <row r="766" spans="1:11" hidden="1" x14ac:dyDescent="0.35">
      <c r="A766" s="64" t="s">
        <v>1035</v>
      </c>
      <c r="B766" s="8"/>
      <c r="C766" s="8"/>
      <c r="D766" s="8" t="s">
        <v>953</v>
      </c>
      <c r="E766" s="8" t="s">
        <v>68</v>
      </c>
      <c r="F766" s="9" t="s">
        <v>467</v>
      </c>
      <c r="G766" s="13">
        <v>800</v>
      </c>
      <c r="H766" s="8"/>
      <c r="I766" s="8"/>
      <c r="J766" s="41">
        <f>J765+Table234535[[#This Row],[AMOUNT]]-Table234535[[#This Row],[AMOUNT2]]-Table234535[[#This Row],[AMOUNT3]]</f>
        <v>-31064</v>
      </c>
      <c r="K766" s="79"/>
    </row>
    <row r="767" spans="1:11" hidden="1" x14ac:dyDescent="0.35">
      <c r="A767" s="64" t="s">
        <v>1035</v>
      </c>
      <c r="B767" s="8"/>
      <c r="C767" s="8"/>
      <c r="D767" s="8" t="s">
        <v>1047</v>
      </c>
      <c r="E767" s="8" t="s">
        <v>20</v>
      </c>
      <c r="F767" s="9" t="s">
        <v>1054</v>
      </c>
      <c r="G767" s="13">
        <v>2700</v>
      </c>
      <c r="H767" s="8"/>
      <c r="I767" s="8"/>
      <c r="J767" s="41">
        <f>J766+Table234535[[#This Row],[AMOUNT]]-Table234535[[#This Row],[AMOUNT2]]-Table234535[[#This Row],[AMOUNT3]]</f>
        <v>-33764</v>
      </c>
      <c r="K767" s="79"/>
    </row>
    <row r="768" spans="1:11" hidden="1" x14ac:dyDescent="0.35">
      <c r="A768" s="64" t="s">
        <v>1017</v>
      </c>
      <c r="B768" s="8"/>
      <c r="C768" s="8"/>
      <c r="D768" s="8" t="s">
        <v>65</v>
      </c>
      <c r="E768" s="8" t="s">
        <v>1053</v>
      </c>
      <c r="F768" s="9" t="s">
        <v>933</v>
      </c>
      <c r="G768" s="13">
        <v>900</v>
      </c>
      <c r="H768" s="8"/>
      <c r="I768" s="8"/>
      <c r="J768" s="41">
        <f>J767+Table234535[[#This Row],[AMOUNT]]-Table234535[[#This Row],[AMOUNT2]]-Table234535[[#This Row],[AMOUNT3]]</f>
        <v>-34664</v>
      </c>
      <c r="K768" s="79"/>
    </row>
    <row r="769" spans="1:11" hidden="1" x14ac:dyDescent="0.35">
      <c r="A769" s="64" t="s">
        <v>1017</v>
      </c>
      <c r="B769" s="8"/>
      <c r="C769" s="8"/>
      <c r="D769" s="8" t="s">
        <v>65</v>
      </c>
      <c r="E769" s="8" t="s">
        <v>68</v>
      </c>
      <c r="F769" s="9" t="s">
        <v>500</v>
      </c>
      <c r="G769" s="13">
        <v>1600</v>
      </c>
      <c r="H769" s="8"/>
      <c r="I769" s="8"/>
      <c r="J769" s="41">
        <f>J768+Table234535[[#This Row],[AMOUNT]]-Table234535[[#This Row],[AMOUNT2]]-Table234535[[#This Row],[AMOUNT3]]</f>
        <v>-36264</v>
      </c>
      <c r="K769" s="79"/>
    </row>
    <row r="770" spans="1:11" hidden="1" x14ac:dyDescent="0.35">
      <c r="A770" s="64" t="s">
        <v>1017</v>
      </c>
      <c r="B770" s="8"/>
      <c r="C770" s="8"/>
      <c r="D770" s="8" t="s">
        <v>1047</v>
      </c>
      <c r="E770" s="8" t="s">
        <v>20</v>
      </c>
      <c r="F770" s="9" t="s">
        <v>1056</v>
      </c>
      <c r="G770" s="13">
        <v>450</v>
      </c>
      <c r="H770" s="8"/>
      <c r="I770" s="8"/>
      <c r="J770" s="41">
        <f>J769+Table234535[[#This Row],[AMOUNT]]-Table234535[[#This Row],[AMOUNT2]]-Table234535[[#This Row],[AMOUNT3]]</f>
        <v>-36714</v>
      </c>
      <c r="K770" s="79"/>
    </row>
    <row r="771" spans="1:11" hidden="1" x14ac:dyDescent="0.35">
      <c r="A771" s="64" t="s">
        <v>1017</v>
      </c>
      <c r="B771" s="8"/>
      <c r="C771" s="8"/>
      <c r="D771" s="8" t="s">
        <v>1047</v>
      </c>
      <c r="E771" s="8" t="s">
        <v>20</v>
      </c>
      <c r="F771" s="9" t="s">
        <v>1057</v>
      </c>
      <c r="G771" s="13">
        <v>400</v>
      </c>
      <c r="H771" s="8"/>
      <c r="I771" s="8"/>
      <c r="J771" s="41">
        <f>J770+Table234535[[#This Row],[AMOUNT]]-Table234535[[#This Row],[AMOUNT2]]-Table234535[[#This Row],[AMOUNT3]]</f>
        <v>-37114</v>
      </c>
      <c r="K771" s="79"/>
    </row>
    <row r="772" spans="1:11" hidden="1" x14ac:dyDescent="0.35">
      <c r="A772" s="64" t="s">
        <v>1017</v>
      </c>
      <c r="B772" s="8"/>
      <c r="C772" s="8"/>
      <c r="D772" s="8" t="s">
        <v>953</v>
      </c>
      <c r="E772" s="8" t="s">
        <v>679</v>
      </c>
      <c r="F772" s="9" t="s">
        <v>955</v>
      </c>
      <c r="G772" s="13">
        <v>300</v>
      </c>
      <c r="H772" s="8"/>
      <c r="I772" s="8"/>
      <c r="J772" s="41">
        <f>J771+Table234535[[#This Row],[AMOUNT]]-Table234535[[#This Row],[AMOUNT2]]-Table234535[[#This Row],[AMOUNT3]]</f>
        <v>-37414</v>
      </c>
      <c r="K772" s="79"/>
    </row>
    <row r="773" spans="1:11" hidden="1" x14ac:dyDescent="0.35">
      <c r="A773" s="64" t="s">
        <v>1017</v>
      </c>
      <c r="B773" s="8"/>
      <c r="C773" s="8"/>
      <c r="D773" s="8" t="s">
        <v>65</v>
      </c>
      <c r="E773" s="8" t="s">
        <v>679</v>
      </c>
      <c r="F773" s="9" t="s">
        <v>955</v>
      </c>
      <c r="G773" s="13">
        <v>300</v>
      </c>
      <c r="H773" s="8"/>
      <c r="I773" s="8"/>
      <c r="J773" s="41">
        <f>J772+Table234535[[#This Row],[AMOUNT]]-Table234535[[#This Row],[AMOUNT2]]-Table234535[[#This Row],[AMOUNT3]]</f>
        <v>-37714</v>
      </c>
      <c r="K773" s="79"/>
    </row>
    <row r="774" spans="1:11" hidden="1" x14ac:dyDescent="0.35">
      <c r="A774" s="64" t="s">
        <v>1017</v>
      </c>
      <c r="B774" s="8"/>
      <c r="C774" s="8"/>
      <c r="D774" s="8" t="s">
        <v>39</v>
      </c>
      <c r="E774" s="8" t="s">
        <v>679</v>
      </c>
      <c r="F774" s="9" t="s">
        <v>955</v>
      </c>
      <c r="G774" s="13">
        <v>400</v>
      </c>
      <c r="H774" s="8"/>
      <c r="I774" s="8"/>
      <c r="J774" s="41">
        <f>J773+Table234535[[#This Row],[AMOUNT]]-Table234535[[#This Row],[AMOUNT2]]-Table234535[[#This Row],[AMOUNT3]]</f>
        <v>-38114</v>
      </c>
      <c r="K774" s="79"/>
    </row>
    <row r="775" spans="1:11" hidden="1" x14ac:dyDescent="0.35">
      <c r="A775" s="64" t="s">
        <v>1020</v>
      </c>
      <c r="B775" s="8" t="s">
        <v>45</v>
      </c>
      <c r="C775" s="8">
        <v>14500</v>
      </c>
      <c r="D775" s="8"/>
      <c r="E775" s="8"/>
      <c r="F775" s="9"/>
      <c r="G775" s="13"/>
      <c r="H775" s="8"/>
      <c r="I775" s="8"/>
      <c r="J775" s="41">
        <f>J774+Table234535[[#This Row],[AMOUNT]]-Table234535[[#This Row],[AMOUNT2]]-Table234535[[#This Row],[AMOUNT3]]</f>
        <v>-23614</v>
      </c>
      <c r="K775" s="79"/>
    </row>
    <row r="776" spans="1:11" hidden="1" x14ac:dyDescent="0.35">
      <c r="A776" s="64" t="s">
        <v>1020</v>
      </c>
      <c r="B776" s="8" t="s">
        <v>1055</v>
      </c>
      <c r="C776" s="8">
        <v>20000</v>
      </c>
      <c r="D776" s="8"/>
      <c r="E776" s="8"/>
      <c r="F776" s="9"/>
      <c r="G776" s="13"/>
      <c r="H776" s="8"/>
      <c r="I776" s="8"/>
      <c r="J776" s="41">
        <f>J775+Table234535[[#This Row],[AMOUNT]]-Table234535[[#This Row],[AMOUNT2]]-Table234535[[#This Row],[AMOUNT3]]</f>
        <v>-3614</v>
      </c>
      <c r="K776" s="79"/>
    </row>
    <row r="777" spans="1:11" hidden="1" x14ac:dyDescent="0.35">
      <c r="A777" s="64" t="s">
        <v>1020</v>
      </c>
      <c r="B777" s="8"/>
      <c r="C777" s="8"/>
      <c r="D777" s="8" t="s">
        <v>65</v>
      </c>
      <c r="E777" s="8" t="s">
        <v>1053</v>
      </c>
      <c r="F777" s="9" t="s">
        <v>933</v>
      </c>
      <c r="G777" s="13">
        <v>900</v>
      </c>
      <c r="H777" s="8"/>
      <c r="I777" s="8"/>
      <c r="J777" s="41">
        <f>J776+Table234535[[#This Row],[AMOUNT]]-Table234535[[#This Row],[AMOUNT2]]-Table234535[[#This Row],[AMOUNT3]]</f>
        <v>-4514</v>
      </c>
      <c r="K777" s="79"/>
    </row>
    <row r="778" spans="1:11" hidden="1" x14ac:dyDescent="0.35">
      <c r="A778" s="64" t="s">
        <v>1020</v>
      </c>
      <c r="B778" s="8"/>
      <c r="C778" s="8"/>
      <c r="D778" s="8" t="s">
        <v>65</v>
      </c>
      <c r="E778" s="8" t="s">
        <v>68</v>
      </c>
      <c r="F778" s="9" t="s">
        <v>467</v>
      </c>
      <c r="G778" s="13">
        <v>800</v>
      </c>
      <c r="H778" s="8"/>
      <c r="I778" s="8"/>
      <c r="J778" s="41">
        <f>J777+Table234535[[#This Row],[AMOUNT]]-Table234535[[#This Row],[AMOUNT2]]-Table234535[[#This Row],[AMOUNT3]]</f>
        <v>-5314</v>
      </c>
      <c r="K778" s="79"/>
    </row>
    <row r="779" spans="1:11" hidden="1" x14ac:dyDescent="0.35">
      <c r="A779" s="64" t="s">
        <v>1020</v>
      </c>
      <c r="B779" s="8"/>
      <c r="C779" s="8"/>
      <c r="D779" s="8" t="s">
        <v>1047</v>
      </c>
      <c r="E779" s="8" t="s">
        <v>20</v>
      </c>
      <c r="F779" s="9" t="s">
        <v>1058</v>
      </c>
      <c r="G779" s="13">
        <v>1575</v>
      </c>
      <c r="H779" s="8"/>
      <c r="I779" s="8"/>
      <c r="J779" s="41">
        <f>J778+Table234535[[#This Row],[AMOUNT]]-Table234535[[#This Row],[AMOUNT2]]-Table234535[[#This Row],[AMOUNT3]]</f>
        <v>-6889</v>
      </c>
      <c r="K779" s="79"/>
    </row>
    <row r="780" spans="1:11" hidden="1" x14ac:dyDescent="0.35">
      <c r="A780" s="64" t="s">
        <v>1020</v>
      </c>
      <c r="B780" s="8"/>
      <c r="C780" s="8"/>
      <c r="D780" s="8" t="s">
        <v>65</v>
      </c>
      <c r="E780" s="8" t="s">
        <v>682</v>
      </c>
      <c r="F780" s="9" t="s">
        <v>1059</v>
      </c>
      <c r="G780" s="13">
        <v>1000</v>
      </c>
      <c r="H780" s="8"/>
      <c r="I780" s="8"/>
      <c r="J780" s="41">
        <f>J779+Table234535[[#This Row],[AMOUNT]]-Table234535[[#This Row],[AMOUNT2]]-Table234535[[#This Row],[AMOUNT3]]</f>
        <v>-7889</v>
      </c>
      <c r="K780" s="79"/>
    </row>
    <row r="781" spans="1:11" hidden="1" x14ac:dyDescent="0.35">
      <c r="A781" s="64" t="s">
        <v>1020</v>
      </c>
      <c r="B781" s="8"/>
      <c r="C781" s="8"/>
      <c r="D781" s="8" t="s">
        <v>65</v>
      </c>
      <c r="E781" s="8" t="s">
        <v>20</v>
      </c>
      <c r="F781" s="9" t="s">
        <v>1060</v>
      </c>
      <c r="G781" s="13">
        <v>7400</v>
      </c>
      <c r="H781" s="8"/>
      <c r="I781" s="8"/>
      <c r="J781" s="41">
        <f>J780+Table234535[[#This Row],[AMOUNT]]-Table234535[[#This Row],[AMOUNT2]]-Table234535[[#This Row],[AMOUNT3]]</f>
        <v>-15289</v>
      </c>
      <c r="K781" s="79"/>
    </row>
    <row r="782" spans="1:11" hidden="1" x14ac:dyDescent="0.35">
      <c r="A782" s="64" t="s">
        <v>1020</v>
      </c>
      <c r="B782" s="8"/>
      <c r="C782" s="8"/>
      <c r="D782" s="8" t="s">
        <v>65</v>
      </c>
      <c r="E782" s="8" t="s">
        <v>20</v>
      </c>
      <c r="F782" s="9" t="s">
        <v>1062</v>
      </c>
      <c r="G782" s="13">
        <v>3700</v>
      </c>
      <c r="H782" s="8"/>
      <c r="I782" s="8"/>
      <c r="J782" s="41">
        <f>J781+Table234535[[#This Row],[AMOUNT]]-Table234535[[#This Row],[AMOUNT2]]-Table234535[[#This Row],[AMOUNT3]]</f>
        <v>-18989</v>
      </c>
      <c r="K782" s="79"/>
    </row>
    <row r="783" spans="1:11" hidden="1" x14ac:dyDescent="0.35">
      <c r="A783" s="64" t="s">
        <v>1020</v>
      </c>
      <c r="B783" s="8"/>
      <c r="C783" s="8"/>
      <c r="D783" s="8" t="s">
        <v>65</v>
      </c>
      <c r="E783" s="8" t="s">
        <v>20</v>
      </c>
      <c r="F783" s="9" t="s">
        <v>1061</v>
      </c>
      <c r="G783" s="13">
        <v>3400</v>
      </c>
      <c r="H783" s="8"/>
      <c r="I783" s="8"/>
      <c r="J783" s="41">
        <f>J782+Table234535[[#This Row],[AMOUNT]]-Table234535[[#This Row],[AMOUNT2]]-Table234535[[#This Row],[AMOUNT3]]</f>
        <v>-22389</v>
      </c>
      <c r="K783" s="79"/>
    </row>
    <row r="784" spans="1:11" hidden="1" x14ac:dyDescent="0.35">
      <c r="A784" s="64" t="s">
        <v>1040</v>
      </c>
      <c r="B784" s="8"/>
      <c r="C784" s="8"/>
      <c r="D784" s="8"/>
      <c r="E784" s="8"/>
      <c r="F784" s="9"/>
      <c r="G784" s="13"/>
      <c r="H784" s="8" t="s">
        <v>57</v>
      </c>
      <c r="I784" s="8">
        <v>4000</v>
      </c>
      <c r="J784" s="41">
        <f>J783+Table234535[[#This Row],[AMOUNT]]-Table234535[[#This Row],[AMOUNT2]]-Table234535[[#This Row],[AMOUNT3]]</f>
        <v>-26389</v>
      </c>
      <c r="K784" s="79"/>
    </row>
    <row r="785" spans="1:11" hidden="1" x14ac:dyDescent="0.35">
      <c r="A785" s="64" t="s">
        <v>1040</v>
      </c>
      <c r="B785" s="8"/>
      <c r="C785" s="8"/>
      <c r="D785" s="8"/>
      <c r="E785" s="8"/>
      <c r="F785" s="9"/>
      <c r="G785" s="13"/>
      <c r="H785" s="8" t="s">
        <v>970</v>
      </c>
      <c r="I785" s="8">
        <v>2000</v>
      </c>
      <c r="J785" s="41">
        <f>J784+Table234535[[#This Row],[AMOUNT]]-Table234535[[#This Row],[AMOUNT2]]-Table234535[[#This Row],[AMOUNT3]]</f>
        <v>-28389</v>
      </c>
      <c r="K785" s="79"/>
    </row>
    <row r="786" spans="1:11" hidden="1" x14ac:dyDescent="0.35">
      <c r="A786" s="64" t="s">
        <v>1040</v>
      </c>
      <c r="B786" s="8"/>
      <c r="C786" s="8"/>
      <c r="D786" s="8"/>
      <c r="E786" s="8"/>
      <c r="F786" s="9"/>
      <c r="G786" s="13"/>
      <c r="H786" s="8" t="s">
        <v>1063</v>
      </c>
      <c r="I786" s="8">
        <v>1000</v>
      </c>
      <c r="J786" s="41">
        <f>J785+Table234535[[#This Row],[AMOUNT]]-Table234535[[#This Row],[AMOUNT2]]-Table234535[[#This Row],[AMOUNT3]]</f>
        <v>-29389</v>
      </c>
      <c r="K786" s="79"/>
    </row>
    <row r="787" spans="1:11" hidden="1" x14ac:dyDescent="0.35">
      <c r="A787" s="64" t="s">
        <v>1040</v>
      </c>
      <c r="B787" s="8"/>
      <c r="C787" s="8"/>
      <c r="D787" s="8" t="s">
        <v>382</v>
      </c>
      <c r="E787" s="8" t="s">
        <v>383</v>
      </c>
      <c r="F787" s="9" t="s">
        <v>1064</v>
      </c>
      <c r="G787" s="13">
        <v>850</v>
      </c>
      <c r="H787" s="8"/>
      <c r="I787" s="8"/>
      <c r="J787" s="41">
        <f>J786+Table234535[[#This Row],[AMOUNT]]-Table234535[[#This Row],[AMOUNT2]]-Table234535[[#This Row],[AMOUNT3]]</f>
        <v>-30239</v>
      </c>
      <c r="K787" s="79"/>
    </row>
    <row r="788" spans="1:11" hidden="1" x14ac:dyDescent="0.35">
      <c r="A788" s="64" t="s">
        <v>1025</v>
      </c>
      <c r="B788" s="8" t="s">
        <v>1065</v>
      </c>
      <c r="C788" s="8">
        <v>10000</v>
      </c>
      <c r="D788" s="8"/>
      <c r="E788" s="8"/>
      <c r="F788" s="9"/>
      <c r="G788" s="13"/>
      <c r="H788" s="8"/>
      <c r="I788" s="8"/>
      <c r="J788" s="41">
        <f>J787+Table234535[[#This Row],[AMOUNT]]-Table234535[[#This Row],[AMOUNT2]]-Table234535[[#This Row],[AMOUNT3]]</f>
        <v>-20239</v>
      </c>
      <c r="K788" s="79"/>
    </row>
    <row r="789" spans="1:11" hidden="1" x14ac:dyDescent="0.35">
      <c r="A789" s="64" t="s">
        <v>1025</v>
      </c>
      <c r="B789" s="8" t="s">
        <v>45</v>
      </c>
      <c r="C789" s="8">
        <v>5000</v>
      </c>
      <c r="D789" s="8"/>
      <c r="E789" s="8"/>
      <c r="F789" s="9"/>
      <c r="G789" s="13"/>
      <c r="H789" s="8"/>
      <c r="I789" s="8"/>
      <c r="J789" s="41">
        <f>J788+Table234535[[#This Row],[AMOUNT]]-Table234535[[#This Row],[AMOUNT2]]-Table234535[[#This Row],[AMOUNT3]]</f>
        <v>-15239</v>
      </c>
      <c r="K789" s="79"/>
    </row>
    <row r="790" spans="1:11" hidden="1" x14ac:dyDescent="0.35">
      <c r="A790" s="64" t="s">
        <v>1025</v>
      </c>
      <c r="B790" s="8" t="s">
        <v>45</v>
      </c>
      <c r="C790" s="8">
        <v>2000</v>
      </c>
      <c r="D790" s="8"/>
      <c r="E790" s="8"/>
      <c r="F790" s="9"/>
      <c r="G790" s="13"/>
      <c r="H790" s="8"/>
      <c r="I790" s="8"/>
      <c r="J790" s="41">
        <f>J789+Table234535[[#This Row],[AMOUNT]]-Table234535[[#This Row],[AMOUNT2]]-Table234535[[#This Row],[AMOUNT3]]</f>
        <v>-13239</v>
      </c>
      <c r="K790" s="79"/>
    </row>
    <row r="791" spans="1:11" hidden="1" x14ac:dyDescent="0.35">
      <c r="A791" s="64" t="s">
        <v>1025</v>
      </c>
      <c r="B791" s="8"/>
      <c r="C791" s="8"/>
      <c r="D791" s="8" t="s">
        <v>953</v>
      </c>
      <c r="E791" s="8" t="s">
        <v>19</v>
      </c>
      <c r="F791" s="9" t="s">
        <v>503</v>
      </c>
      <c r="G791" s="13">
        <v>15000</v>
      </c>
      <c r="H791" s="8"/>
      <c r="I791" s="8"/>
      <c r="J791" s="41">
        <f>J790+Table234535[[#This Row],[AMOUNT]]-Table234535[[#This Row],[AMOUNT2]]-Table234535[[#This Row],[AMOUNT3]]</f>
        <v>-28239</v>
      </c>
      <c r="K791" s="79"/>
    </row>
    <row r="792" spans="1:11" hidden="1" x14ac:dyDescent="0.35">
      <c r="A792" s="64" t="s">
        <v>1025</v>
      </c>
      <c r="B792" s="8"/>
      <c r="C792" s="8"/>
      <c r="D792" s="8" t="s">
        <v>65</v>
      </c>
      <c r="E792" s="8" t="s">
        <v>16</v>
      </c>
      <c r="F792" s="9" t="s">
        <v>933</v>
      </c>
      <c r="G792" s="13">
        <v>900</v>
      </c>
      <c r="H792" s="8"/>
      <c r="I792" s="8"/>
      <c r="J792" s="41">
        <f>J791+Table234535[[#This Row],[AMOUNT]]-Table234535[[#This Row],[AMOUNT2]]-Table234535[[#This Row],[AMOUNT3]]</f>
        <v>-29139</v>
      </c>
      <c r="K792" s="79"/>
    </row>
    <row r="793" spans="1:11" hidden="1" x14ac:dyDescent="0.35">
      <c r="A793" s="64" t="s">
        <v>1025</v>
      </c>
      <c r="B793" s="8"/>
      <c r="C793" s="8"/>
      <c r="D793" s="8" t="s">
        <v>382</v>
      </c>
      <c r="E793" s="8" t="s">
        <v>383</v>
      </c>
      <c r="F793" s="9" t="s">
        <v>1066</v>
      </c>
      <c r="G793" s="13">
        <v>1500</v>
      </c>
      <c r="H793" s="8"/>
      <c r="I793" s="8"/>
      <c r="J793" s="41">
        <f>J792+Table234535[[#This Row],[AMOUNT]]-Table234535[[#This Row],[AMOUNT2]]-Table234535[[#This Row],[AMOUNT3]]</f>
        <v>-30639</v>
      </c>
      <c r="K793" s="79"/>
    </row>
    <row r="794" spans="1:11" hidden="1" x14ac:dyDescent="0.35">
      <c r="A794" s="64" t="s">
        <v>1025</v>
      </c>
      <c r="B794" s="8"/>
      <c r="C794" s="8"/>
      <c r="D794" s="8" t="s">
        <v>65</v>
      </c>
      <c r="E794" s="8" t="s">
        <v>682</v>
      </c>
      <c r="F794" s="9" t="s">
        <v>1067</v>
      </c>
      <c r="G794" s="13">
        <v>550</v>
      </c>
      <c r="H794" s="8"/>
      <c r="I794" s="8"/>
      <c r="J794" s="41">
        <f>J793+Table234535[[#This Row],[AMOUNT]]-Table234535[[#This Row],[AMOUNT2]]-Table234535[[#This Row],[AMOUNT3]]</f>
        <v>-31189</v>
      </c>
      <c r="K794" s="79"/>
    </row>
    <row r="795" spans="1:11" hidden="1" x14ac:dyDescent="0.35">
      <c r="A795" s="64" t="s">
        <v>1025</v>
      </c>
      <c r="B795" s="8"/>
      <c r="C795" s="8"/>
      <c r="D795" s="8" t="s">
        <v>953</v>
      </c>
      <c r="E795" s="8" t="s">
        <v>682</v>
      </c>
      <c r="F795" s="9" t="s">
        <v>1068</v>
      </c>
      <c r="G795" s="13">
        <v>5000</v>
      </c>
      <c r="H795" s="8"/>
      <c r="I795" s="8"/>
      <c r="J795" s="41">
        <f>J794+Table234535[[#This Row],[AMOUNT]]-Table234535[[#This Row],[AMOUNT2]]-Table234535[[#This Row],[AMOUNT3]]</f>
        <v>-36189</v>
      </c>
      <c r="K795" s="79"/>
    </row>
    <row r="796" spans="1:11" hidden="1" x14ac:dyDescent="0.35">
      <c r="A796" s="64" t="s">
        <v>1025</v>
      </c>
      <c r="B796" s="8"/>
      <c r="C796" s="8"/>
      <c r="D796" s="8" t="s">
        <v>1047</v>
      </c>
      <c r="E796" s="8" t="s">
        <v>27</v>
      </c>
      <c r="F796" s="9" t="s">
        <v>1069</v>
      </c>
      <c r="G796" s="13">
        <v>2000</v>
      </c>
      <c r="H796" s="8"/>
      <c r="I796" s="8"/>
      <c r="J796" s="41">
        <f>J795+Table234535[[#This Row],[AMOUNT]]-Table234535[[#This Row],[AMOUNT2]]-Table234535[[#This Row],[AMOUNT3]]</f>
        <v>-38189</v>
      </c>
      <c r="K796" s="79"/>
    </row>
    <row r="797" spans="1:11" hidden="1" x14ac:dyDescent="0.35">
      <c r="A797" s="64" t="s">
        <v>1025</v>
      </c>
      <c r="B797" s="8"/>
      <c r="C797" s="8"/>
      <c r="D797" s="8" t="s">
        <v>953</v>
      </c>
      <c r="E797" s="8" t="s">
        <v>679</v>
      </c>
      <c r="F797" s="9" t="s">
        <v>955</v>
      </c>
      <c r="G797" s="13">
        <v>300</v>
      </c>
      <c r="H797" s="8"/>
      <c r="I797" s="8"/>
      <c r="J797" s="41">
        <f>J796+Table234535[[#This Row],[AMOUNT]]-Table234535[[#This Row],[AMOUNT2]]-Table234535[[#This Row],[AMOUNT3]]</f>
        <v>-38489</v>
      </c>
      <c r="K797" s="79"/>
    </row>
    <row r="798" spans="1:11" hidden="1" x14ac:dyDescent="0.35">
      <c r="A798" s="64" t="s">
        <v>1025</v>
      </c>
      <c r="B798" s="8"/>
      <c r="C798" s="8"/>
      <c r="D798" s="8" t="s">
        <v>65</v>
      </c>
      <c r="E798" s="8" t="s">
        <v>679</v>
      </c>
      <c r="F798" s="9" t="s">
        <v>955</v>
      </c>
      <c r="G798" s="13">
        <v>300</v>
      </c>
      <c r="H798" s="8"/>
      <c r="I798" s="8"/>
      <c r="J798" s="41">
        <f>J797+Table234535[[#This Row],[AMOUNT]]-Table234535[[#This Row],[AMOUNT2]]-Table234535[[#This Row],[AMOUNT3]]</f>
        <v>-38789</v>
      </c>
      <c r="K798" s="79"/>
    </row>
    <row r="799" spans="1:11" hidden="1" x14ac:dyDescent="0.35">
      <c r="A799" s="64" t="s">
        <v>1025</v>
      </c>
      <c r="B799" s="8"/>
      <c r="C799" s="8"/>
      <c r="D799" s="8" t="s">
        <v>39</v>
      </c>
      <c r="E799" s="8" t="s">
        <v>679</v>
      </c>
      <c r="F799" s="9" t="s">
        <v>955</v>
      </c>
      <c r="G799" s="13">
        <v>400</v>
      </c>
      <c r="H799" s="8"/>
      <c r="I799" s="8"/>
      <c r="J799" s="41">
        <f>J798+Table234535[[#This Row],[AMOUNT]]-Table234535[[#This Row],[AMOUNT2]]-Table234535[[#This Row],[AMOUNT3]]</f>
        <v>-39189</v>
      </c>
      <c r="K799" s="79"/>
    </row>
    <row r="800" spans="1:11" hidden="1" x14ac:dyDescent="0.35">
      <c r="A800" s="64" t="s">
        <v>1030</v>
      </c>
      <c r="B800" s="8" t="s">
        <v>45</v>
      </c>
      <c r="C800" s="8">
        <v>3450</v>
      </c>
      <c r="D800" s="8"/>
      <c r="E800" s="8"/>
      <c r="F800" s="9"/>
      <c r="G800" s="13"/>
      <c r="H800" s="8"/>
      <c r="I800" s="8"/>
      <c r="J800" s="41">
        <f>J799+Table234535[[#This Row],[AMOUNT]]-Table234535[[#This Row],[AMOUNT2]]-Table234535[[#This Row],[AMOUNT3]]</f>
        <v>-35739</v>
      </c>
      <c r="K800" s="79"/>
    </row>
    <row r="801" spans="1:11" hidden="1" x14ac:dyDescent="0.35">
      <c r="A801" s="64" t="s">
        <v>1030</v>
      </c>
      <c r="B801" s="8"/>
      <c r="C801" s="8"/>
      <c r="D801" s="8" t="s">
        <v>65</v>
      </c>
      <c r="E801" s="8" t="s">
        <v>682</v>
      </c>
      <c r="F801" s="9" t="s">
        <v>1070</v>
      </c>
      <c r="G801" s="13">
        <v>550</v>
      </c>
      <c r="H801" s="8"/>
      <c r="I801" s="8"/>
      <c r="J801" s="41">
        <f>J800+Table234535[[#This Row],[AMOUNT]]-Table234535[[#This Row],[AMOUNT2]]-Table234535[[#This Row],[AMOUNT3]]</f>
        <v>-36289</v>
      </c>
      <c r="K801" s="79"/>
    </row>
    <row r="802" spans="1:11" hidden="1" x14ac:dyDescent="0.35">
      <c r="A802" s="64" t="s">
        <v>1030</v>
      </c>
      <c r="B802" s="8"/>
      <c r="C802" s="8"/>
      <c r="D802" s="8" t="s">
        <v>65</v>
      </c>
      <c r="E802" s="8" t="s">
        <v>16</v>
      </c>
      <c r="F802" s="9" t="s">
        <v>933</v>
      </c>
      <c r="G802" s="13">
        <v>900</v>
      </c>
      <c r="H802" s="8"/>
      <c r="I802" s="8"/>
      <c r="J802" s="41">
        <f>J801+Table234535[[#This Row],[AMOUNT]]-Table234535[[#This Row],[AMOUNT2]]-Table234535[[#This Row],[AMOUNT3]]</f>
        <v>-37189</v>
      </c>
      <c r="K802" s="79"/>
    </row>
    <row r="803" spans="1:11" hidden="1" x14ac:dyDescent="0.35">
      <c r="A803" s="64" t="s">
        <v>1030</v>
      </c>
      <c r="B803" s="8"/>
      <c r="C803" s="8"/>
      <c r="D803" s="8" t="s">
        <v>1047</v>
      </c>
      <c r="E803" s="8" t="s">
        <v>20</v>
      </c>
      <c r="F803" s="9" t="s">
        <v>1058</v>
      </c>
      <c r="G803" s="13">
        <v>1575</v>
      </c>
      <c r="H803" s="8"/>
      <c r="I803" s="8"/>
      <c r="J803" s="41">
        <f>J802+Table234535[[#This Row],[AMOUNT]]-Table234535[[#This Row],[AMOUNT2]]-Table234535[[#This Row],[AMOUNT3]]</f>
        <v>-38764</v>
      </c>
      <c r="K803" s="79"/>
    </row>
    <row r="804" spans="1:11" hidden="1" x14ac:dyDescent="0.35">
      <c r="A804" s="64" t="s">
        <v>1030</v>
      </c>
      <c r="B804" s="8"/>
      <c r="C804" s="8"/>
      <c r="D804" s="8" t="s">
        <v>953</v>
      </c>
      <c r="E804" s="8" t="s">
        <v>68</v>
      </c>
      <c r="F804" s="9" t="s">
        <v>467</v>
      </c>
      <c r="G804" s="13">
        <v>800</v>
      </c>
      <c r="H804" s="8"/>
      <c r="I804" s="8"/>
      <c r="J804" s="41">
        <f>J803+Table234535[[#This Row],[AMOUNT]]-Table234535[[#This Row],[AMOUNT2]]-Table234535[[#This Row],[AMOUNT3]]</f>
        <v>-39564</v>
      </c>
      <c r="K804" s="79"/>
    </row>
    <row r="805" spans="1:11" hidden="1" x14ac:dyDescent="0.35">
      <c r="A805" s="64" t="s">
        <v>1042</v>
      </c>
      <c r="B805" s="8" t="s">
        <v>45</v>
      </c>
      <c r="C805" s="8">
        <v>4000</v>
      </c>
      <c r="D805" s="8" t="s">
        <v>953</v>
      </c>
      <c r="E805" s="8" t="s">
        <v>68</v>
      </c>
      <c r="F805" s="9" t="s">
        <v>467</v>
      </c>
      <c r="G805" s="13">
        <v>800</v>
      </c>
      <c r="H805" s="8"/>
      <c r="I805" s="8"/>
      <c r="J805" s="41">
        <f>J804+Table234535[[#This Row],[AMOUNT]]-Table234535[[#This Row],[AMOUNT2]]-Table234535[[#This Row],[AMOUNT3]]</f>
        <v>-36364</v>
      </c>
      <c r="K805" s="79"/>
    </row>
    <row r="806" spans="1:11" hidden="1" x14ac:dyDescent="0.35">
      <c r="A806" s="64" t="s">
        <v>1042</v>
      </c>
      <c r="B806" s="8"/>
      <c r="C806" s="8"/>
      <c r="D806" s="8" t="s">
        <v>65</v>
      </c>
      <c r="E806" s="8" t="s">
        <v>20</v>
      </c>
      <c r="F806" s="9" t="s">
        <v>1071</v>
      </c>
      <c r="G806" s="13">
        <v>4000</v>
      </c>
      <c r="H806" s="8"/>
      <c r="I806" s="8"/>
      <c r="J806" s="41">
        <f>J805+Table234535[[#This Row],[AMOUNT]]-Table234535[[#This Row],[AMOUNT2]]-Table234535[[#This Row],[AMOUNT3]]</f>
        <v>-40364</v>
      </c>
      <c r="K806" s="79"/>
    </row>
    <row r="807" spans="1:11" hidden="1" x14ac:dyDescent="0.35">
      <c r="A807" s="64" t="s">
        <v>1042</v>
      </c>
      <c r="B807" s="8"/>
      <c r="C807" s="8"/>
      <c r="D807" s="8" t="s">
        <v>65</v>
      </c>
      <c r="E807" s="8" t="s">
        <v>682</v>
      </c>
      <c r="F807" s="9" t="s">
        <v>1072</v>
      </c>
      <c r="G807" s="13">
        <v>200</v>
      </c>
      <c r="H807" s="8"/>
      <c r="I807" s="8"/>
      <c r="J807" s="41">
        <f>J806+Table234535[[#This Row],[AMOUNT]]-Table234535[[#This Row],[AMOUNT2]]-Table234535[[#This Row],[AMOUNT3]]</f>
        <v>-40564</v>
      </c>
      <c r="K807" s="79"/>
    </row>
    <row r="808" spans="1:11" hidden="1" x14ac:dyDescent="0.35">
      <c r="A808" s="64" t="s">
        <v>1042</v>
      </c>
      <c r="B808" s="8"/>
      <c r="C808" s="8"/>
      <c r="D808" s="8" t="s">
        <v>65</v>
      </c>
      <c r="E808" s="8" t="s">
        <v>16</v>
      </c>
      <c r="F808" s="9" t="s">
        <v>933</v>
      </c>
      <c r="G808" s="13">
        <v>900</v>
      </c>
      <c r="H808" s="8"/>
      <c r="I808" s="8"/>
      <c r="J808" s="41">
        <f>J807+Table234535[[#This Row],[AMOUNT]]-Table234535[[#This Row],[AMOUNT2]]-Table234535[[#This Row],[AMOUNT3]]</f>
        <v>-41464</v>
      </c>
      <c r="K808" s="79"/>
    </row>
    <row r="809" spans="1:11" hidden="1" x14ac:dyDescent="0.35">
      <c r="A809" s="64" t="s">
        <v>1079</v>
      </c>
      <c r="B809" s="8" t="s">
        <v>45</v>
      </c>
      <c r="C809" s="8">
        <v>5900</v>
      </c>
      <c r="D809" s="8"/>
      <c r="E809" s="8"/>
      <c r="F809" s="9"/>
      <c r="G809" s="13"/>
      <c r="H809" s="8"/>
      <c r="I809" s="8"/>
      <c r="J809" s="41">
        <f>J808+Table234535[[#This Row],[AMOUNT]]-Table234535[[#This Row],[AMOUNT2]]-Table234535[[#This Row],[AMOUNT3]]</f>
        <v>-35564</v>
      </c>
      <c r="K809" s="79"/>
    </row>
    <row r="810" spans="1:11" hidden="1" x14ac:dyDescent="0.35">
      <c r="A810" s="64" t="s">
        <v>1052</v>
      </c>
      <c r="B810" s="8"/>
      <c r="C810" s="8"/>
      <c r="D810" s="8" t="s">
        <v>1047</v>
      </c>
      <c r="E810" s="8" t="s">
        <v>20</v>
      </c>
      <c r="F810" s="9" t="s">
        <v>1058</v>
      </c>
      <c r="G810" s="13">
        <v>1575</v>
      </c>
      <c r="H810" s="8"/>
      <c r="I810" s="8"/>
      <c r="J810" s="41">
        <f>J809+Table234535[[#This Row],[AMOUNT]]-Table234535[[#This Row],[AMOUNT2]]-Table234535[[#This Row],[AMOUNT3]]</f>
        <v>-37139</v>
      </c>
      <c r="K810" s="79"/>
    </row>
    <row r="811" spans="1:11" hidden="1" x14ac:dyDescent="0.35">
      <c r="A811" s="64" t="s">
        <v>1052</v>
      </c>
      <c r="B811" s="8"/>
      <c r="C811" s="8"/>
      <c r="D811" s="8" t="s">
        <v>39</v>
      </c>
      <c r="E811" s="8" t="s">
        <v>20</v>
      </c>
      <c r="F811" s="9" t="s">
        <v>1073</v>
      </c>
      <c r="G811" s="13">
        <v>5900</v>
      </c>
      <c r="H811" s="8"/>
      <c r="I811" s="8"/>
      <c r="J811" s="41">
        <f>J810+Table234535[[#This Row],[AMOUNT]]-Table234535[[#This Row],[AMOUNT2]]-Table234535[[#This Row],[AMOUNT3]]</f>
        <v>-43039</v>
      </c>
      <c r="K811" s="79"/>
    </row>
    <row r="812" spans="1:11" hidden="1" x14ac:dyDescent="0.35">
      <c r="A812" s="64" t="s">
        <v>1052</v>
      </c>
      <c r="B812" s="8"/>
      <c r="C812" s="8"/>
      <c r="D812" s="8"/>
      <c r="E812" s="8"/>
      <c r="F812" s="9"/>
      <c r="G812" s="13"/>
      <c r="H812" s="8" t="s">
        <v>57</v>
      </c>
      <c r="I812" s="8">
        <v>1000</v>
      </c>
      <c r="J812" s="41">
        <f>J811+Table234535[[#This Row],[AMOUNT]]-Table234535[[#This Row],[AMOUNT2]]-Table234535[[#This Row],[AMOUNT3]]</f>
        <v>-44039</v>
      </c>
      <c r="K812" s="79"/>
    </row>
    <row r="813" spans="1:11" hidden="1" x14ac:dyDescent="0.35">
      <c r="A813" s="64" t="s">
        <v>1052</v>
      </c>
      <c r="B813" s="8"/>
      <c r="C813" s="8"/>
      <c r="D813" s="8" t="s">
        <v>953</v>
      </c>
      <c r="E813" s="8" t="s">
        <v>16</v>
      </c>
      <c r="F813" s="9" t="s">
        <v>1075</v>
      </c>
      <c r="G813" s="13">
        <v>1150</v>
      </c>
      <c r="H813" s="8"/>
      <c r="I813" s="8"/>
      <c r="J813" s="41">
        <f>J812+Table234535[[#This Row],[AMOUNT]]-Table234535[[#This Row],[AMOUNT2]]-Table234535[[#This Row],[AMOUNT3]]</f>
        <v>-45189</v>
      </c>
      <c r="K813" s="79"/>
    </row>
    <row r="814" spans="1:11" hidden="1" x14ac:dyDescent="0.35">
      <c r="A814" s="64" t="s">
        <v>1052</v>
      </c>
      <c r="B814" s="8"/>
      <c r="C814" s="8"/>
      <c r="D814" s="8" t="s">
        <v>953</v>
      </c>
      <c r="E814" s="8" t="s">
        <v>68</v>
      </c>
      <c r="F814" s="9" t="s">
        <v>1074</v>
      </c>
      <c r="G814" s="13">
        <v>2400</v>
      </c>
      <c r="H814" s="8"/>
      <c r="I814" s="8"/>
      <c r="J814" s="41">
        <f>J813+Table234535[[#This Row],[AMOUNT]]-Table234535[[#This Row],[AMOUNT2]]-Table234535[[#This Row],[AMOUNT3]]</f>
        <v>-47589</v>
      </c>
      <c r="K814" s="79"/>
    </row>
    <row r="815" spans="1:11" hidden="1" x14ac:dyDescent="0.35">
      <c r="A815" s="64" t="s">
        <v>1052</v>
      </c>
      <c r="B815" s="8"/>
      <c r="C815" s="8"/>
      <c r="D815" s="8" t="s">
        <v>65</v>
      </c>
      <c r="E815" s="8" t="s">
        <v>16</v>
      </c>
      <c r="F815" s="9" t="s">
        <v>1076</v>
      </c>
      <c r="G815" s="13">
        <v>900</v>
      </c>
      <c r="H815" s="8"/>
      <c r="I815" s="8"/>
      <c r="J815" s="41">
        <f>J814+Table234535[[#This Row],[AMOUNT]]-Table234535[[#This Row],[AMOUNT2]]-Table234535[[#This Row],[AMOUNT3]]</f>
        <v>-48489</v>
      </c>
      <c r="K815" s="79"/>
    </row>
    <row r="816" spans="1:11" hidden="1" x14ac:dyDescent="0.35">
      <c r="A816" s="64" t="s">
        <v>1052</v>
      </c>
      <c r="B816" s="8"/>
      <c r="C816" s="8"/>
      <c r="D816" s="8" t="s">
        <v>953</v>
      </c>
      <c r="E816" s="8" t="s">
        <v>16</v>
      </c>
      <c r="F816" s="9" t="s">
        <v>1077</v>
      </c>
      <c r="G816" s="13">
        <v>700</v>
      </c>
      <c r="H816" s="8"/>
      <c r="I816" s="8"/>
      <c r="J816" s="41">
        <f>J815+Table234535[[#This Row],[AMOUNT]]-Table234535[[#This Row],[AMOUNT2]]-Table234535[[#This Row],[AMOUNT3]]</f>
        <v>-49189</v>
      </c>
      <c r="K816" s="79"/>
    </row>
    <row r="817" spans="1:11" hidden="1" x14ac:dyDescent="0.35">
      <c r="A817" s="64" t="s">
        <v>1052</v>
      </c>
      <c r="B817" s="8"/>
      <c r="C817" s="8"/>
      <c r="D817" s="8" t="s">
        <v>953</v>
      </c>
      <c r="E817" s="8" t="s">
        <v>68</v>
      </c>
      <c r="F817" s="9" t="s">
        <v>1078</v>
      </c>
      <c r="G817" s="13">
        <v>1500</v>
      </c>
      <c r="H817" s="8"/>
      <c r="I817" s="8"/>
      <c r="J817" s="41">
        <f>J816+Table234535[[#This Row],[AMOUNT]]-Table234535[[#This Row],[AMOUNT2]]-Table234535[[#This Row],[AMOUNT3]]</f>
        <v>-50689</v>
      </c>
      <c r="K817" s="79"/>
    </row>
    <row r="818" spans="1:11" hidden="1" x14ac:dyDescent="0.35">
      <c r="A818" s="64" t="s">
        <v>1080</v>
      </c>
      <c r="B818" s="8"/>
      <c r="C818" s="8"/>
      <c r="D818" s="8" t="s">
        <v>65</v>
      </c>
      <c r="E818" s="8" t="s">
        <v>16</v>
      </c>
      <c r="F818" s="9" t="s">
        <v>1076</v>
      </c>
      <c r="G818" s="13">
        <v>900</v>
      </c>
      <c r="H818" s="8"/>
      <c r="I818" s="8"/>
      <c r="J818" s="41">
        <f>J817+Table234535[[#This Row],[AMOUNT]]-Table234535[[#This Row],[AMOUNT2]]-Table234535[[#This Row],[AMOUNT3]]</f>
        <v>-51589</v>
      </c>
      <c r="K818" s="79"/>
    </row>
    <row r="819" spans="1:11" hidden="1" x14ac:dyDescent="0.35">
      <c r="A819" s="64" t="s">
        <v>1080</v>
      </c>
      <c r="B819" s="8"/>
      <c r="C819" s="8"/>
      <c r="D819" s="8" t="s">
        <v>953</v>
      </c>
      <c r="E819" s="8" t="s">
        <v>68</v>
      </c>
      <c r="F819" s="9" t="s">
        <v>1081</v>
      </c>
      <c r="G819" s="13">
        <v>800</v>
      </c>
      <c r="H819" s="8"/>
      <c r="I819" s="8"/>
      <c r="J819" s="41">
        <f>J818+Table234535[[#This Row],[AMOUNT]]-Table234535[[#This Row],[AMOUNT2]]-Table234535[[#This Row],[AMOUNT3]]</f>
        <v>-52389</v>
      </c>
      <c r="K819" s="79"/>
    </row>
    <row r="820" spans="1:11" hidden="1" x14ac:dyDescent="0.35">
      <c r="A820" s="64" t="s">
        <v>1082</v>
      </c>
      <c r="B820" s="8" t="s">
        <v>45</v>
      </c>
      <c r="C820" s="8">
        <v>5000</v>
      </c>
      <c r="D820" s="8"/>
      <c r="E820" s="8"/>
      <c r="F820" s="9"/>
      <c r="G820" s="13"/>
      <c r="H820" s="8"/>
      <c r="I820" s="8"/>
      <c r="J820" s="41">
        <f>J819+Table234535[[#This Row],[AMOUNT]]-Table234535[[#This Row],[AMOUNT2]]-Table234535[[#This Row],[AMOUNT3]]</f>
        <v>-47389</v>
      </c>
      <c r="K820" s="79"/>
    </row>
    <row r="821" spans="1:11" hidden="1" x14ac:dyDescent="0.35">
      <c r="A821" s="64" t="s">
        <v>1082</v>
      </c>
      <c r="B821" s="8" t="s">
        <v>1055</v>
      </c>
      <c r="C821" s="8">
        <v>20000</v>
      </c>
      <c r="D821" s="8"/>
      <c r="E821" s="8"/>
      <c r="F821" s="9"/>
      <c r="G821" s="13"/>
      <c r="H821" s="8"/>
      <c r="I821" s="8"/>
      <c r="J821" s="41">
        <f>J820+Table234535[[#This Row],[AMOUNT]]-Table234535[[#This Row],[AMOUNT2]]-Table234535[[#This Row],[AMOUNT3]]</f>
        <v>-27389</v>
      </c>
      <c r="K821" s="79"/>
    </row>
    <row r="822" spans="1:11" hidden="1" x14ac:dyDescent="0.35">
      <c r="A822" s="64" t="s">
        <v>1082</v>
      </c>
      <c r="B822" s="8"/>
      <c r="C822" s="8"/>
      <c r="D822" s="8" t="s">
        <v>65</v>
      </c>
      <c r="E822" s="8" t="s">
        <v>16</v>
      </c>
      <c r="F822" s="9" t="s">
        <v>1076</v>
      </c>
      <c r="G822" s="13">
        <v>900</v>
      </c>
      <c r="H822" s="8"/>
      <c r="I822" s="8"/>
      <c r="J822" s="41">
        <f>J821+Table234535[[#This Row],[AMOUNT]]-Table234535[[#This Row],[AMOUNT2]]-Table234535[[#This Row],[AMOUNT3]]</f>
        <v>-28289</v>
      </c>
      <c r="K822" s="79"/>
    </row>
    <row r="823" spans="1:11" hidden="1" x14ac:dyDescent="0.35">
      <c r="A823" s="64" t="s">
        <v>1082</v>
      </c>
      <c r="B823" s="8"/>
      <c r="C823" s="8"/>
      <c r="D823" s="8" t="s">
        <v>953</v>
      </c>
      <c r="E823" s="8" t="s">
        <v>68</v>
      </c>
      <c r="F823" s="9" t="s">
        <v>1081</v>
      </c>
      <c r="G823" s="13">
        <v>800</v>
      </c>
      <c r="H823" s="8"/>
      <c r="I823" s="8"/>
      <c r="J823" s="41">
        <f>J822+Table234535[[#This Row],[AMOUNT]]-Table234535[[#This Row],[AMOUNT2]]-Table234535[[#This Row],[AMOUNT3]]</f>
        <v>-29089</v>
      </c>
      <c r="K823" s="79"/>
    </row>
    <row r="824" spans="1:11" hidden="1" x14ac:dyDescent="0.35">
      <c r="A824" s="64" t="s">
        <v>1082</v>
      </c>
      <c r="B824" s="8"/>
      <c r="C824" s="8"/>
      <c r="D824" s="8"/>
      <c r="E824" s="8"/>
      <c r="F824" s="9"/>
      <c r="G824" s="13"/>
      <c r="H824" s="8" t="s">
        <v>64</v>
      </c>
      <c r="I824" s="8">
        <v>490</v>
      </c>
      <c r="J824" s="41">
        <f>J823+Table234535[[#This Row],[AMOUNT]]-Table234535[[#This Row],[AMOUNT2]]-Table234535[[#This Row],[AMOUNT3]]</f>
        <v>-29579</v>
      </c>
      <c r="K824" s="79"/>
    </row>
    <row r="825" spans="1:11" hidden="1" x14ac:dyDescent="0.35">
      <c r="A825" s="64" t="s">
        <v>1082</v>
      </c>
      <c r="B825" s="8"/>
      <c r="C825" s="8"/>
      <c r="D825" s="8"/>
      <c r="E825" s="8"/>
      <c r="F825" s="9"/>
      <c r="G825" s="13"/>
      <c r="H825" s="8" t="s">
        <v>1063</v>
      </c>
      <c r="I825" s="8">
        <v>6500</v>
      </c>
      <c r="J825" s="41">
        <f>J824+Table234535[[#This Row],[AMOUNT]]-Table234535[[#This Row],[AMOUNT2]]-Table234535[[#This Row],[AMOUNT3]]</f>
        <v>-36079</v>
      </c>
      <c r="K825" s="79"/>
    </row>
    <row r="826" spans="1:11" hidden="1" x14ac:dyDescent="0.35">
      <c r="A826" s="64" t="s">
        <v>1082</v>
      </c>
      <c r="B826" s="8"/>
      <c r="C826" s="8"/>
      <c r="D826" s="8"/>
      <c r="E826" s="8"/>
      <c r="F826" s="9"/>
      <c r="G826" s="13"/>
      <c r="H826" s="8" t="s">
        <v>57</v>
      </c>
      <c r="I826" s="8">
        <v>2800</v>
      </c>
      <c r="J826" s="41">
        <f>J825+Table234535[[#This Row],[AMOUNT]]-Table234535[[#This Row],[AMOUNT2]]-Table234535[[#This Row],[AMOUNT3]]</f>
        <v>-38879</v>
      </c>
      <c r="K826" s="79"/>
    </row>
    <row r="827" spans="1:11" hidden="1" x14ac:dyDescent="0.35">
      <c r="A827" s="64" t="s">
        <v>1089</v>
      </c>
      <c r="B827" s="8"/>
      <c r="C827" s="8"/>
      <c r="D827" s="8" t="s">
        <v>65</v>
      </c>
      <c r="E827" s="8" t="s">
        <v>16</v>
      </c>
      <c r="F827" s="9" t="s">
        <v>1076</v>
      </c>
      <c r="G827" s="13">
        <v>900</v>
      </c>
      <c r="H827" s="8"/>
      <c r="I827" s="8"/>
      <c r="J827" s="41">
        <f>J826+Table234535[[#This Row],[AMOUNT]]-Table234535[[#This Row],[AMOUNT2]]-Table234535[[#This Row],[AMOUNT3]]</f>
        <v>-39779</v>
      </c>
      <c r="K827" s="79"/>
    </row>
    <row r="828" spans="1:11" hidden="1" x14ac:dyDescent="0.35">
      <c r="A828" s="64" t="s">
        <v>1089</v>
      </c>
      <c r="B828" s="8"/>
      <c r="C828" s="8"/>
      <c r="D828" s="8" t="s">
        <v>65</v>
      </c>
      <c r="E828" s="20" t="s">
        <v>679</v>
      </c>
      <c r="F828" s="19" t="s">
        <v>1</v>
      </c>
      <c r="G828" s="21">
        <v>1000</v>
      </c>
      <c r="H828" s="8"/>
      <c r="I828" s="8"/>
      <c r="J828" s="41">
        <f>J827+Table234535[[#This Row],[AMOUNT]]-Table234535[[#This Row],[AMOUNT2]]-Table234535[[#This Row],[AMOUNT3]]</f>
        <v>-40779</v>
      </c>
      <c r="K828" s="79"/>
    </row>
    <row r="829" spans="1:11" hidden="1" x14ac:dyDescent="0.35">
      <c r="A829" s="64" t="s">
        <v>1089</v>
      </c>
      <c r="B829" s="8"/>
      <c r="C829" s="8"/>
      <c r="D829" s="8" t="s">
        <v>91</v>
      </c>
      <c r="E829" s="8" t="s">
        <v>682</v>
      </c>
      <c r="F829" s="9" t="s">
        <v>1105</v>
      </c>
      <c r="G829" s="13">
        <v>260</v>
      </c>
      <c r="H829" s="8"/>
      <c r="I829" s="8"/>
      <c r="J829" s="41">
        <f>J828+Table234535[[#This Row],[AMOUNT]]-Table234535[[#This Row],[AMOUNT2]]-Table234535[[#This Row],[AMOUNT3]]</f>
        <v>-41039</v>
      </c>
      <c r="K829" s="79"/>
    </row>
    <row r="830" spans="1:11" hidden="1" x14ac:dyDescent="0.35">
      <c r="A830" s="64" t="s">
        <v>1090</v>
      </c>
      <c r="B830" s="8" t="s">
        <v>1149</v>
      </c>
      <c r="C830" s="131">
        <v>10000</v>
      </c>
      <c r="D830" s="8"/>
      <c r="E830" s="8"/>
      <c r="F830" s="9"/>
      <c r="G830" s="13"/>
      <c r="H830" s="8"/>
      <c r="I830" s="8"/>
      <c r="J830" s="41">
        <f>J829+Table234535[[#This Row],[AMOUNT]]-Table234535[[#This Row],[AMOUNT2]]-Table234535[[#This Row],[AMOUNT3]]</f>
        <v>-31039</v>
      </c>
      <c r="K830" s="79"/>
    </row>
    <row r="831" spans="1:11" hidden="1" x14ac:dyDescent="0.35">
      <c r="A831" s="64" t="s">
        <v>1090</v>
      </c>
      <c r="B831" s="8" t="s">
        <v>45</v>
      </c>
      <c r="C831" s="8">
        <v>3750</v>
      </c>
      <c r="D831" s="8"/>
      <c r="E831" s="8"/>
      <c r="F831" s="9"/>
      <c r="G831" s="13"/>
      <c r="H831" s="8"/>
      <c r="I831" s="8"/>
      <c r="J831" s="41">
        <f>J830+Table234535[[#This Row],[AMOUNT]]-Table234535[[#This Row],[AMOUNT2]]-Table234535[[#This Row],[AMOUNT3]]</f>
        <v>-27289</v>
      </c>
      <c r="K831" s="79"/>
    </row>
    <row r="832" spans="1:11" hidden="1" x14ac:dyDescent="0.35">
      <c r="A832" s="64" t="s">
        <v>1090</v>
      </c>
      <c r="B832" s="8" t="s">
        <v>45</v>
      </c>
      <c r="C832" s="8">
        <v>6000</v>
      </c>
      <c r="D832" s="8"/>
      <c r="E832" s="8"/>
      <c r="F832" s="9"/>
      <c r="G832" s="13"/>
      <c r="H832" s="8"/>
      <c r="I832" s="8"/>
      <c r="J832" s="41">
        <f>J831+Table234535[[#This Row],[AMOUNT]]-Table234535[[#This Row],[AMOUNT2]]-Table234535[[#This Row],[AMOUNT3]]</f>
        <v>-21289</v>
      </c>
      <c r="K832" s="79"/>
    </row>
    <row r="833" spans="1:11" hidden="1" x14ac:dyDescent="0.35">
      <c r="A833" s="64" t="s">
        <v>1090</v>
      </c>
      <c r="B833" s="8"/>
      <c r="C833" s="8"/>
      <c r="D833" s="8" t="s">
        <v>91</v>
      </c>
      <c r="E833" s="8" t="s">
        <v>20</v>
      </c>
      <c r="F833" s="9" t="s">
        <v>1107</v>
      </c>
      <c r="G833" s="13">
        <v>1500</v>
      </c>
      <c r="H833" s="8"/>
      <c r="I833" s="8"/>
      <c r="J833" s="41">
        <f>J832+Table234535[[#This Row],[AMOUNT]]-Table234535[[#This Row],[AMOUNT2]]-Table234535[[#This Row],[AMOUNT3]]</f>
        <v>-22789</v>
      </c>
      <c r="K833" s="79"/>
    </row>
    <row r="834" spans="1:11" hidden="1" x14ac:dyDescent="0.35">
      <c r="A834" s="64" t="s">
        <v>1090</v>
      </c>
      <c r="B834" s="8"/>
      <c r="C834" s="8"/>
      <c r="D834" s="8" t="s">
        <v>91</v>
      </c>
      <c r="E834" s="8" t="s">
        <v>20</v>
      </c>
      <c r="F834" s="9" t="s">
        <v>1106</v>
      </c>
      <c r="G834" s="13">
        <v>1450</v>
      </c>
      <c r="H834" s="8"/>
      <c r="I834" s="8"/>
      <c r="J834" s="41">
        <f>J833+Table234535[[#This Row],[AMOUNT]]-Table234535[[#This Row],[AMOUNT2]]-Table234535[[#This Row],[AMOUNT3]]</f>
        <v>-24239</v>
      </c>
      <c r="K834" s="79"/>
    </row>
    <row r="835" spans="1:11" hidden="1" x14ac:dyDescent="0.35">
      <c r="A835" s="64" t="s">
        <v>1090</v>
      </c>
      <c r="B835" s="8"/>
      <c r="C835" s="8"/>
      <c r="D835" s="8" t="s">
        <v>91</v>
      </c>
      <c r="E835" s="8" t="s">
        <v>20</v>
      </c>
      <c r="F835" s="9" t="s">
        <v>1108</v>
      </c>
      <c r="G835" s="13">
        <v>800</v>
      </c>
      <c r="H835" s="8"/>
      <c r="I835" s="8"/>
      <c r="J835" s="41">
        <f>J834+Table234535[[#This Row],[AMOUNT]]-Table234535[[#This Row],[AMOUNT2]]-Table234535[[#This Row],[AMOUNT3]]</f>
        <v>-25039</v>
      </c>
      <c r="K835" s="79"/>
    </row>
    <row r="836" spans="1:11" hidden="1" x14ac:dyDescent="0.35">
      <c r="A836" s="64" t="s">
        <v>1090</v>
      </c>
      <c r="B836" s="8"/>
      <c r="C836" s="8"/>
      <c r="D836" s="8" t="s">
        <v>65</v>
      </c>
      <c r="E836" s="8" t="s">
        <v>16</v>
      </c>
      <c r="F836" s="9" t="s">
        <v>1110</v>
      </c>
      <c r="G836" s="13">
        <v>1100</v>
      </c>
      <c r="H836" s="8"/>
      <c r="I836" s="8"/>
      <c r="J836" s="41">
        <f>J835+Table234535[[#This Row],[AMOUNT]]-Table234535[[#This Row],[AMOUNT2]]-Table234535[[#This Row],[AMOUNT3]]</f>
        <v>-26139</v>
      </c>
      <c r="K836" s="79"/>
    </row>
    <row r="837" spans="1:11" hidden="1" x14ac:dyDescent="0.35">
      <c r="A837" s="64" t="s">
        <v>1090</v>
      </c>
      <c r="B837" s="8"/>
      <c r="C837" s="8"/>
      <c r="D837" s="8" t="s">
        <v>65</v>
      </c>
      <c r="E837" s="8" t="s">
        <v>68</v>
      </c>
      <c r="F837" s="9" t="s">
        <v>1109</v>
      </c>
      <c r="G837" s="13">
        <v>1600</v>
      </c>
      <c r="H837" s="8"/>
      <c r="I837" s="8"/>
      <c r="J837" s="41">
        <f>J836+Table234535[[#This Row],[AMOUNT]]-Table234535[[#This Row],[AMOUNT2]]-Table234535[[#This Row],[AMOUNT3]]</f>
        <v>-27739</v>
      </c>
      <c r="K837" s="79"/>
    </row>
    <row r="838" spans="1:11" hidden="1" x14ac:dyDescent="0.35">
      <c r="A838" s="64" t="s">
        <v>1090</v>
      </c>
      <c r="B838" s="8"/>
      <c r="C838" s="8"/>
      <c r="D838" s="8" t="s">
        <v>65</v>
      </c>
      <c r="E838" s="8" t="s">
        <v>16</v>
      </c>
      <c r="F838" s="9" t="s">
        <v>1112</v>
      </c>
      <c r="G838" s="13">
        <v>175</v>
      </c>
      <c r="H838" s="8" t="s">
        <v>1111</v>
      </c>
      <c r="I838" s="8">
        <v>1100</v>
      </c>
      <c r="J838" s="41">
        <f>J837+Table234535[[#This Row],[AMOUNT]]-Table234535[[#This Row],[AMOUNT2]]-Table234535[[#This Row],[AMOUNT3]]</f>
        <v>-29014</v>
      </c>
      <c r="K838" s="79"/>
    </row>
    <row r="839" spans="1:11" hidden="1" x14ac:dyDescent="0.35">
      <c r="A839" s="64" t="s">
        <v>1090</v>
      </c>
      <c r="B839" s="8"/>
      <c r="C839" s="8"/>
      <c r="D839" s="8" t="s">
        <v>65</v>
      </c>
      <c r="E839" s="8" t="s">
        <v>68</v>
      </c>
      <c r="F839" s="9" t="s">
        <v>1112</v>
      </c>
      <c r="G839" s="13">
        <v>175</v>
      </c>
      <c r="H839" s="8" t="s">
        <v>57</v>
      </c>
      <c r="I839" s="8">
        <v>4800</v>
      </c>
      <c r="J839" s="41">
        <f>J838+Table234535[[#This Row],[AMOUNT]]-Table234535[[#This Row],[AMOUNT2]]-Table234535[[#This Row],[AMOUNT3]]</f>
        <v>-33989</v>
      </c>
      <c r="K839" s="79"/>
    </row>
    <row r="840" spans="1:11" x14ac:dyDescent="0.35">
      <c r="A840" s="64" t="s">
        <v>1090</v>
      </c>
      <c r="B840" s="8"/>
      <c r="C840" s="8"/>
      <c r="D840" s="20" t="s">
        <v>21</v>
      </c>
      <c r="E840" s="20" t="s">
        <v>27</v>
      </c>
      <c r="F840" s="19" t="s">
        <v>1283</v>
      </c>
      <c r="G840" s="13">
        <v>6000</v>
      </c>
      <c r="H840" s="8"/>
      <c r="I840" s="8"/>
      <c r="J840" s="41">
        <f>J839+Table234535[[#This Row],[AMOUNT]]-Table234535[[#This Row],[AMOUNT2]]-Table234535[[#This Row],[AMOUNT3]]</f>
        <v>-39989</v>
      </c>
      <c r="K840" s="79"/>
    </row>
    <row r="841" spans="1:11" hidden="1" x14ac:dyDescent="0.35">
      <c r="A841" s="64" t="s">
        <v>1090</v>
      </c>
      <c r="B841" s="8"/>
      <c r="C841" s="8"/>
      <c r="D841" s="8" t="s">
        <v>65</v>
      </c>
      <c r="E841" s="8" t="s">
        <v>682</v>
      </c>
      <c r="F841" s="9" t="s">
        <v>1113</v>
      </c>
      <c r="G841" s="13">
        <v>450</v>
      </c>
      <c r="H841" s="8"/>
      <c r="I841" s="8"/>
      <c r="J841" s="41">
        <f>J840+Table234535[[#This Row],[AMOUNT]]-Table234535[[#This Row],[AMOUNT2]]-Table234535[[#This Row],[AMOUNT3]]</f>
        <v>-40439</v>
      </c>
      <c r="K841" s="79"/>
    </row>
    <row r="842" spans="1:11" hidden="1" x14ac:dyDescent="0.35">
      <c r="A842" s="64" t="s">
        <v>1090</v>
      </c>
      <c r="B842" s="8"/>
      <c r="C842" s="8"/>
      <c r="D842" s="20" t="s">
        <v>39</v>
      </c>
      <c r="E842" s="20" t="s">
        <v>679</v>
      </c>
      <c r="F842" s="19" t="s">
        <v>66</v>
      </c>
      <c r="G842" s="21">
        <v>1000</v>
      </c>
      <c r="H842" s="8"/>
      <c r="I842" s="8"/>
      <c r="J842" s="41">
        <f>J841+Table234535[[#This Row],[AMOUNT]]-Table234535[[#This Row],[AMOUNT2]]-Table234535[[#This Row],[AMOUNT3]]</f>
        <v>-41439</v>
      </c>
      <c r="K842" s="79"/>
    </row>
    <row r="843" spans="1:11" hidden="1" x14ac:dyDescent="0.35">
      <c r="A843" s="64" t="s">
        <v>1092</v>
      </c>
      <c r="B843" s="8" t="s">
        <v>1065</v>
      </c>
      <c r="C843" s="131">
        <v>5000</v>
      </c>
      <c r="D843" s="8"/>
      <c r="E843" s="8"/>
      <c r="F843" s="9"/>
      <c r="G843" s="13"/>
      <c r="H843" s="8"/>
      <c r="I843" s="8"/>
      <c r="J843" s="41">
        <f>J842+Table234535[[#This Row],[AMOUNT]]-Table234535[[#This Row],[AMOUNT2]]-Table234535[[#This Row],[AMOUNT3]]</f>
        <v>-36439</v>
      </c>
      <c r="K843" s="79"/>
    </row>
    <row r="844" spans="1:11" hidden="1" x14ac:dyDescent="0.35">
      <c r="A844" s="64" t="s">
        <v>1092</v>
      </c>
      <c r="B844" s="8"/>
      <c r="C844" s="8"/>
      <c r="D844" s="8" t="s">
        <v>65</v>
      </c>
      <c r="E844" s="8" t="s">
        <v>16</v>
      </c>
      <c r="F844" s="9" t="s">
        <v>1110</v>
      </c>
      <c r="G844" s="13">
        <v>1100</v>
      </c>
      <c r="H844" s="8"/>
      <c r="I844" s="8"/>
      <c r="J844" s="41">
        <f>J843+Table234535[[#This Row],[AMOUNT]]-Table234535[[#This Row],[AMOUNT2]]-Table234535[[#This Row],[AMOUNT3]]</f>
        <v>-37539</v>
      </c>
      <c r="K844" s="79"/>
    </row>
    <row r="845" spans="1:11" hidden="1" x14ac:dyDescent="0.35">
      <c r="A845" s="64" t="s">
        <v>1092</v>
      </c>
      <c r="B845" s="8"/>
      <c r="C845" s="8"/>
      <c r="D845" s="8" t="s">
        <v>65</v>
      </c>
      <c r="E845" s="8" t="s">
        <v>68</v>
      </c>
      <c r="F845" s="9" t="s">
        <v>1109</v>
      </c>
      <c r="G845" s="13">
        <v>1600</v>
      </c>
      <c r="H845" s="8"/>
      <c r="I845" s="8"/>
      <c r="J845" s="41">
        <f>J844+Table234535[[#This Row],[AMOUNT]]-Table234535[[#This Row],[AMOUNT2]]-Table234535[[#This Row],[AMOUNT3]]</f>
        <v>-39139</v>
      </c>
      <c r="K845" s="79"/>
    </row>
    <row r="846" spans="1:11" hidden="1" x14ac:dyDescent="0.35">
      <c r="A846" s="64" t="s">
        <v>1092</v>
      </c>
      <c r="B846" s="8"/>
      <c r="C846" s="8"/>
      <c r="D846" s="8" t="s">
        <v>39</v>
      </c>
      <c r="E846" s="8" t="s">
        <v>965</v>
      </c>
      <c r="F846" s="9" t="s">
        <v>1114</v>
      </c>
      <c r="G846" s="13">
        <v>500</v>
      </c>
      <c r="H846" s="8"/>
      <c r="I846" s="8"/>
      <c r="J846" s="41">
        <f>J845+Table234535[[#This Row],[AMOUNT]]-Table234535[[#This Row],[AMOUNT2]]-Table234535[[#This Row],[AMOUNT3]]</f>
        <v>-39639</v>
      </c>
      <c r="K846" s="79"/>
    </row>
    <row r="847" spans="1:11" hidden="1" x14ac:dyDescent="0.35">
      <c r="A847" s="64" t="s">
        <v>1092</v>
      </c>
      <c r="B847" s="8"/>
      <c r="C847" s="8"/>
      <c r="D847" s="8" t="s">
        <v>65</v>
      </c>
      <c r="E847" s="8" t="s">
        <v>1115</v>
      </c>
      <c r="F847" s="9" t="s">
        <v>1116</v>
      </c>
      <c r="G847" s="13">
        <v>200</v>
      </c>
      <c r="H847" s="8"/>
      <c r="I847" s="8"/>
      <c r="J847" s="41">
        <f>J846+Table234535[[#This Row],[AMOUNT]]-Table234535[[#This Row],[AMOUNT2]]-Table234535[[#This Row],[AMOUNT3]]</f>
        <v>-39839</v>
      </c>
      <c r="K847" s="79"/>
    </row>
    <row r="848" spans="1:11" hidden="1" x14ac:dyDescent="0.35">
      <c r="A848" s="64" t="s">
        <v>1093</v>
      </c>
      <c r="B848" s="8" t="s">
        <v>45</v>
      </c>
      <c r="C848" s="131">
        <v>4000</v>
      </c>
      <c r="D848" s="8"/>
      <c r="E848" s="8"/>
      <c r="F848" s="9"/>
      <c r="G848" s="13"/>
      <c r="H848" s="8"/>
      <c r="I848" s="8"/>
      <c r="J848" s="41">
        <f>J847+Table234535[[#This Row],[AMOUNT]]-Table234535[[#This Row],[AMOUNT2]]-Table234535[[#This Row],[AMOUNT3]]</f>
        <v>-35839</v>
      </c>
      <c r="K848" s="79"/>
    </row>
    <row r="849" spans="1:11" hidden="1" x14ac:dyDescent="0.35">
      <c r="A849" s="64" t="s">
        <v>1093</v>
      </c>
      <c r="B849" s="8"/>
      <c r="C849" s="8"/>
      <c r="D849" s="8" t="s">
        <v>65</v>
      </c>
      <c r="E849" s="8" t="s">
        <v>0</v>
      </c>
      <c r="F849" s="9" t="s">
        <v>1117</v>
      </c>
      <c r="G849" s="13">
        <v>900</v>
      </c>
      <c r="H849" s="8"/>
      <c r="I849" s="8"/>
      <c r="J849" s="41">
        <f>J848+Table234535[[#This Row],[AMOUNT]]-Table234535[[#This Row],[AMOUNT2]]-Table234535[[#This Row],[AMOUNT3]]</f>
        <v>-36739</v>
      </c>
      <c r="K849" s="79"/>
    </row>
    <row r="850" spans="1:11" hidden="1" x14ac:dyDescent="0.35">
      <c r="A850" s="64" t="s">
        <v>1093</v>
      </c>
      <c r="B850" s="8"/>
      <c r="C850" s="8"/>
      <c r="D850" s="8" t="s">
        <v>65</v>
      </c>
      <c r="E850" s="8" t="s">
        <v>20</v>
      </c>
      <c r="F850" s="9" t="s">
        <v>1118</v>
      </c>
      <c r="G850" s="13">
        <v>4000</v>
      </c>
      <c r="H850" s="8"/>
      <c r="I850" s="8"/>
      <c r="J850" s="41">
        <f>J849+Table234535[[#This Row],[AMOUNT]]-Table234535[[#This Row],[AMOUNT2]]-Table234535[[#This Row],[AMOUNT3]]</f>
        <v>-40739</v>
      </c>
      <c r="K850" s="79"/>
    </row>
    <row r="851" spans="1:11" hidden="1" x14ac:dyDescent="0.35">
      <c r="A851" s="64" t="s">
        <v>1093</v>
      </c>
      <c r="B851" s="8"/>
      <c r="C851" s="8"/>
      <c r="D851" s="8" t="s">
        <v>65</v>
      </c>
      <c r="E851" s="8" t="s">
        <v>682</v>
      </c>
      <c r="F851" s="9" t="s">
        <v>1119</v>
      </c>
      <c r="G851" s="13">
        <v>200</v>
      </c>
      <c r="H851" s="8"/>
      <c r="I851" s="8"/>
      <c r="J851" s="41">
        <f>J850+Table234535[[#This Row],[AMOUNT]]-Table234535[[#This Row],[AMOUNT2]]-Table234535[[#This Row],[AMOUNT3]]</f>
        <v>-40939</v>
      </c>
      <c r="K851" s="79"/>
    </row>
    <row r="852" spans="1:11" x14ac:dyDescent="0.35">
      <c r="A852" s="64" t="s">
        <v>1093</v>
      </c>
      <c r="B852" s="8"/>
      <c r="C852" s="8"/>
      <c r="D852" s="20" t="s">
        <v>21</v>
      </c>
      <c r="E852" s="20" t="s">
        <v>27</v>
      </c>
      <c r="F852" s="19" t="s">
        <v>1283</v>
      </c>
      <c r="G852" s="13">
        <v>500</v>
      </c>
      <c r="H852" s="8"/>
      <c r="I852" s="8"/>
      <c r="J852" s="41">
        <f>J851+Table234535[[#This Row],[AMOUNT]]-Table234535[[#This Row],[AMOUNT2]]-Table234535[[#This Row],[AMOUNT3]]</f>
        <v>-41439</v>
      </c>
      <c r="K852" s="79"/>
    </row>
    <row r="853" spans="1:11" hidden="1" x14ac:dyDescent="0.35">
      <c r="A853" s="64" t="s">
        <v>1093</v>
      </c>
      <c r="B853" s="8"/>
      <c r="C853" s="8"/>
      <c r="D853" s="8" t="s">
        <v>65</v>
      </c>
      <c r="E853" s="8" t="s">
        <v>16</v>
      </c>
      <c r="F853" s="9" t="s">
        <v>1076</v>
      </c>
      <c r="G853" s="13">
        <v>900</v>
      </c>
      <c r="H853" s="8"/>
      <c r="I853" s="8"/>
      <c r="J853" s="41">
        <f>J852+Table234535[[#This Row],[AMOUNT]]-Table234535[[#This Row],[AMOUNT2]]-Table234535[[#This Row],[AMOUNT3]]</f>
        <v>-42339</v>
      </c>
      <c r="K853" s="79"/>
    </row>
    <row r="854" spans="1:11" hidden="1" x14ac:dyDescent="0.35">
      <c r="A854" s="64" t="s">
        <v>1099</v>
      </c>
      <c r="B854" s="8"/>
      <c r="C854" s="8"/>
      <c r="D854" s="8" t="s">
        <v>65</v>
      </c>
      <c r="E854" s="8" t="s">
        <v>16</v>
      </c>
      <c r="F854" s="9" t="s">
        <v>1076</v>
      </c>
      <c r="G854" s="13">
        <v>900</v>
      </c>
      <c r="H854" s="8"/>
      <c r="I854" s="8"/>
      <c r="J854" s="41">
        <f>J853+Table234535[[#This Row],[AMOUNT]]-Table234535[[#This Row],[AMOUNT2]]-Table234535[[#This Row],[AMOUNT3]]</f>
        <v>-43239</v>
      </c>
      <c r="K854" s="79"/>
    </row>
    <row r="855" spans="1:11" hidden="1" x14ac:dyDescent="0.35">
      <c r="A855" s="64" t="s">
        <v>1099</v>
      </c>
      <c r="B855" s="8"/>
      <c r="C855" s="8"/>
      <c r="D855" s="8" t="s">
        <v>953</v>
      </c>
      <c r="E855" s="8" t="s">
        <v>0</v>
      </c>
      <c r="F855" s="9" t="s">
        <v>1120</v>
      </c>
      <c r="G855" s="13">
        <v>140</v>
      </c>
      <c r="H855" s="8"/>
      <c r="I855" s="8"/>
      <c r="J855" s="41">
        <f>J854+Table234535[[#This Row],[AMOUNT]]-Table234535[[#This Row],[AMOUNT2]]-Table234535[[#This Row],[AMOUNT3]]</f>
        <v>-43379</v>
      </c>
      <c r="K855" s="79"/>
    </row>
    <row r="856" spans="1:11" hidden="1" x14ac:dyDescent="0.35">
      <c r="A856" s="64" t="s">
        <v>1099</v>
      </c>
      <c r="B856" s="8"/>
      <c r="C856" s="8"/>
      <c r="D856" s="8" t="s">
        <v>65</v>
      </c>
      <c r="E856" s="8" t="s">
        <v>0</v>
      </c>
      <c r="F856" s="9" t="s">
        <v>1121</v>
      </c>
      <c r="G856" s="13">
        <v>100</v>
      </c>
      <c r="H856" s="8"/>
      <c r="I856" s="8"/>
      <c r="J856" s="41">
        <f>J855+Table234535[[#This Row],[AMOUNT]]-Table234535[[#This Row],[AMOUNT2]]-Table234535[[#This Row],[AMOUNT3]]</f>
        <v>-43479</v>
      </c>
      <c r="K856" s="79"/>
    </row>
    <row r="857" spans="1:11" hidden="1" x14ac:dyDescent="0.35">
      <c r="A857" s="64" t="s">
        <v>1104</v>
      </c>
      <c r="B857" s="8" t="s">
        <v>1065</v>
      </c>
      <c r="C857" s="131">
        <v>20000</v>
      </c>
      <c r="D857" s="20"/>
      <c r="E857" s="20"/>
      <c r="F857" s="19"/>
      <c r="G857" s="21"/>
      <c r="H857" s="8"/>
      <c r="I857" s="8"/>
      <c r="J857" s="41">
        <f>J856+Table234535[[#This Row],[AMOUNT]]-Table234535[[#This Row],[AMOUNT2]]-Table234535[[#This Row],[AMOUNT3]]</f>
        <v>-23479</v>
      </c>
      <c r="K857" s="79"/>
    </row>
    <row r="858" spans="1:11" hidden="1" x14ac:dyDescent="0.35">
      <c r="A858" s="64" t="s">
        <v>1104</v>
      </c>
      <c r="B858" s="8"/>
      <c r="C858" s="8"/>
      <c r="D858" s="20" t="s">
        <v>39</v>
      </c>
      <c r="E858" s="20" t="s">
        <v>679</v>
      </c>
      <c r="F858" s="19" t="s">
        <v>66</v>
      </c>
      <c r="G858" s="21">
        <v>1000</v>
      </c>
      <c r="H858" s="8"/>
      <c r="I858" s="8"/>
      <c r="J858" s="41">
        <f>J857+Table234535[[#This Row],[AMOUNT]]-Table234535[[#This Row],[AMOUNT2]]-Table234535[[#This Row],[AMOUNT3]]</f>
        <v>-24479</v>
      </c>
      <c r="K858" s="79"/>
    </row>
    <row r="859" spans="1:11" hidden="1" x14ac:dyDescent="0.35">
      <c r="A859" s="64" t="s">
        <v>1104</v>
      </c>
      <c r="B859" s="8"/>
      <c r="C859" s="8"/>
      <c r="D859" s="8" t="s">
        <v>65</v>
      </c>
      <c r="E859" s="8" t="s">
        <v>16</v>
      </c>
      <c r="F859" s="9" t="s">
        <v>1076</v>
      </c>
      <c r="G859" s="13">
        <v>900</v>
      </c>
      <c r="H859" s="8"/>
      <c r="I859" s="8"/>
      <c r="J859" s="41">
        <f>J858+Table234535[[#This Row],[AMOUNT]]-Table234535[[#This Row],[AMOUNT2]]-Table234535[[#This Row],[AMOUNT3]]</f>
        <v>-25379</v>
      </c>
      <c r="K859" s="79"/>
    </row>
    <row r="860" spans="1:11" hidden="1" x14ac:dyDescent="0.35">
      <c r="A860" s="64" t="s">
        <v>1104</v>
      </c>
      <c r="B860" s="8"/>
      <c r="C860" s="8"/>
      <c r="D860" s="20" t="s">
        <v>65</v>
      </c>
      <c r="E860" s="20" t="s">
        <v>19</v>
      </c>
      <c r="F860" s="19" t="s">
        <v>106</v>
      </c>
      <c r="G860" s="21">
        <v>5000</v>
      </c>
      <c r="H860" s="8"/>
      <c r="I860" s="8"/>
      <c r="J860" s="41">
        <f>J859+Table234535[[#This Row],[AMOUNT]]-Table234535[[#This Row],[AMOUNT2]]-Table234535[[#This Row],[AMOUNT3]]</f>
        <v>-30379</v>
      </c>
      <c r="K860" s="79"/>
    </row>
    <row r="861" spans="1:11" hidden="1" x14ac:dyDescent="0.35">
      <c r="A861" s="64" t="s">
        <v>1122</v>
      </c>
      <c r="B861" s="8" t="s">
        <v>45</v>
      </c>
      <c r="C861" s="8">
        <v>1000</v>
      </c>
      <c r="D861" s="20"/>
      <c r="E861" s="20"/>
      <c r="F861" s="19"/>
      <c r="G861" s="21"/>
      <c r="H861" s="8"/>
      <c r="I861" s="8"/>
      <c r="J861" s="41">
        <f>J860+Table234535[[#This Row],[AMOUNT]]-Table234535[[#This Row],[AMOUNT2]]-Table234535[[#This Row],[AMOUNT3]]</f>
        <v>-29379</v>
      </c>
      <c r="K861" s="79"/>
    </row>
    <row r="862" spans="1:11" hidden="1" x14ac:dyDescent="0.35">
      <c r="A862" s="64" t="s">
        <v>1122</v>
      </c>
      <c r="B862" s="8"/>
      <c r="C862" s="8"/>
      <c r="D862" s="8" t="s">
        <v>65</v>
      </c>
      <c r="E862" s="8" t="s">
        <v>16</v>
      </c>
      <c r="F862" s="9" t="s">
        <v>1076</v>
      </c>
      <c r="G862" s="13">
        <v>900</v>
      </c>
      <c r="H862" s="8"/>
      <c r="I862" s="8"/>
      <c r="J862" s="41">
        <f>J861+Table234535[[#This Row],[AMOUNT]]-Table234535[[#This Row],[AMOUNT2]]-Table234535[[#This Row],[AMOUNT3]]</f>
        <v>-30279</v>
      </c>
      <c r="K862" s="79"/>
    </row>
    <row r="863" spans="1:11" hidden="1" x14ac:dyDescent="0.35">
      <c r="A863" s="64" t="s">
        <v>1122</v>
      </c>
      <c r="B863" s="8"/>
      <c r="C863" s="8"/>
      <c r="D863" s="8" t="s">
        <v>65</v>
      </c>
      <c r="E863" s="8" t="s">
        <v>68</v>
      </c>
      <c r="F863" s="9" t="s">
        <v>1081</v>
      </c>
      <c r="G863" s="13">
        <v>800</v>
      </c>
      <c r="H863" s="8"/>
      <c r="I863" s="8"/>
      <c r="J863" s="41">
        <f>J862+Table234535[[#This Row],[AMOUNT]]-Table234535[[#This Row],[AMOUNT2]]-Table234535[[#This Row],[AMOUNT3]]</f>
        <v>-31079</v>
      </c>
      <c r="K863" s="79"/>
    </row>
    <row r="864" spans="1:11" hidden="1" x14ac:dyDescent="0.35">
      <c r="A864" s="64" t="s">
        <v>1122</v>
      </c>
      <c r="B864" s="8"/>
      <c r="C864" s="8"/>
      <c r="D864" s="8" t="s">
        <v>65</v>
      </c>
      <c r="E864" s="8" t="s">
        <v>38</v>
      </c>
      <c r="F864" s="9" t="s">
        <v>1123</v>
      </c>
      <c r="G864" s="13">
        <v>900</v>
      </c>
      <c r="H864" s="8"/>
      <c r="I864" s="8"/>
      <c r="J864" s="41">
        <f>J863+Table234535[[#This Row],[AMOUNT]]-Table234535[[#This Row],[AMOUNT2]]-Table234535[[#This Row],[AMOUNT3]]</f>
        <v>-31979</v>
      </c>
      <c r="K864" s="79"/>
    </row>
    <row r="865" spans="1:11" hidden="1" x14ac:dyDescent="0.35">
      <c r="A865" s="64" t="s">
        <v>1122</v>
      </c>
      <c r="B865" s="8"/>
      <c r="C865" s="8"/>
      <c r="D865" s="8" t="s">
        <v>65</v>
      </c>
      <c r="E865" s="8" t="s">
        <v>679</v>
      </c>
      <c r="F865" s="9" t="s">
        <v>955</v>
      </c>
      <c r="G865" s="13">
        <v>1000</v>
      </c>
      <c r="H865" s="8"/>
      <c r="I865" s="8"/>
      <c r="J865" s="41">
        <f>J864+Table234535[[#This Row],[AMOUNT]]-Table234535[[#This Row],[AMOUNT2]]-Table234535[[#This Row],[AMOUNT3]]</f>
        <v>-32979</v>
      </c>
      <c r="K865" s="79"/>
    </row>
    <row r="866" spans="1:11" x14ac:dyDescent="0.35">
      <c r="A866" s="64" t="s">
        <v>1122</v>
      </c>
      <c r="B866" s="8"/>
      <c r="C866" s="8"/>
      <c r="D866" s="20" t="s">
        <v>21</v>
      </c>
      <c r="E866" s="20" t="s">
        <v>27</v>
      </c>
      <c r="F866" s="19" t="s">
        <v>1283</v>
      </c>
      <c r="G866" s="13">
        <v>1000</v>
      </c>
      <c r="H866" s="8"/>
      <c r="I866" s="8"/>
      <c r="J866" s="41">
        <f>J865+Table234535[[#This Row],[AMOUNT]]-Table234535[[#This Row],[AMOUNT2]]-Table234535[[#This Row],[AMOUNT3]]</f>
        <v>-33979</v>
      </c>
      <c r="K866" s="79"/>
    </row>
    <row r="867" spans="1:11" hidden="1" x14ac:dyDescent="0.35">
      <c r="A867" s="64" t="s">
        <v>1165</v>
      </c>
      <c r="B867" s="8" t="s">
        <v>1065</v>
      </c>
      <c r="C867" s="8">
        <v>20000</v>
      </c>
      <c r="D867" s="20"/>
      <c r="E867" s="20"/>
      <c r="F867" s="19"/>
      <c r="G867" s="13"/>
      <c r="H867" s="8"/>
      <c r="I867" s="8"/>
      <c r="J867" s="41">
        <f>J866+Table234535[[#This Row],[AMOUNT]]-Table234535[[#This Row],[AMOUNT2]]-Table234535[[#This Row],[AMOUNT3]]</f>
        <v>-13979</v>
      </c>
      <c r="K867" s="79"/>
    </row>
    <row r="868" spans="1:11" hidden="1" x14ac:dyDescent="0.35">
      <c r="A868" s="64" t="s">
        <v>1165</v>
      </c>
      <c r="B868" s="8" t="s">
        <v>45</v>
      </c>
      <c r="C868" s="8">
        <v>2000</v>
      </c>
      <c r="D868" s="20"/>
      <c r="E868" s="20"/>
      <c r="F868" s="19"/>
      <c r="G868" s="13"/>
      <c r="H868" s="8"/>
      <c r="I868" s="8"/>
      <c r="J868" s="41">
        <f>J867+Table234535[[#This Row],[AMOUNT]]-Table234535[[#This Row],[AMOUNT2]]-Table234535[[#This Row],[AMOUNT3]]</f>
        <v>-11979</v>
      </c>
      <c r="K868" s="79"/>
    </row>
    <row r="869" spans="1:11" hidden="1" x14ac:dyDescent="0.35">
      <c r="A869" s="64" t="s">
        <v>1165</v>
      </c>
      <c r="B869" s="8"/>
      <c r="C869" s="8"/>
      <c r="D869" s="8" t="s">
        <v>65</v>
      </c>
      <c r="E869" s="20" t="s">
        <v>19</v>
      </c>
      <c r="F869" s="19" t="s">
        <v>1178</v>
      </c>
      <c r="G869" s="21">
        <v>10000</v>
      </c>
      <c r="H869" s="8"/>
      <c r="I869" s="8"/>
      <c r="J869" s="41">
        <f>J868+Table234535[[#This Row],[AMOUNT]]-Table234535[[#This Row],[AMOUNT2]]-Table234535[[#This Row],[AMOUNT3]]</f>
        <v>-21979</v>
      </c>
      <c r="K869" s="79"/>
    </row>
    <row r="870" spans="1:11" hidden="1" x14ac:dyDescent="0.35">
      <c r="A870" s="64" t="s">
        <v>1165</v>
      </c>
      <c r="B870" s="8"/>
      <c r="C870" s="8"/>
      <c r="D870" s="8" t="s">
        <v>65</v>
      </c>
      <c r="E870" s="8" t="s">
        <v>16</v>
      </c>
      <c r="F870" s="9" t="s">
        <v>1076</v>
      </c>
      <c r="G870" s="13">
        <v>900</v>
      </c>
      <c r="H870" s="8"/>
      <c r="I870" s="8"/>
      <c r="J870" s="41">
        <f>J869+Table234535[[#This Row],[AMOUNT]]-Table234535[[#This Row],[AMOUNT2]]-Table234535[[#This Row],[AMOUNT3]]</f>
        <v>-22879</v>
      </c>
      <c r="K870" s="79"/>
    </row>
    <row r="871" spans="1:11" hidden="1" x14ac:dyDescent="0.35">
      <c r="A871" s="64" t="s">
        <v>1165</v>
      </c>
      <c r="B871" s="8"/>
      <c r="C871" s="8"/>
      <c r="D871" s="8" t="s">
        <v>65</v>
      </c>
      <c r="E871" s="8" t="s">
        <v>68</v>
      </c>
      <c r="F871" s="9" t="s">
        <v>1081</v>
      </c>
      <c r="G871" s="13">
        <v>800</v>
      </c>
      <c r="H871" s="8"/>
      <c r="I871" s="8"/>
      <c r="J871" s="41">
        <f>J870+Table234535[[#This Row],[AMOUNT]]-Table234535[[#This Row],[AMOUNT2]]-Table234535[[#This Row],[AMOUNT3]]</f>
        <v>-23679</v>
      </c>
      <c r="K871" s="79"/>
    </row>
    <row r="872" spans="1:11" hidden="1" x14ac:dyDescent="0.35">
      <c r="A872" s="64" t="s">
        <v>1165</v>
      </c>
      <c r="B872" s="8"/>
      <c r="C872" s="8"/>
      <c r="D872" s="20"/>
      <c r="E872" s="20"/>
      <c r="F872" s="19"/>
      <c r="G872" s="13"/>
      <c r="H872" s="8" t="s">
        <v>64</v>
      </c>
      <c r="I872" s="8">
        <v>2000</v>
      </c>
      <c r="J872" s="41">
        <f>J871+Table234535[[#This Row],[AMOUNT]]-Table234535[[#This Row],[AMOUNT2]]-Table234535[[#This Row],[AMOUNT3]]</f>
        <v>-25679</v>
      </c>
      <c r="K872" s="79"/>
    </row>
    <row r="873" spans="1:11" hidden="1" x14ac:dyDescent="0.35">
      <c r="A873" s="64" t="s">
        <v>1165</v>
      </c>
      <c r="B873" s="8"/>
      <c r="C873" s="8"/>
      <c r="D873" s="20" t="s">
        <v>1185</v>
      </c>
      <c r="E873" s="20" t="s">
        <v>19</v>
      </c>
      <c r="F873" s="19" t="s">
        <v>1179</v>
      </c>
      <c r="G873" s="13">
        <v>3000</v>
      </c>
      <c r="H873" s="8"/>
      <c r="I873" s="8"/>
      <c r="J873" s="41">
        <f>J872+Table234535[[#This Row],[AMOUNT]]-Table234535[[#This Row],[AMOUNT2]]-Table234535[[#This Row],[AMOUNT3]]</f>
        <v>-28679</v>
      </c>
      <c r="K873" s="79"/>
    </row>
    <row r="874" spans="1:11" hidden="1" x14ac:dyDescent="0.35">
      <c r="A874" s="64" t="s">
        <v>1165</v>
      </c>
      <c r="B874" s="8"/>
      <c r="C874" s="8"/>
      <c r="D874" s="20" t="s">
        <v>91</v>
      </c>
      <c r="E874" s="20" t="s">
        <v>682</v>
      </c>
      <c r="F874" s="19" t="s">
        <v>1180</v>
      </c>
      <c r="G874" s="13">
        <v>1000</v>
      </c>
      <c r="H874" s="8"/>
      <c r="I874" s="8"/>
      <c r="J874" s="41">
        <f>J873+Table234535[[#This Row],[AMOUNT]]-Table234535[[#This Row],[AMOUNT2]]-Table234535[[#This Row],[AMOUNT3]]</f>
        <v>-29679</v>
      </c>
      <c r="K874" s="79"/>
    </row>
    <row r="875" spans="1:11" hidden="1" x14ac:dyDescent="0.35">
      <c r="A875" s="64" t="s">
        <v>1150</v>
      </c>
      <c r="B875" s="8" t="s">
        <v>45</v>
      </c>
      <c r="C875" s="8">
        <v>4000</v>
      </c>
      <c r="D875" s="20"/>
      <c r="E875" s="20"/>
      <c r="F875" s="19"/>
      <c r="G875" s="13"/>
      <c r="H875" s="8"/>
      <c r="I875" s="8"/>
      <c r="J875" s="41">
        <f>J874+Table234535[[#This Row],[AMOUNT]]-Table234535[[#This Row],[AMOUNT2]]-Table234535[[#This Row],[AMOUNT3]]</f>
        <v>-25679</v>
      </c>
      <c r="K875" s="79"/>
    </row>
    <row r="876" spans="1:11" hidden="1" x14ac:dyDescent="0.35">
      <c r="A876" s="64" t="s">
        <v>1150</v>
      </c>
      <c r="B876" s="8" t="s">
        <v>45</v>
      </c>
      <c r="C876" s="8">
        <v>10000</v>
      </c>
      <c r="D876" s="20"/>
      <c r="E876" s="20"/>
      <c r="F876" s="19"/>
      <c r="G876" s="13"/>
      <c r="H876" s="8"/>
      <c r="I876" s="8"/>
      <c r="J876" s="41">
        <f>J875+Table234535[[#This Row],[AMOUNT]]-Table234535[[#This Row],[AMOUNT2]]-Table234535[[#This Row],[AMOUNT3]]</f>
        <v>-15679</v>
      </c>
      <c r="K876" s="79"/>
    </row>
    <row r="877" spans="1:11" hidden="1" x14ac:dyDescent="0.35">
      <c r="A877" s="64" t="s">
        <v>1150</v>
      </c>
      <c r="B877" s="8" t="s">
        <v>1181</v>
      </c>
      <c r="C877" s="8">
        <v>5000</v>
      </c>
      <c r="D877" s="20" t="s">
        <v>65</v>
      </c>
      <c r="E877" s="20" t="s">
        <v>20</v>
      </c>
      <c r="F877" s="19" t="s">
        <v>1182</v>
      </c>
      <c r="G877" s="13">
        <v>4000</v>
      </c>
      <c r="H877" s="8"/>
      <c r="I877" s="8"/>
      <c r="J877" s="41">
        <f>J876+Table234535[[#This Row],[AMOUNT]]-Table234535[[#This Row],[AMOUNT2]]-Table234535[[#This Row],[AMOUNT3]]</f>
        <v>-14679</v>
      </c>
      <c r="K877" s="79"/>
    </row>
    <row r="878" spans="1:11" hidden="1" x14ac:dyDescent="0.35">
      <c r="A878" s="64" t="s">
        <v>1150</v>
      </c>
      <c r="B878" s="8"/>
      <c r="C878" s="8"/>
      <c r="D878" s="20" t="s">
        <v>65</v>
      </c>
      <c r="E878" s="20" t="s">
        <v>1184</v>
      </c>
      <c r="F878" s="19" t="s">
        <v>1119</v>
      </c>
      <c r="G878" s="13">
        <v>200</v>
      </c>
      <c r="H878" s="8"/>
      <c r="I878" s="8"/>
      <c r="J878" s="41">
        <f>J877+Table234535[[#This Row],[AMOUNT]]-Table234535[[#This Row],[AMOUNT2]]-Table234535[[#This Row],[AMOUNT3]]</f>
        <v>-14879</v>
      </c>
      <c r="K878" s="79"/>
    </row>
    <row r="879" spans="1:11" hidden="1" x14ac:dyDescent="0.35">
      <c r="A879" s="64" t="s">
        <v>1150</v>
      </c>
      <c r="B879" s="8"/>
      <c r="C879" s="8"/>
      <c r="D879" s="20" t="s">
        <v>957</v>
      </c>
      <c r="E879" s="20" t="s">
        <v>27</v>
      </c>
      <c r="F879" s="9" t="s">
        <v>28</v>
      </c>
      <c r="G879" s="13">
        <v>10000</v>
      </c>
      <c r="H879" s="8"/>
      <c r="I879" s="8"/>
      <c r="J879" s="41">
        <f>J878+Table234535[[#This Row],[AMOUNT]]-Table234535[[#This Row],[AMOUNT2]]-Table234535[[#This Row],[AMOUNT3]]</f>
        <v>-24879</v>
      </c>
      <c r="K879" s="79"/>
    </row>
    <row r="880" spans="1:11" hidden="1" x14ac:dyDescent="0.35">
      <c r="A880" s="64" t="s">
        <v>1150</v>
      </c>
      <c r="B880" s="8"/>
      <c r="C880" s="8"/>
      <c r="D880" s="20"/>
      <c r="E880" s="20"/>
      <c r="F880" s="19"/>
      <c r="G880" s="13"/>
      <c r="H880" s="8" t="s">
        <v>970</v>
      </c>
      <c r="I880" s="8">
        <v>2000</v>
      </c>
      <c r="J880" s="41">
        <f>J879+Table234535[[#This Row],[AMOUNT]]-Table234535[[#This Row],[AMOUNT2]]-Table234535[[#This Row],[AMOUNT3]]</f>
        <v>-26879</v>
      </c>
      <c r="K880" s="79"/>
    </row>
    <row r="881" spans="1:11" hidden="1" x14ac:dyDescent="0.35">
      <c r="A881" s="64" t="s">
        <v>1150</v>
      </c>
      <c r="B881" s="8"/>
      <c r="C881" s="8"/>
      <c r="D881" s="20"/>
      <c r="E881" s="20"/>
      <c r="F881" s="19"/>
      <c r="G881" s="13"/>
      <c r="H881" s="8" t="s">
        <v>57</v>
      </c>
      <c r="I881" s="8">
        <v>2000</v>
      </c>
      <c r="J881" s="41">
        <f>J880+Table234535[[#This Row],[AMOUNT]]-Table234535[[#This Row],[AMOUNT2]]-Table234535[[#This Row],[AMOUNT3]]</f>
        <v>-28879</v>
      </c>
      <c r="K881" s="79"/>
    </row>
    <row r="882" spans="1:11" hidden="1" x14ac:dyDescent="0.35">
      <c r="A882" s="64" t="s">
        <v>1150</v>
      </c>
      <c r="B882" s="8"/>
      <c r="C882" s="8"/>
      <c r="D882" s="20" t="s">
        <v>957</v>
      </c>
      <c r="E882" s="20" t="s">
        <v>27</v>
      </c>
      <c r="F882" s="19" t="s">
        <v>1183</v>
      </c>
      <c r="G882" s="13">
        <v>1000</v>
      </c>
      <c r="H882" s="8"/>
      <c r="I882" s="8"/>
      <c r="J882" s="41">
        <f>J881+Table234535[[#This Row],[AMOUNT]]-Table234535[[#This Row],[AMOUNT2]]-Table234535[[#This Row],[AMOUNT3]]</f>
        <v>-29879</v>
      </c>
      <c r="K882" s="79"/>
    </row>
    <row r="883" spans="1:11" hidden="1" x14ac:dyDescent="0.35">
      <c r="A883" s="64" t="s">
        <v>1150</v>
      </c>
      <c r="B883" s="8"/>
      <c r="C883" s="8"/>
      <c r="D883" s="8" t="s">
        <v>65</v>
      </c>
      <c r="E883" s="8" t="s">
        <v>16</v>
      </c>
      <c r="F883" s="9" t="s">
        <v>1076</v>
      </c>
      <c r="G883" s="13">
        <v>900</v>
      </c>
      <c r="H883" s="8"/>
      <c r="I883" s="8"/>
      <c r="J883" s="41">
        <f>J882+Table234535[[#This Row],[AMOUNT]]-Table234535[[#This Row],[AMOUNT2]]-Table234535[[#This Row],[AMOUNT3]]</f>
        <v>-30779</v>
      </c>
      <c r="K883" s="79"/>
    </row>
    <row r="884" spans="1:11" hidden="1" x14ac:dyDescent="0.35">
      <c r="A884" s="64" t="s">
        <v>1150</v>
      </c>
      <c r="B884" s="8"/>
      <c r="C884" s="8"/>
      <c r="D884" s="20"/>
      <c r="E884" s="20"/>
      <c r="F884" s="19"/>
      <c r="G884" s="13"/>
      <c r="H884" s="8"/>
      <c r="I884" s="8"/>
      <c r="J884" s="41">
        <f>J883+Table234535[[#This Row],[AMOUNT]]-Table234535[[#This Row],[AMOUNT2]]-Table234535[[#This Row],[AMOUNT3]]</f>
        <v>-30779</v>
      </c>
      <c r="K884" s="79"/>
    </row>
    <row r="885" spans="1:11" hidden="1" x14ac:dyDescent="0.35">
      <c r="A885" s="64" t="s">
        <v>1153</v>
      </c>
      <c r="B885" s="8" t="s">
        <v>45</v>
      </c>
      <c r="C885" s="8">
        <v>2000</v>
      </c>
      <c r="D885" s="20" t="s">
        <v>957</v>
      </c>
      <c r="E885" s="20" t="s">
        <v>27</v>
      </c>
      <c r="F885" s="9" t="s">
        <v>28</v>
      </c>
      <c r="G885" s="13">
        <v>2000</v>
      </c>
      <c r="H885" s="8"/>
      <c r="I885" s="8"/>
      <c r="J885" s="41">
        <f>J884+Table234535[[#This Row],[AMOUNT]]-Table234535[[#This Row],[AMOUNT2]]-Table234535[[#This Row],[AMOUNT3]]</f>
        <v>-30779</v>
      </c>
      <c r="K885" s="79"/>
    </row>
    <row r="886" spans="1:11" hidden="1" x14ac:dyDescent="0.35">
      <c r="A886" s="64" t="s">
        <v>1153</v>
      </c>
      <c r="B886" s="8"/>
      <c r="C886" s="8"/>
      <c r="D886" s="8" t="s">
        <v>65</v>
      </c>
      <c r="E886" s="8" t="s">
        <v>16</v>
      </c>
      <c r="F886" s="9" t="s">
        <v>1076</v>
      </c>
      <c r="G886" s="13">
        <v>900</v>
      </c>
      <c r="H886" s="8"/>
      <c r="I886" s="8"/>
      <c r="J886" s="41">
        <f>J885+Table234535[[#This Row],[AMOUNT]]-Table234535[[#This Row],[AMOUNT2]]-Table234535[[#This Row],[AMOUNT3]]</f>
        <v>-31679</v>
      </c>
      <c r="K886" s="79"/>
    </row>
    <row r="887" spans="1:11" hidden="1" x14ac:dyDescent="0.35">
      <c r="A887" s="64" t="s">
        <v>1153</v>
      </c>
      <c r="B887" s="8"/>
      <c r="C887" s="8"/>
      <c r="D887" s="20" t="s">
        <v>1185</v>
      </c>
      <c r="E887" s="20" t="s">
        <v>20</v>
      </c>
      <c r="F887" s="19" t="s">
        <v>1186</v>
      </c>
      <c r="G887" s="13">
        <v>1480</v>
      </c>
      <c r="H887" s="8"/>
      <c r="I887" s="8"/>
      <c r="J887" s="41">
        <f>J886+Table234535[[#This Row],[AMOUNT]]-Table234535[[#This Row],[AMOUNT2]]-Table234535[[#This Row],[AMOUNT3]]</f>
        <v>-33159</v>
      </c>
      <c r="K887" s="79"/>
    </row>
    <row r="888" spans="1:11" hidden="1" x14ac:dyDescent="0.35">
      <c r="A888" s="64" t="s">
        <v>1153</v>
      </c>
      <c r="B888" s="8"/>
      <c r="C888" s="8"/>
      <c r="D888" s="20" t="s">
        <v>1185</v>
      </c>
      <c r="E888" s="20" t="s">
        <v>19</v>
      </c>
      <c r="F888" s="19" t="s">
        <v>1187</v>
      </c>
      <c r="G888" s="13">
        <v>10500</v>
      </c>
      <c r="H888" s="8"/>
      <c r="I888" s="8"/>
      <c r="J888" s="41">
        <f>J887+Table234535[[#This Row],[AMOUNT]]-Table234535[[#This Row],[AMOUNT2]]-Table234535[[#This Row],[AMOUNT3]]</f>
        <v>-43659</v>
      </c>
      <c r="K888" s="79"/>
    </row>
    <row r="889" spans="1:11" hidden="1" x14ac:dyDescent="0.35">
      <c r="A889" s="64" t="s">
        <v>1158</v>
      </c>
      <c r="B889" s="8" t="s">
        <v>45</v>
      </c>
      <c r="C889" s="8">
        <v>20000</v>
      </c>
      <c r="D889" s="20" t="s">
        <v>21</v>
      </c>
      <c r="E889" s="20" t="s">
        <v>27</v>
      </c>
      <c r="F889" s="19" t="s">
        <v>1183</v>
      </c>
      <c r="G889" s="13">
        <v>20000</v>
      </c>
      <c r="H889" s="8"/>
      <c r="I889" s="8"/>
      <c r="J889" s="41">
        <f>J888+Table234535[[#This Row],[AMOUNT]]-Table234535[[#This Row],[AMOUNT2]]-Table234535[[#This Row],[AMOUNT3]]</f>
        <v>-43659</v>
      </c>
      <c r="K889" s="79"/>
    </row>
    <row r="890" spans="1:11" hidden="1" x14ac:dyDescent="0.35">
      <c r="A890" s="64" t="s">
        <v>1158</v>
      </c>
      <c r="B890" s="8"/>
      <c r="C890" s="8"/>
      <c r="D890" s="8" t="s">
        <v>65</v>
      </c>
      <c r="E890" s="8" t="s">
        <v>16</v>
      </c>
      <c r="F890" s="9" t="s">
        <v>1076</v>
      </c>
      <c r="G890" s="13">
        <v>900</v>
      </c>
      <c r="H890" s="8"/>
      <c r="I890" s="8"/>
      <c r="J890" s="41">
        <f>J889+Table234535[[#This Row],[AMOUNT]]-Table234535[[#This Row],[AMOUNT2]]-Table234535[[#This Row],[AMOUNT3]]</f>
        <v>-44559</v>
      </c>
      <c r="K890" s="79"/>
    </row>
    <row r="891" spans="1:11" hidden="1" x14ac:dyDescent="0.35">
      <c r="A891" s="64" t="s">
        <v>1158</v>
      </c>
      <c r="B891" s="8"/>
      <c r="C891" s="8"/>
      <c r="D891" s="20" t="s">
        <v>39</v>
      </c>
      <c r="E891" s="20" t="s">
        <v>771</v>
      </c>
      <c r="F891" s="19" t="s">
        <v>1188</v>
      </c>
      <c r="G891" s="13">
        <v>850</v>
      </c>
      <c r="H891" s="8"/>
      <c r="I891" s="8"/>
      <c r="J891" s="41">
        <f>J890+Table234535[[#This Row],[AMOUNT]]-Table234535[[#This Row],[AMOUNT2]]-Table234535[[#This Row],[AMOUNT3]]</f>
        <v>-45409</v>
      </c>
      <c r="K891" s="79"/>
    </row>
    <row r="892" spans="1:11" hidden="1" x14ac:dyDescent="0.35">
      <c r="A892" s="64" t="s">
        <v>1158</v>
      </c>
      <c r="B892" s="8"/>
      <c r="C892" s="8"/>
      <c r="D892" s="20" t="s">
        <v>957</v>
      </c>
      <c r="E892" s="20" t="s">
        <v>43</v>
      </c>
      <c r="F892" s="19" t="s">
        <v>1189</v>
      </c>
      <c r="G892" s="13">
        <v>500</v>
      </c>
      <c r="H892" s="8"/>
      <c r="I892" s="8"/>
      <c r="J892" s="41">
        <f>J891+Table234535[[#This Row],[AMOUNT]]-Table234535[[#This Row],[AMOUNT2]]-Table234535[[#This Row],[AMOUNT3]]</f>
        <v>-45909</v>
      </c>
      <c r="K892" s="79"/>
    </row>
    <row r="893" spans="1:11" hidden="1" x14ac:dyDescent="0.35">
      <c r="A893" s="64" t="s">
        <v>1160</v>
      </c>
      <c r="B893" s="8"/>
      <c r="C893" s="8"/>
      <c r="D893" s="8" t="s">
        <v>65</v>
      </c>
      <c r="E893" s="8" t="s">
        <v>16</v>
      </c>
      <c r="F893" s="9" t="s">
        <v>1076</v>
      </c>
      <c r="G893" s="13">
        <v>900</v>
      </c>
      <c r="H893" s="8"/>
      <c r="I893" s="8"/>
      <c r="J893" s="41">
        <f>J892+Table234535[[#This Row],[AMOUNT]]-Table234535[[#This Row],[AMOUNT2]]-Table234535[[#This Row],[AMOUNT3]]</f>
        <v>-46809</v>
      </c>
      <c r="K893" s="79"/>
    </row>
    <row r="894" spans="1:11" hidden="1" x14ac:dyDescent="0.35">
      <c r="A894" s="64" t="s">
        <v>1166</v>
      </c>
      <c r="B894" s="8" t="s">
        <v>45</v>
      </c>
      <c r="C894" s="8">
        <v>3000</v>
      </c>
      <c r="D894" s="20"/>
      <c r="E894" s="20"/>
      <c r="F894" s="19"/>
      <c r="G894" s="13"/>
      <c r="H894" s="8"/>
      <c r="I894" s="8"/>
      <c r="J894" s="41">
        <f>J893+Table234535[[#This Row],[AMOUNT]]-Table234535[[#This Row],[AMOUNT2]]-Table234535[[#This Row],[AMOUNT3]]</f>
        <v>-43809</v>
      </c>
      <c r="K894" s="79"/>
    </row>
    <row r="895" spans="1:11" hidden="1" x14ac:dyDescent="0.35">
      <c r="A895" s="64" t="s">
        <v>1166</v>
      </c>
      <c r="B895" s="8" t="s">
        <v>45</v>
      </c>
      <c r="C895" s="8">
        <v>22000</v>
      </c>
      <c r="D895" s="20"/>
      <c r="E895" s="20"/>
      <c r="F895" s="19"/>
      <c r="G895" s="13"/>
      <c r="H895" s="8"/>
      <c r="I895" s="8"/>
      <c r="J895" s="41">
        <f>J894+Table234535[[#This Row],[AMOUNT]]-Table234535[[#This Row],[AMOUNT2]]-Table234535[[#This Row],[AMOUNT3]]</f>
        <v>-21809</v>
      </c>
      <c r="K895" s="79"/>
    </row>
    <row r="896" spans="1:11" hidden="1" x14ac:dyDescent="0.35">
      <c r="A896" s="64" t="s">
        <v>1166</v>
      </c>
      <c r="B896" s="8"/>
      <c r="C896" s="8"/>
      <c r="D896" s="20" t="s">
        <v>957</v>
      </c>
      <c r="E896" s="20" t="s">
        <v>27</v>
      </c>
      <c r="F896" s="19" t="s">
        <v>1239</v>
      </c>
      <c r="G896" s="13">
        <v>3000</v>
      </c>
      <c r="H896" s="8"/>
      <c r="I896" s="8"/>
      <c r="J896" s="41">
        <f>J895+Table234535[[#This Row],[AMOUNT]]-Table234535[[#This Row],[AMOUNT2]]-Table234535[[#This Row],[AMOUNT3]]</f>
        <v>-24809</v>
      </c>
      <c r="K896" s="79"/>
    </row>
    <row r="897" spans="1:11" hidden="1" x14ac:dyDescent="0.35">
      <c r="A897" s="64" t="s">
        <v>1166</v>
      </c>
      <c r="B897" s="8"/>
      <c r="C897" s="8"/>
      <c r="D897" s="20" t="s">
        <v>957</v>
      </c>
      <c r="E897" s="20" t="s">
        <v>27</v>
      </c>
      <c r="F897" s="19" t="s">
        <v>1190</v>
      </c>
      <c r="G897" s="13">
        <v>22000</v>
      </c>
      <c r="H897" s="8"/>
      <c r="I897" s="8"/>
      <c r="J897" s="41">
        <f>J896+Table234535[[#This Row],[AMOUNT]]-Table234535[[#This Row],[AMOUNT2]]-Table234535[[#This Row],[AMOUNT3]]</f>
        <v>-46809</v>
      </c>
      <c r="K897" s="79"/>
    </row>
    <row r="898" spans="1:11" hidden="1" x14ac:dyDescent="0.35">
      <c r="A898" s="64" t="s">
        <v>1166</v>
      </c>
      <c r="B898" s="8"/>
      <c r="C898" s="8"/>
      <c r="D898" s="20" t="s">
        <v>65</v>
      </c>
      <c r="E898" s="20" t="s">
        <v>679</v>
      </c>
      <c r="F898" s="19" t="s">
        <v>1</v>
      </c>
      <c r="G898" s="21">
        <v>1000</v>
      </c>
      <c r="H898" s="8"/>
      <c r="I898" s="8"/>
      <c r="J898" s="41">
        <f>J897+Table234535[[#This Row],[AMOUNT]]-Table234535[[#This Row],[AMOUNT2]]-Table234535[[#This Row],[AMOUNT3]]</f>
        <v>-47809</v>
      </c>
      <c r="K898" s="79"/>
    </row>
    <row r="899" spans="1:11" hidden="1" x14ac:dyDescent="0.35">
      <c r="A899" s="64" t="s">
        <v>1167</v>
      </c>
      <c r="B899" s="8"/>
      <c r="C899" s="8"/>
      <c r="D899" s="20" t="s">
        <v>65</v>
      </c>
      <c r="E899" s="8" t="s">
        <v>16</v>
      </c>
      <c r="F899" s="9" t="s">
        <v>1076</v>
      </c>
      <c r="G899" s="13">
        <v>900</v>
      </c>
      <c r="H899" s="8"/>
      <c r="I899" s="8"/>
      <c r="J899" s="41">
        <f>J898+Table234535[[#This Row],[AMOUNT]]-Table234535[[#This Row],[AMOUNT2]]-Table234535[[#This Row],[AMOUNT3]]</f>
        <v>-48709</v>
      </c>
      <c r="K899" s="79"/>
    </row>
    <row r="900" spans="1:11" hidden="1" x14ac:dyDescent="0.35">
      <c r="A900" s="64" t="s">
        <v>1168</v>
      </c>
      <c r="B900" s="8"/>
      <c r="C900" s="8"/>
      <c r="D900" s="20" t="s">
        <v>65</v>
      </c>
      <c r="E900" s="8" t="s">
        <v>16</v>
      </c>
      <c r="F900" s="9" t="s">
        <v>1076</v>
      </c>
      <c r="G900" s="13">
        <v>900</v>
      </c>
      <c r="H900" s="8"/>
      <c r="I900" s="8"/>
      <c r="J900" s="41">
        <f>J899+Table234535[[#This Row],[AMOUNT]]-Table234535[[#This Row],[AMOUNT2]]-Table234535[[#This Row],[AMOUNT3]]</f>
        <v>-49609</v>
      </c>
      <c r="K900" s="79"/>
    </row>
    <row r="901" spans="1:11" hidden="1" x14ac:dyDescent="0.35">
      <c r="A901" s="64" t="s">
        <v>1172</v>
      </c>
      <c r="B901" s="8" t="s">
        <v>1065</v>
      </c>
      <c r="C901" s="8">
        <v>30000</v>
      </c>
      <c r="D901" s="20" t="s">
        <v>65</v>
      </c>
      <c r="E901" s="8" t="s">
        <v>16</v>
      </c>
      <c r="F901" s="9" t="s">
        <v>1076</v>
      </c>
      <c r="G901" s="13">
        <v>900</v>
      </c>
      <c r="H901" s="8"/>
      <c r="I901" s="8"/>
      <c r="J901" s="41">
        <f>J900+Table234535[[#This Row],[AMOUNT]]-Table234535[[#This Row],[AMOUNT2]]-Table234535[[#This Row],[AMOUNT3]]</f>
        <v>-20509</v>
      </c>
      <c r="K901" s="79"/>
    </row>
    <row r="902" spans="1:11" hidden="1" x14ac:dyDescent="0.35">
      <c r="A902" s="64" t="s">
        <v>1172</v>
      </c>
      <c r="B902" s="8"/>
      <c r="C902" s="8"/>
      <c r="D902" s="20" t="s">
        <v>65</v>
      </c>
      <c r="E902" s="20" t="s">
        <v>771</v>
      </c>
      <c r="F902" s="19" t="s">
        <v>1191</v>
      </c>
      <c r="G902" s="13">
        <v>1040</v>
      </c>
      <c r="H902" s="8"/>
      <c r="I902" s="8"/>
      <c r="J902" s="41">
        <f>J901+Table234535[[#This Row],[AMOUNT]]-Table234535[[#This Row],[AMOUNT2]]-Table234535[[#This Row],[AMOUNT3]]</f>
        <v>-21549</v>
      </c>
      <c r="K902" s="79"/>
    </row>
    <row r="903" spans="1:11" hidden="1" x14ac:dyDescent="0.35">
      <c r="A903" s="64" t="s">
        <v>1172</v>
      </c>
      <c r="B903" s="8"/>
      <c r="C903" s="8"/>
      <c r="D903" s="20" t="s">
        <v>65</v>
      </c>
      <c r="E903" s="20" t="s">
        <v>20</v>
      </c>
      <c r="F903" s="19" t="s">
        <v>1193</v>
      </c>
      <c r="G903" s="13">
        <v>110</v>
      </c>
      <c r="H903" s="8" t="s">
        <v>970</v>
      </c>
      <c r="I903" s="8">
        <v>2000</v>
      </c>
      <c r="J903" s="41">
        <f>J902+Table234535[[#This Row],[AMOUNT]]-Table234535[[#This Row],[AMOUNT2]]-Table234535[[#This Row],[AMOUNT3]]</f>
        <v>-23659</v>
      </c>
      <c r="K903" s="79"/>
    </row>
    <row r="904" spans="1:11" hidden="1" x14ac:dyDescent="0.35">
      <c r="A904" s="64" t="s">
        <v>1172</v>
      </c>
      <c r="B904" s="8"/>
      <c r="C904" s="8"/>
      <c r="D904" s="8"/>
      <c r="E904" s="8"/>
      <c r="F904" s="9"/>
      <c r="G904" s="13"/>
      <c r="H904" s="8" t="s">
        <v>57</v>
      </c>
      <c r="I904" s="8">
        <v>2000</v>
      </c>
      <c r="J904" s="41">
        <f>J903+Table234535[[#This Row],[AMOUNT]]-Table234535[[#This Row],[AMOUNT2]]-Table234535[[#This Row],[AMOUNT3]]</f>
        <v>-25659</v>
      </c>
      <c r="K904" s="79"/>
    </row>
    <row r="905" spans="1:11" hidden="1" x14ac:dyDescent="0.35">
      <c r="A905" s="64" t="s">
        <v>1172</v>
      </c>
      <c r="B905" s="8"/>
      <c r="C905" s="8"/>
      <c r="D905" s="8"/>
      <c r="E905" s="8"/>
      <c r="F905" s="9"/>
      <c r="G905" s="13"/>
      <c r="H905" s="8" t="s">
        <v>1192</v>
      </c>
      <c r="I905" s="8">
        <v>5000</v>
      </c>
      <c r="J905" s="41">
        <f>J904+Table234535[[#This Row],[AMOUNT]]-Table234535[[#This Row],[AMOUNT2]]-Table234535[[#This Row],[AMOUNT3]]</f>
        <v>-30659</v>
      </c>
      <c r="K905" s="79"/>
    </row>
    <row r="906" spans="1:11" hidden="1" x14ac:dyDescent="0.35">
      <c r="A906" s="64" t="s">
        <v>1194</v>
      </c>
      <c r="B906" s="8" t="s">
        <v>45</v>
      </c>
      <c r="C906" s="8">
        <v>7100</v>
      </c>
      <c r="D906" s="8" t="s">
        <v>957</v>
      </c>
      <c r="E906" s="8" t="s">
        <v>31</v>
      </c>
      <c r="F906" s="9" t="s">
        <v>1195</v>
      </c>
      <c r="G906" s="13">
        <v>7100</v>
      </c>
      <c r="H906" s="8"/>
      <c r="I906" s="8"/>
      <c r="J906" s="41">
        <f>J905+Table234535[[#This Row],[AMOUNT]]-Table234535[[#This Row],[AMOUNT2]]-Table234535[[#This Row],[AMOUNT3]]</f>
        <v>-30659</v>
      </c>
      <c r="K906" s="79"/>
    </row>
    <row r="907" spans="1:11" hidden="1" x14ac:dyDescent="0.35">
      <c r="A907" s="64" t="s">
        <v>1194</v>
      </c>
      <c r="B907" s="8"/>
      <c r="C907" s="8"/>
      <c r="D907" s="20" t="s">
        <v>65</v>
      </c>
      <c r="E907" s="20" t="s">
        <v>679</v>
      </c>
      <c r="F907" s="19" t="s">
        <v>1</v>
      </c>
      <c r="G907" s="21">
        <v>1000</v>
      </c>
      <c r="H907" s="8"/>
      <c r="I907" s="8"/>
      <c r="J907" s="41">
        <f>J906+Table234535[[#This Row],[AMOUNT]]-Table234535[[#This Row],[AMOUNT2]]-Table234535[[#This Row],[AMOUNT3]]</f>
        <v>-31659</v>
      </c>
      <c r="K907" s="79"/>
    </row>
    <row r="908" spans="1:11" hidden="1" x14ac:dyDescent="0.35">
      <c r="A908" s="64" t="s">
        <v>1196</v>
      </c>
      <c r="B908" s="8"/>
      <c r="C908" s="8"/>
      <c r="D908" s="20" t="s">
        <v>65</v>
      </c>
      <c r="E908" s="8" t="s">
        <v>16</v>
      </c>
      <c r="F908" s="9" t="s">
        <v>1076</v>
      </c>
      <c r="G908" s="13">
        <v>900</v>
      </c>
      <c r="H908" s="8"/>
      <c r="I908" s="8"/>
      <c r="J908" s="41">
        <f>J907+Table234535[[#This Row],[AMOUNT]]-Table234535[[#This Row],[AMOUNT2]]-Table234535[[#This Row],[AMOUNT3]]</f>
        <v>-32559</v>
      </c>
      <c r="K908" s="79"/>
    </row>
    <row r="909" spans="1:11" hidden="1" x14ac:dyDescent="0.35">
      <c r="A909" s="64" t="s">
        <v>1196</v>
      </c>
      <c r="B909" s="8"/>
      <c r="C909" s="8"/>
      <c r="D909" s="20" t="s">
        <v>65</v>
      </c>
      <c r="E909" s="8" t="s">
        <v>20</v>
      </c>
      <c r="F909" s="9" t="s">
        <v>1197</v>
      </c>
      <c r="G909" s="13">
        <v>800</v>
      </c>
      <c r="H909" s="8"/>
      <c r="I909" s="8"/>
      <c r="J909" s="41">
        <f>J908+Table234535[[#This Row],[AMOUNT]]-Table234535[[#This Row],[AMOUNT2]]-Table234535[[#This Row],[AMOUNT3]]</f>
        <v>-33359</v>
      </c>
      <c r="K909" s="79"/>
    </row>
    <row r="910" spans="1:11" hidden="1" x14ac:dyDescent="0.35">
      <c r="A910" s="64" t="s">
        <v>1196</v>
      </c>
      <c r="B910" s="8"/>
      <c r="C910" s="8"/>
      <c r="D910" s="20" t="s">
        <v>65</v>
      </c>
      <c r="E910" s="8" t="s">
        <v>771</v>
      </c>
      <c r="F910" s="9" t="s">
        <v>1198</v>
      </c>
      <c r="G910" s="13">
        <v>1000</v>
      </c>
      <c r="H910" s="8"/>
      <c r="I910" s="8"/>
      <c r="J910" s="41">
        <f>J909+Table234535[[#This Row],[AMOUNT]]-Table234535[[#This Row],[AMOUNT2]]-Table234535[[#This Row],[AMOUNT3]]</f>
        <v>-34359</v>
      </c>
      <c r="K910" s="79"/>
    </row>
    <row r="911" spans="1:11" hidden="1" x14ac:dyDescent="0.35">
      <c r="A911" s="64" t="s">
        <v>1196</v>
      </c>
      <c r="B911" s="8"/>
      <c r="C911" s="8"/>
      <c r="D911" s="8" t="s">
        <v>65</v>
      </c>
      <c r="E911" s="8" t="s">
        <v>19</v>
      </c>
      <c r="F911" s="9" t="s">
        <v>1199</v>
      </c>
      <c r="G911" s="13">
        <v>1300</v>
      </c>
      <c r="H911" s="8"/>
      <c r="I911" s="8"/>
      <c r="J911" s="41">
        <f>J910+Table234535[[#This Row],[AMOUNT]]-Table234535[[#This Row],[AMOUNT2]]-Table234535[[#This Row],[AMOUNT3]]</f>
        <v>-35659</v>
      </c>
      <c r="K911" s="79"/>
    </row>
    <row r="912" spans="1:11" hidden="1" x14ac:dyDescent="0.35">
      <c r="A912" s="64" t="s">
        <v>1201</v>
      </c>
      <c r="B912" s="8" t="s">
        <v>1065</v>
      </c>
      <c r="C912" s="8">
        <v>20000</v>
      </c>
      <c r="D912" s="8" t="s">
        <v>65</v>
      </c>
      <c r="E912" s="8" t="s">
        <v>20</v>
      </c>
      <c r="F912" s="9" t="s">
        <v>1234</v>
      </c>
      <c r="G912" s="13">
        <v>7600</v>
      </c>
      <c r="H912" s="8"/>
      <c r="I912" s="8"/>
      <c r="J912" s="41">
        <f>J911+Table234535[[#This Row],[AMOUNT]]-Table234535[[#This Row],[AMOUNT2]]-Table234535[[#This Row],[AMOUNT3]]</f>
        <v>-23259</v>
      </c>
      <c r="K912" s="79"/>
    </row>
    <row r="913" spans="1:11" hidden="1" x14ac:dyDescent="0.35">
      <c r="A913" s="64" t="s">
        <v>1201</v>
      </c>
      <c r="B913" s="8"/>
      <c r="C913" s="8"/>
      <c r="D913" s="20" t="s">
        <v>65</v>
      </c>
      <c r="E913" s="8" t="s">
        <v>16</v>
      </c>
      <c r="F913" s="9" t="s">
        <v>1076</v>
      </c>
      <c r="G913" s="13">
        <v>900</v>
      </c>
      <c r="H913" s="8"/>
      <c r="I913" s="8"/>
      <c r="J913" s="41">
        <f>J912+Table234535[[#This Row],[AMOUNT]]-Table234535[[#This Row],[AMOUNT2]]-Table234535[[#This Row],[AMOUNT3]]</f>
        <v>-24159</v>
      </c>
      <c r="K913" s="79"/>
    </row>
    <row r="914" spans="1:11" hidden="1" x14ac:dyDescent="0.35">
      <c r="A914" s="64" t="s">
        <v>1201</v>
      </c>
      <c r="B914" s="8"/>
      <c r="C914" s="8"/>
      <c r="D914" s="20" t="s">
        <v>65</v>
      </c>
      <c r="E914" s="8" t="s">
        <v>19</v>
      </c>
      <c r="F914" s="9" t="s">
        <v>1235</v>
      </c>
      <c r="G914" s="13">
        <v>8600</v>
      </c>
      <c r="H914" s="8"/>
      <c r="I914" s="8"/>
      <c r="J914" s="41">
        <f>J913+Table234535[[#This Row],[AMOUNT]]-Table234535[[#This Row],[AMOUNT2]]-Table234535[[#This Row],[AMOUNT3]]</f>
        <v>-32759</v>
      </c>
      <c r="K914" s="79"/>
    </row>
    <row r="915" spans="1:11" hidden="1" x14ac:dyDescent="0.35">
      <c r="A915" s="64" t="s">
        <v>1201</v>
      </c>
      <c r="B915" s="8"/>
      <c r="C915" s="8"/>
      <c r="D915" s="20" t="s">
        <v>65</v>
      </c>
      <c r="E915" s="8" t="s">
        <v>19</v>
      </c>
      <c r="F915" s="9" t="s">
        <v>1236</v>
      </c>
      <c r="G915" s="13">
        <v>1800</v>
      </c>
      <c r="H915" s="8"/>
      <c r="I915" s="8"/>
      <c r="J915" s="41">
        <f>J914+Table234535[[#This Row],[AMOUNT]]-Table234535[[#This Row],[AMOUNT2]]-Table234535[[#This Row],[AMOUNT3]]</f>
        <v>-34559</v>
      </c>
      <c r="K915" s="79"/>
    </row>
    <row r="916" spans="1:11" hidden="1" x14ac:dyDescent="0.35">
      <c r="A916" s="64" t="s">
        <v>1202</v>
      </c>
      <c r="B916" s="8" t="s">
        <v>45</v>
      </c>
      <c r="C916" s="8">
        <v>10000</v>
      </c>
      <c r="D916" s="20"/>
      <c r="E916" s="8"/>
      <c r="F916" s="9"/>
      <c r="G916" s="13"/>
      <c r="H916" s="8"/>
      <c r="I916" s="8"/>
      <c r="J916" s="41">
        <f>J915+Table234535[[#This Row],[AMOUNT]]-Table234535[[#This Row],[AMOUNT2]]-Table234535[[#This Row],[AMOUNT3]]</f>
        <v>-24559</v>
      </c>
      <c r="K916" s="79"/>
    </row>
    <row r="917" spans="1:11" hidden="1" x14ac:dyDescent="0.35">
      <c r="A917" s="64" t="s">
        <v>1202</v>
      </c>
      <c r="B917" s="8"/>
      <c r="C917" s="8"/>
      <c r="D917" s="20" t="s">
        <v>65</v>
      </c>
      <c r="E917" s="8" t="s">
        <v>16</v>
      </c>
      <c r="F917" s="9" t="s">
        <v>1076</v>
      </c>
      <c r="G917" s="13">
        <v>900</v>
      </c>
      <c r="H917" s="8"/>
      <c r="I917" s="8"/>
      <c r="J917" s="41">
        <f>J916+Table234535[[#This Row],[AMOUNT]]-Table234535[[#This Row],[AMOUNT2]]-Table234535[[#This Row],[AMOUNT3]]</f>
        <v>-25459</v>
      </c>
      <c r="K917" s="79"/>
    </row>
    <row r="918" spans="1:11" hidden="1" x14ac:dyDescent="0.35">
      <c r="A918" s="64" t="s">
        <v>1202</v>
      </c>
      <c r="B918" s="8"/>
      <c r="C918" s="8"/>
      <c r="D918" s="20" t="s">
        <v>65</v>
      </c>
      <c r="E918" s="20" t="s">
        <v>27</v>
      </c>
      <c r="F918" s="19" t="s">
        <v>1239</v>
      </c>
      <c r="G918" s="13">
        <v>10000</v>
      </c>
      <c r="H918" s="8"/>
      <c r="I918" s="8"/>
      <c r="J918" s="41">
        <f>J917+Table234535[[#This Row],[AMOUNT]]-Table234535[[#This Row],[AMOUNT2]]-Table234535[[#This Row],[AMOUNT3]]</f>
        <v>-35459</v>
      </c>
      <c r="K918" s="79"/>
    </row>
    <row r="919" spans="1:11" hidden="1" x14ac:dyDescent="0.35">
      <c r="A919" s="64"/>
      <c r="B919" s="8"/>
      <c r="C919" s="8"/>
      <c r="D919" s="20"/>
      <c r="E919" s="8"/>
      <c r="F919" s="9"/>
      <c r="G919" s="13"/>
      <c r="H919" s="8"/>
      <c r="I919" s="8"/>
      <c r="J919" s="41">
        <f>J918+Table234535[[#This Row],[AMOUNT]]-Table234535[[#This Row],[AMOUNT2]]-Table234535[[#This Row],[AMOUNT3]]</f>
        <v>-35459</v>
      </c>
      <c r="K919" s="79"/>
    </row>
    <row r="920" spans="1:11" hidden="1" x14ac:dyDescent="0.35">
      <c r="A920" s="64"/>
      <c r="B920" s="8"/>
      <c r="C920" s="8"/>
      <c r="D920" s="8"/>
      <c r="E920" s="8"/>
      <c r="F920" s="9"/>
      <c r="G920" s="13"/>
      <c r="H920" s="8"/>
      <c r="I920" s="8"/>
      <c r="J920" s="41">
        <f>J919+Table234535[[#This Row],[AMOUNT]]-Table234535[[#This Row],[AMOUNT2]]-Table234535[[#This Row],[AMOUNT3]]</f>
        <v>-35459</v>
      </c>
      <c r="K920" s="79"/>
    </row>
    <row r="921" spans="1:11" hidden="1" x14ac:dyDescent="0.35">
      <c r="A921" s="134"/>
      <c r="B921" s="135"/>
      <c r="C921" s="135"/>
      <c r="D921" s="135"/>
      <c r="E921" s="135"/>
      <c r="F921" s="136"/>
      <c r="G921" s="137">
        <v>0</v>
      </c>
      <c r="H921" s="135"/>
      <c r="I921" s="135"/>
      <c r="J921" s="41">
        <f>J920+Table234535[[#This Row],[AMOUNT]]-Table234535[[#This Row],[AMOUNT2]]-Table234535[[#This Row],[AMOUNT3]]</f>
        <v>-35459</v>
      </c>
      <c r="K921" s="138"/>
    </row>
    <row r="922" spans="1:11" x14ac:dyDescent="0.35">
      <c r="A922" s="148" t="s">
        <v>15</v>
      </c>
      <c r="B922" s="150"/>
      <c r="C922" s="3">
        <f>SUM(C5:C921)</f>
        <v>2484318</v>
      </c>
      <c r="D922" s="6"/>
      <c r="E922" s="6"/>
      <c r="F922" s="6"/>
      <c r="G922" s="3">
        <f>SUM(G5:G921)</f>
        <v>2005129</v>
      </c>
      <c r="H922" s="6"/>
      <c r="I922" s="3">
        <f>SUM(I5:I921)</f>
        <v>406210</v>
      </c>
      <c r="J922" s="6"/>
    </row>
  </sheetData>
  <mergeCells count="4">
    <mergeCell ref="A1:J2"/>
    <mergeCell ref="A3:C3"/>
    <mergeCell ref="G3:I3"/>
    <mergeCell ref="A922:B92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7"/>
  <sheetViews>
    <sheetView zoomScale="85" zoomScaleNormal="85" workbookViewId="0">
      <pane ySplit="4" topLeftCell="A187" activePane="bottomLeft" state="frozen"/>
      <selection pane="bottomLeft" activeCell="C211" sqref="C211"/>
    </sheetView>
  </sheetViews>
  <sheetFormatPr defaultRowHeight="14.5" x14ac:dyDescent="0.35"/>
  <cols>
    <col min="1" max="1" width="11.90625" bestFit="1" customWidth="1"/>
    <col min="2" max="2" width="9.08984375" customWidth="1"/>
    <col min="3" max="3" width="11.90625" bestFit="1" customWidth="1"/>
    <col min="4" max="4" width="32.90625" bestFit="1" customWidth="1"/>
    <col min="5" max="5" width="20.6328125" bestFit="1" customWidth="1"/>
    <col min="6" max="6" width="25.6328125" customWidth="1"/>
    <col min="7" max="7" width="12.08984375" customWidth="1"/>
    <col min="8" max="8" width="15.453125" customWidth="1"/>
    <col min="9" max="9" width="10.36328125" customWidth="1"/>
    <col min="10" max="10" width="10.08984375" customWidth="1"/>
  </cols>
  <sheetData>
    <row r="1" spans="1:10" x14ac:dyDescent="0.35">
      <c r="A1" s="151" t="s">
        <v>1051</v>
      </c>
      <c r="B1" s="152"/>
      <c r="C1" s="152"/>
      <c r="D1" s="152"/>
      <c r="E1" s="152"/>
      <c r="F1" s="152"/>
      <c r="G1" s="152"/>
      <c r="H1" s="152"/>
      <c r="I1" s="152"/>
      <c r="J1" s="153"/>
    </row>
    <row r="2" spans="1:10" x14ac:dyDescent="0.35">
      <c r="A2" s="154"/>
      <c r="B2" s="155"/>
      <c r="C2" s="155"/>
      <c r="D2" s="155"/>
      <c r="E2" s="155"/>
      <c r="F2" s="155"/>
      <c r="G2" s="155"/>
      <c r="H2" s="155"/>
      <c r="I2" s="155"/>
      <c r="J2" s="156"/>
    </row>
    <row r="3" spans="1:10" ht="20.5" x14ac:dyDescent="0.45">
      <c r="A3" s="157" t="s">
        <v>3</v>
      </c>
      <c r="B3" s="158"/>
      <c r="C3" s="159"/>
      <c r="D3" s="1">
        <v>1791</v>
      </c>
      <c r="E3" s="1"/>
      <c r="F3" s="1"/>
      <c r="G3" s="157" t="s">
        <v>4</v>
      </c>
      <c r="H3" s="158"/>
      <c r="I3" s="159"/>
      <c r="J3" s="1"/>
    </row>
    <row r="4" spans="1:10" x14ac:dyDescent="0.3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5" spans="1:10" ht="15.5" x14ac:dyDescent="0.35">
      <c r="A5" s="28"/>
      <c r="B5" s="9"/>
      <c r="C5" s="7"/>
      <c r="D5" s="8"/>
      <c r="E5" s="7"/>
      <c r="F5" s="9"/>
      <c r="G5" s="10"/>
      <c r="H5" s="7"/>
      <c r="I5" s="7"/>
      <c r="J5" s="9">
        <f>+D3</f>
        <v>1791</v>
      </c>
    </row>
    <row r="6" spans="1:10" ht="15.5" x14ac:dyDescent="0.35">
      <c r="A6" s="29">
        <v>46113</v>
      </c>
      <c r="B6" s="9"/>
      <c r="C6" s="8"/>
      <c r="D6" s="8" t="s">
        <v>95</v>
      </c>
      <c r="E6" s="8" t="s">
        <v>0</v>
      </c>
      <c r="F6" s="9" t="s">
        <v>120</v>
      </c>
      <c r="G6" s="13">
        <v>220</v>
      </c>
      <c r="H6" s="8"/>
      <c r="I6" s="8"/>
      <c r="J6" s="8">
        <f>+J5+Table23453[[#This Row],[AMOUNT]]-Table23453[[#This Row],[AMOUNT2]]-Table23453[[#This Row],[AMOUNT3]]</f>
        <v>1571</v>
      </c>
    </row>
    <row r="7" spans="1:10" ht="15.5" x14ac:dyDescent="0.35">
      <c r="A7" s="29">
        <v>46114</v>
      </c>
      <c r="B7" s="9"/>
      <c r="C7" s="8"/>
      <c r="D7" s="8" t="s">
        <v>102</v>
      </c>
      <c r="E7" s="8" t="s">
        <v>0</v>
      </c>
      <c r="F7" s="9" t="s">
        <v>150</v>
      </c>
      <c r="G7" s="13">
        <f>50+90</f>
        <v>140</v>
      </c>
      <c r="H7" s="8"/>
      <c r="I7" s="8"/>
      <c r="J7" s="8">
        <f>J6+Table23453[[#This Row],[AMOUNT]]-Table23453[[#This Row],[AMOUNT2]]-Table23453[[#This Row],[AMOUNT3]]</f>
        <v>1431</v>
      </c>
    </row>
    <row r="8" spans="1:10" ht="15.5" x14ac:dyDescent="0.35">
      <c r="A8" s="29">
        <v>46115</v>
      </c>
      <c r="B8" s="9"/>
      <c r="C8" s="8"/>
      <c r="D8" s="8" t="s">
        <v>33</v>
      </c>
      <c r="E8" s="8" t="s">
        <v>0</v>
      </c>
      <c r="F8" s="9" t="s">
        <v>119</v>
      </c>
      <c r="G8" s="13">
        <v>80</v>
      </c>
      <c r="H8" s="8"/>
      <c r="I8" s="8"/>
      <c r="J8" s="8">
        <f>J7+Table23453[[#This Row],[AMOUNT]]-Table23453[[#This Row],[AMOUNT2]]-Table23453[[#This Row],[AMOUNT3]]</f>
        <v>1351</v>
      </c>
    </row>
    <row r="9" spans="1:10" ht="15.5" x14ac:dyDescent="0.35">
      <c r="A9" s="29">
        <v>46115</v>
      </c>
      <c r="B9" s="9"/>
      <c r="C9" s="8"/>
      <c r="D9" s="8" t="s">
        <v>33</v>
      </c>
      <c r="E9" s="8" t="s">
        <v>43</v>
      </c>
      <c r="F9" s="9" t="s">
        <v>42</v>
      </c>
      <c r="G9" s="13">
        <v>70</v>
      </c>
      <c r="H9" s="8"/>
      <c r="I9" s="8"/>
      <c r="J9" s="8">
        <f>J8+Table23453[[#This Row],[AMOUNT]]-Table23453[[#This Row],[AMOUNT2]]-Table23453[[#This Row],[AMOUNT3]]</f>
        <v>1281</v>
      </c>
    </row>
    <row r="10" spans="1:10" ht="15.5" x14ac:dyDescent="0.35">
      <c r="A10" s="29">
        <v>46116</v>
      </c>
      <c r="B10" s="9"/>
      <c r="C10" s="8"/>
      <c r="D10" s="8" t="s">
        <v>33</v>
      </c>
      <c r="E10" s="8" t="s">
        <v>0</v>
      </c>
      <c r="F10" s="9" t="s">
        <v>119</v>
      </c>
      <c r="G10" s="13">
        <v>80</v>
      </c>
      <c r="H10" s="8"/>
      <c r="I10" s="8"/>
      <c r="J10" s="8">
        <f>J9+Table23453[[#This Row],[AMOUNT]]-Table23453[[#This Row],[AMOUNT2]]-Table23453[[#This Row],[AMOUNT3]]</f>
        <v>1201</v>
      </c>
    </row>
    <row r="11" spans="1:10" ht="15.5" x14ac:dyDescent="0.35">
      <c r="A11" s="29">
        <v>46117</v>
      </c>
      <c r="B11" s="9"/>
      <c r="C11" s="8"/>
      <c r="D11" s="8" t="s">
        <v>33</v>
      </c>
      <c r="E11" s="8" t="s">
        <v>0</v>
      </c>
      <c r="F11" s="9" t="s">
        <v>119</v>
      </c>
      <c r="G11" s="13">
        <v>80</v>
      </c>
      <c r="H11" s="8"/>
      <c r="I11" s="8"/>
      <c r="J11" s="8">
        <f>J10+Table23453[[#This Row],[AMOUNT]]-Table23453[[#This Row],[AMOUNT2]]-Table23453[[#This Row],[AMOUNT3]]</f>
        <v>1121</v>
      </c>
    </row>
    <row r="12" spans="1:10" ht="15.5" x14ac:dyDescent="0.35">
      <c r="A12" s="29">
        <v>46118</v>
      </c>
      <c r="B12" s="9"/>
      <c r="C12" s="8"/>
      <c r="D12" s="8" t="s">
        <v>95</v>
      </c>
      <c r="E12" s="8" t="s">
        <v>0</v>
      </c>
      <c r="F12" s="9" t="s">
        <v>120</v>
      </c>
      <c r="G12" s="13">
        <v>220</v>
      </c>
      <c r="H12" s="8"/>
      <c r="I12" s="8"/>
      <c r="J12" s="8">
        <f>J11+Table23453[[#This Row],[AMOUNT]]-Table23453[[#This Row],[AMOUNT2]]-Table23453[[#This Row],[AMOUNT3]]</f>
        <v>901</v>
      </c>
    </row>
    <row r="13" spans="1:10" ht="15.5" x14ac:dyDescent="0.35">
      <c r="A13" s="29">
        <v>46119</v>
      </c>
      <c r="B13" s="9"/>
      <c r="C13" s="8"/>
      <c r="D13" s="8" t="s">
        <v>33</v>
      </c>
      <c r="E13" s="8" t="s">
        <v>0</v>
      </c>
      <c r="F13" s="9" t="s">
        <v>119</v>
      </c>
      <c r="G13" s="13">
        <v>80</v>
      </c>
      <c r="H13" s="8"/>
      <c r="I13" s="8"/>
      <c r="J13" s="8">
        <f>J12+Table23453[[#This Row],[AMOUNT]]-Table23453[[#This Row],[AMOUNT2]]-Table23453[[#This Row],[AMOUNT3]]</f>
        <v>821</v>
      </c>
    </row>
    <row r="14" spans="1:10" ht="15.5" x14ac:dyDescent="0.35">
      <c r="A14" s="29">
        <v>46119</v>
      </c>
      <c r="B14" s="9"/>
      <c r="C14" s="8"/>
      <c r="D14" s="8" t="s">
        <v>33</v>
      </c>
      <c r="E14" s="8" t="s">
        <v>43</v>
      </c>
      <c r="F14" s="9" t="s">
        <v>42</v>
      </c>
      <c r="G14" s="13">
        <v>35</v>
      </c>
      <c r="H14" s="8"/>
      <c r="I14" s="8"/>
      <c r="J14" s="8">
        <f>J13+Table23453[[#This Row],[AMOUNT]]-Table23453[[#This Row],[AMOUNT2]]-Table23453[[#This Row],[AMOUNT3]]</f>
        <v>786</v>
      </c>
    </row>
    <row r="15" spans="1:10" ht="15.5" x14ac:dyDescent="0.35">
      <c r="A15" s="29">
        <v>46120</v>
      </c>
      <c r="B15" s="9"/>
      <c r="C15" s="8"/>
      <c r="D15" s="8" t="s">
        <v>33</v>
      </c>
      <c r="E15" s="8" t="s">
        <v>0</v>
      </c>
      <c r="F15" s="9" t="s">
        <v>119</v>
      </c>
      <c r="G15" s="13">
        <v>80</v>
      </c>
      <c r="H15" s="8"/>
      <c r="I15" s="8"/>
      <c r="J15" s="8">
        <f>J14+Table23453[[#This Row],[AMOUNT]]-Table23453[[#This Row],[AMOUNT2]]-Table23453[[#This Row],[AMOUNT3]]</f>
        <v>706</v>
      </c>
    </row>
    <row r="16" spans="1:10" ht="15.5" x14ac:dyDescent="0.35">
      <c r="A16" s="29">
        <v>46121</v>
      </c>
      <c r="B16" s="9"/>
      <c r="C16" s="8"/>
      <c r="D16" s="8" t="s">
        <v>102</v>
      </c>
      <c r="E16" s="8" t="s">
        <v>0</v>
      </c>
      <c r="F16" s="9" t="s">
        <v>103</v>
      </c>
      <c r="G16" s="13">
        <v>100</v>
      </c>
      <c r="H16" s="8"/>
      <c r="I16" s="8"/>
      <c r="J16" s="8">
        <f>J15+Table23453[[#This Row],[AMOUNT]]-Table23453[[#This Row],[AMOUNT2]]-Table23453[[#This Row],[AMOUNT3]]</f>
        <v>606</v>
      </c>
    </row>
    <row r="17" spans="1:10" ht="15.5" x14ac:dyDescent="0.35">
      <c r="A17" s="29">
        <v>46121</v>
      </c>
      <c r="B17" s="9"/>
      <c r="C17" s="8"/>
      <c r="D17" s="8" t="s">
        <v>102</v>
      </c>
      <c r="E17" s="8" t="s">
        <v>17</v>
      </c>
      <c r="F17" s="9" t="s">
        <v>151</v>
      </c>
      <c r="G17" s="13">
        <v>295</v>
      </c>
      <c r="H17" s="8"/>
      <c r="I17" s="8"/>
      <c r="J17" s="8">
        <f>J16+Table23453[[#This Row],[AMOUNT]]-Table23453[[#This Row],[AMOUNT2]]-Table23453[[#This Row],[AMOUNT3]]</f>
        <v>311</v>
      </c>
    </row>
    <row r="18" spans="1:10" ht="15.5" x14ac:dyDescent="0.35">
      <c r="A18" s="29">
        <v>46122</v>
      </c>
      <c r="B18" s="9"/>
      <c r="C18" s="8"/>
      <c r="D18" s="8" t="s">
        <v>102</v>
      </c>
      <c r="E18" s="8" t="s">
        <v>0</v>
      </c>
      <c r="F18" s="9" t="s">
        <v>103</v>
      </c>
      <c r="G18" s="13">
        <v>100</v>
      </c>
      <c r="H18" s="8"/>
      <c r="I18" s="8"/>
      <c r="J18" s="8">
        <f>J17+Table23453[[#This Row],[AMOUNT]]-Table23453[[#This Row],[AMOUNT2]]-Table23453[[#This Row],[AMOUNT3]]</f>
        <v>211</v>
      </c>
    </row>
    <row r="19" spans="1:10" ht="15.5" x14ac:dyDescent="0.35">
      <c r="A19" s="29">
        <v>46122</v>
      </c>
      <c r="B19" s="9"/>
      <c r="C19" s="8"/>
      <c r="D19" s="8" t="s">
        <v>102</v>
      </c>
      <c r="E19" s="8" t="s">
        <v>17</v>
      </c>
      <c r="F19" s="9" t="s">
        <v>110</v>
      </c>
      <c r="G19" s="13">
        <v>100</v>
      </c>
      <c r="H19" s="8"/>
      <c r="I19" s="8"/>
      <c r="J19" s="8">
        <f>J18+Table23453[[#This Row],[AMOUNT]]-Table23453[[#This Row],[AMOUNT2]]-Table23453[[#This Row],[AMOUNT3]]</f>
        <v>111</v>
      </c>
    </row>
    <row r="20" spans="1:10" ht="15.5" x14ac:dyDescent="0.35">
      <c r="A20" s="29">
        <v>46123</v>
      </c>
      <c r="B20" s="9"/>
      <c r="C20" s="8"/>
      <c r="D20" s="8" t="s">
        <v>102</v>
      </c>
      <c r="E20" s="8" t="s">
        <v>0</v>
      </c>
      <c r="F20" s="9" t="s">
        <v>103</v>
      </c>
      <c r="G20" s="13">
        <v>100</v>
      </c>
      <c r="H20" s="8"/>
      <c r="I20" s="8"/>
      <c r="J20" s="8">
        <f>J19+Table23453[[#This Row],[AMOUNT]]-Table23453[[#This Row],[AMOUNT2]]-Table23453[[#This Row],[AMOUNT3]]</f>
        <v>11</v>
      </c>
    </row>
    <row r="21" spans="1:10" ht="15.5" x14ac:dyDescent="0.35">
      <c r="A21" s="29">
        <v>46123</v>
      </c>
      <c r="B21" s="9"/>
      <c r="C21" s="8"/>
      <c r="D21" s="8" t="s">
        <v>102</v>
      </c>
      <c r="E21" s="8" t="s">
        <v>26</v>
      </c>
      <c r="F21" s="9" t="s">
        <v>152</v>
      </c>
      <c r="G21" s="13">
        <v>300</v>
      </c>
      <c r="H21" s="8"/>
      <c r="I21" s="8"/>
      <c r="J21" s="8">
        <f>J20+Table23453[[#This Row],[AMOUNT]]-Table23453[[#This Row],[AMOUNT2]]-Table23453[[#This Row],[AMOUNT3]]</f>
        <v>-289</v>
      </c>
    </row>
    <row r="22" spans="1:10" ht="15.5" x14ac:dyDescent="0.35">
      <c r="A22" s="29">
        <v>46124</v>
      </c>
      <c r="B22" s="9"/>
      <c r="C22" s="8"/>
      <c r="D22" s="8" t="s">
        <v>95</v>
      </c>
      <c r="E22" s="8" t="s">
        <v>0</v>
      </c>
      <c r="F22" s="9" t="s">
        <v>120</v>
      </c>
      <c r="G22" s="13">
        <v>220</v>
      </c>
      <c r="H22" s="8"/>
      <c r="I22" s="8"/>
      <c r="J22" s="8">
        <f>J21+Table23453[[#This Row],[AMOUNT]]-Table23453[[#This Row],[AMOUNT2]]-Table23453[[#This Row],[AMOUNT3]]</f>
        <v>-509</v>
      </c>
    </row>
    <row r="23" spans="1:10" ht="15.5" x14ac:dyDescent="0.35">
      <c r="A23" s="29">
        <v>46132</v>
      </c>
      <c r="B23" s="9"/>
      <c r="C23" s="8"/>
      <c r="D23" s="8" t="s">
        <v>153</v>
      </c>
      <c r="E23" s="8" t="s">
        <v>0</v>
      </c>
      <c r="F23" s="9" t="s">
        <v>154</v>
      </c>
      <c r="G23" s="13">
        <v>230</v>
      </c>
      <c r="H23" s="8"/>
      <c r="I23" s="8"/>
      <c r="J23" s="8">
        <f>J22+Table23453[[#This Row],[AMOUNT]]-Table23453[[#This Row],[AMOUNT2]]-Table23453[[#This Row],[AMOUNT3]]</f>
        <v>-739</v>
      </c>
    </row>
    <row r="24" spans="1:10" ht="15.5" x14ac:dyDescent="0.35">
      <c r="A24" s="29">
        <v>46133</v>
      </c>
      <c r="B24" s="9" t="s">
        <v>18</v>
      </c>
      <c r="C24" s="23">
        <v>5000</v>
      </c>
      <c r="D24" s="8" t="s">
        <v>102</v>
      </c>
      <c r="E24" s="8" t="s">
        <v>0</v>
      </c>
      <c r="F24" s="9" t="s">
        <v>103</v>
      </c>
      <c r="G24" s="13">
        <v>100</v>
      </c>
      <c r="H24" s="8"/>
      <c r="I24" s="8"/>
      <c r="J24" s="8">
        <f>J23+Table23453[[#This Row],[AMOUNT]]-Table23453[[#This Row],[AMOUNT2]]-Table23453[[#This Row],[AMOUNT3]]</f>
        <v>4161</v>
      </c>
    </row>
    <row r="25" spans="1:10" ht="15.5" x14ac:dyDescent="0.35">
      <c r="A25" s="29">
        <v>46134</v>
      </c>
      <c r="B25" s="9"/>
      <c r="C25" s="8"/>
      <c r="D25" s="8" t="s">
        <v>102</v>
      </c>
      <c r="E25" s="8" t="s">
        <v>0</v>
      </c>
      <c r="F25" s="9" t="s">
        <v>103</v>
      </c>
      <c r="G25" s="13">
        <v>100</v>
      </c>
      <c r="H25" s="8"/>
      <c r="I25" s="8"/>
      <c r="J25" s="8">
        <f>J24+Table23453[[#This Row],[AMOUNT]]-Table23453[[#This Row],[AMOUNT2]]-Table23453[[#This Row],[AMOUNT3]]</f>
        <v>4061</v>
      </c>
    </row>
    <row r="26" spans="1:10" ht="15.5" x14ac:dyDescent="0.35">
      <c r="A26" s="29">
        <v>46134</v>
      </c>
      <c r="B26" s="9"/>
      <c r="C26" s="8"/>
      <c r="D26" s="8" t="s">
        <v>102</v>
      </c>
      <c r="E26" s="8" t="s">
        <v>17</v>
      </c>
      <c r="F26" s="9" t="s">
        <v>296</v>
      </c>
      <c r="G26" s="13">
        <v>20</v>
      </c>
      <c r="H26" s="8"/>
      <c r="I26" s="8"/>
      <c r="J26" s="8">
        <f>J25+Table23453[[#This Row],[AMOUNT]]-Table23453[[#This Row],[AMOUNT2]]-Table23453[[#This Row],[AMOUNT3]]</f>
        <v>4041</v>
      </c>
    </row>
    <row r="27" spans="1:10" ht="15.5" x14ac:dyDescent="0.35">
      <c r="A27" s="29">
        <v>46135</v>
      </c>
      <c r="B27" s="9"/>
      <c r="C27" s="8"/>
      <c r="D27" s="8" t="s">
        <v>102</v>
      </c>
      <c r="E27" s="8" t="s">
        <v>0</v>
      </c>
      <c r="F27" s="9" t="s">
        <v>103</v>
      </c>
      <c r="G27" s="13">
        <v>100</v>
      </c>
      <c r="H27" s="8"/>
      <c r="I27" s="8"/>
      <c r="J27" s="8">
        <f>J26+Table23453[[#This Row],[AMOUNT]]-Table23453[[#This Row],[AMOUNT2]]-Table23453[[#This Row],[AMOUNT3]]</f>
        <v>3941</v>
      </c>
    </row>
    <row r="28" spans="1:10" ht="15.5" x14ac:dyDescent="0.35">
      <c r="A28" s="29">
        <v>46135</v>
      </c>
      <c r="B28" s="9"/>
      <c r="C28" s="8"/>
      <c r="D28" s="8" t="s">
        <v>102</v>
      </c>
      <c r="E28" s="8" t="s">
        <v>17</v>
      </c>
      <c r="F28" s="9" t="s">
        <v>297</v>
      </c>
      <c r="G28" s="13">
        <v>80</v>
      </c>
      <c r="H28" s="8"/>
      <c r="I28" s="8"/>
      <c r="J28" s="8">
        <f>J27+Table23453[[#This Row],[AMOUNT]]-Table23453[[#This Row],[AMOUNT2]]-Table23453[[#This Row],[AMOUNT3]]</f>
        <v>3861</v>
      </c>
    </row>
    <row r="29" spans="1:10" ht="15.5" x14ac:dyDescent="0.35">
      <c r="A29" s="29">
        <v>46136</v>
      </c>
      <c r="B29" s="9"/>
      <c r="C29" s="8"/>
      <c r="D29" s="8" t="s">
        <v>102</v>
      </c>
      <c r="E29" s="8" t="s">
        <v>0</v>
      </c>
      <c r="F29" s="9" t="s">
        <v>103</v>
      </c>
      <c r="G29" s="13">
        <v>100</v>
      </c>
      <c r="H29" s="8"/>
      <c r="I29" s="8"/>
      <c r="J29" s="8">
        <f>J28+Table23453[[#This Row],[AMOUNT]]-Table23453[[#This Row],[AMOUNT2]]-Table23453[[#This Row],[AMOUNT3]]</f>
        <v>3761</v>
      </c>
    </row>
    <row r="30" spans="1:10" ht="15.5" x14ac:dyDescent="0.35">
      <c r="A30" s="29">
        <v>46137</v>
      </c>
      <c r="B30" s="9"/>
      <c r="C30" s="8"/>
      <c r="D30" s="8" t="s">
        <v>33</v>
      </c>
      <c r="E30" s="8" t="s">
        <v>0</v>
      </c>
      <c r="F30" s="9" t="s">
        <v>119</v>
      </c>
      <c r="G30" s="13">
        <v>80</v>
      </c>
      <c r="H30" s="8"/>
      <c r="I30" s="8"/>
      <c r="J30" s="8">
        <f>J29+Table23453[[#This Row],[AMOUNT]]-Table23453[[#This Row],[AMOUNT2]]-Table23453[[#This Row],[AMOUNT3]]</f>
        <v>3681</v>
      </c>
    </row>
    <row r="31" spans="1:10" ht="15.5" x14ac:dyDescent="0.35">
      <c r="A31" s="29">
        <v>46139</v>
      </c>
      <c r="B31" s="9"/>
      <c r="C31" s="8"/>
      <c r="D31" s="8" t="s">
        <v>39</v>
      </c>
      <c r="E31" s="8" t="s">
        <v>0</v>
      </c>
      <c r="F31" s="9" t="s">
        <v>298</v>
      </c>
      <c r="G31" s="68">
        <v>180</v>
      </c>
      <c r="H31" s="8"/>
      <c r="I31" s="8"/>
      <c r="J31" s="8">
        <f>J30+Table23453[[#This Row],[AMOUNT]]-Table23453[[#This Row],[AMOUNT2]]-Table23453[[#This Row],[AMOUNT3]]</f>
        <v>3501</v>
      </c>
    </row>
    <row r="32" spans="1:10" ht="15.5" x14ac:dyDescent="0.35">
      <c r="A32" s="29">
        <v>46140</v>
      </c>
      <c r="B32" s="9"/>
      <c r="C32" s="8"/>
      <c r="D32" s="8" t="s">
        <v>39</v>
      </c>
      <c r="E32" s="8" t="s">
        <v>0</v>
      </c>
      <c r="F32" s="9" t="s">
        <v>298</v>
      </c>
      <c r="G32" s="68">
        <v>120</v>
      </c>
      <c r="H32" s="8"/>
      <c r="I32" s="8"/>
      <c r="J32" s="8">
        <f>J31+Table23453[[#This Row],[AMOUNT]]-Table23453[[#This Row],[AMOUNT2]]-Table23453[[#This Row],[AMOUNT3]]</f>
        <v>3381</v>
      </c>
    </row>
    <row r="33" spans="1:10" ht="15.5" x14ac:dyDescent="0.35">
      <c r="A33" s="29">
        <v>46141</v>
      </c>
      <c r="B33" s="9"/>
      <c r="C33" s="8"/>
      <c r="D33" s="8" t="s">
        <v>33</v>
      </c>
      <c r="E33" s="8" t="s">
        <v>0</v>
      </c>
      <c r="F33" s="9" t="s">
        <v>119</v>
      </c>
      <c r="G33" s="13">
        <v>80</v>
      </c>
      <c r="H33" s="8"/>
      <c r="I33" s="8"/>
      <c r="J33" s="8">
        <f>J32+Table23453[[#This Row],[AMOUNT]]-Table23453[[#This Row],[AMOUNT2]]-Table23453[[#This Row],[AMOUNT3]]</f>
        <v>3301</v>
      </c>
    </row>
    <row r="34" spans="1:10" ht="15.5" x14ac:dyDescent="0.35">
      <c r="A34" s="29">
        <v>46142</v>
      </c>
      <c r="B34" s="9"/>
      <c r="C34" s="8"/>
      <c r="D34" s="8" t="s">
        <v>39</v>
      </c>
      <c r="E34" s="8" t="s">
        <v>0</v>
      </c>
      <c r="F34" s="9" t="s">
        <v>299</v>
      </c>
      <c r="G34" s="68">
        <v>60</v>
      </c>
      <c r="H34" s="8"/>
      <c r="I34" s="8"/>
      <c r="J34" s="8">
        <f>J33+Table23453[[#This Row],[AMOUNT]]-Table23453[[#This Row],[AMOUNT2]]-Table23453[[#This Row],[AMOUNT3]]</f>
        <v>3241</v>
      </c>
    </row>
    <row r="35" spans="1:10" ht="15.5" x14ac:dyDescent="0.35">
      <c r="A35" s="29">
        <v>46143</v>
      </c>
      <c r="B35" s="9"/>
      <c r="C35" s="8"/>
      <c r="D35" s="8" t="s">
        <v>39</v>
      </c>
      <c r="E35" s="8" t="s">
        <v>0</v>
      </c>
      <c r="F35" s="9" t="s">
        <v>298</v>
      </c>
      <c r="G35" s="68">
        <v>120</v>
      </c>
      <c r="H35" s="8"/>
      <c r="I35" s="8"/>
      <c r="J35" s="8">
        <f>J34+Table23453[[#This Row],[AMOUNT]]-Table23453[[#This Row],[AMOUNT2]]-Table23453[[#This Row],[AMOUNT3]]</f>
        <v>3121</v>
      </c>
    </row>
    <row r="36" spans="1:10" ht="15.5" x14ac:dyDescent="0.35">
      <c r="A36" s="29">
        <v>46144</v>
      </c>
      <c r="B36" s="9"/>
      <c r="C36" s="8"/>
      <c r="D36" s="8" t="s">
        <v>39</v>
      </c>
      <c r="E36" s="8" t="s">
        <v>0</v>
      </c>
      <c r="F36" s="9" t="s">
        <v>299</v>
      </c>
      <c r="G36" s="68">
        <v>60</v>
      </c>
      <c r="H36" s="8"/>
      <c r="I36" s="8"/>
      <c r="J36" s="8">
        <f>J35+Table23453[[#This Row],[AMOUNT]]-Table23453[[#This Row],[AMOUNT2]]-Table23453[[#This Row],[AMOUNT3]]</f>
        <v>3061</v>
      </c>
    </row>
    <row r="37" spans="1:10" ht="15.5" x14ac:dyDescent="0.35">
      <c r="A37" s="29">
        <v>46145</v>
      </c>
      <c r="B37" s="9"/>
      <c r="C37" s="8"/>
      <c r="D37" s="8" t="s">
        <v>39</v>
      </c>
      <c r="E37" s="8" t="s">
        <v>0</v>
      </c>
      <c r="F37" s="9" t="s">
        <v>298</v>
      </c>
      <c r="G37" s="68">
        <v>120</v>
      </c>
      <c r="H37" s="8"/>
      <c r="I37" s="8"/>
      <c r="J37" s="8">
        <f>J36+Table23453[[#This Row],[AMOUNT]]-Table23453[[#This Row],[AMOUNT2]]-Table23453[[#This Row],[AMOUNT3]]</f>
        <v>2941</v>
      </c>
    </row>
    <row r="38" spans="1:10" ht="15.5" x14ac:dyDescent="0.35">
      <c r="A38" s="29">
        <v>46146</v>
      </c>
      <c r="B38" s="9"/>
      <c r="C38" s="8"/>
      <c r="D38" s="8" t="s">
        <v>39</v>
      </c>
      <c r="E38" s="8" t="s">
        <v>0</v>
      </c>
      <c r="F38" s="9" t="s">
        <v>298</v>
      </c>
      <c r="G38" s="68">
        <v>120</v>
      </c>
      <c r="H38" s="8"/>
      <c r="I38" s="8"/>
      <c r="J38" s="8">
        <f>J37+Table23453[[#This Row],[AMOUNT]]-Table23453[[#This Row],[AMOUNT2]]-Table23453[[#This Row],[AMOUNT3]]</f>
        <v>2821</v>
      </c>
    </row>
    <row r="39" spans="1:10" ht="15.5" x14ac:dyDescent="0.35">
      <c r="A39" s="29">
        <v>46147</v>
      </c>
      <c r="B39" s="9"/>
      <c r="C39" s="8"/>
      <c r="D39" s="8" t="s">
        <v>39</v>
      </c>
      <c r="E39" s="8" t="s">
        <v>0</v>
      </c>
      <c r="F39" s="9" t="s">
        <v>298</v>
      </c>
      <c r="G39" s="68">
        <v>120</v>
      </c>
      <c r="H39" s="8"/>
      <c r="I39" s="8"/>
      <c r="J39" s="8">
        <f>J38+Table23453[[#This Row],[AMOUNT]]-Table23453[[#This Row],[AMOUNT2]]-Table23453[[#This Row],[AMOUNT3]]</f>
        <v>2701</v>
      </c>
    </row>
    <row r="40" spans="1:10" ht="15.5" x14ac:dyDescent="0.35">
      <c r="A40" s="29">
        <v>46148</v>
      </c>
      <c r="B40" s="9"/>
      <c r="C40" s="8"/>
      <c r="D40" s="8" t="s">
        <v>39</v>
      </c>
      <c r="E40" s="8" t="s">
        <v>0</v>
      </c>
      <c r="F40" s="9" t="s">
        <v>298</v>
      </c>
      <c r="G40" s="68">
        <v>120</v>
      </c>
      <c r="H40" s="8"/>
      <c r="I40" s="8"/>
      <c r="J40" s="8">
        <f>J39+Table23453[[#This Row],[AMOUNT]]-Table23453[[#This Row],[AMOUNT2]]-Table23453[[#This Row],[AMOUNT3]]</f>
        <v>2581</v>
      </c>
    </row>
    <row r="41" spans="1:10" ht="15.5" x14ac:dyDescent="0.35">
      <c r="A41" s="29">
        <v>46149</v>
      </c>
      <c r="B41" s="9"/>
      <c r="C41" s="8"/>
      <c r="D41" s="8" t="s">
        <v>39</v>
      </c>
      <c r="E41" s="8" t="s">
        <v>0</v>
      </c>
      <c r="F41" s="9" t="s">
        <v>298</v>
      </c>
      <c r="G41" s="68">
        <v>120</v>
      </c>
      <c r="H41" s="8"/>
      <c r="I41" s="8"/>
      <c r="J41" s="8">
        <f>J40+Table23453[[#This Row],[AMOUNT]]-Table23453[[#This Row],[AMOUNT2]]-Table23453[[#This Row],[AMOUNT3]]</f>
        <v>2461</v>
      </c>
    </row>
    <row r="42" spans="1:10" ht="15.5" x14ac:dyDescent="0.35">
      <c r="A42" s="29">
        <v>46150</v>
      </c>
      <c r="B42" s="9"/>
      <c r="C42" s="8"/>
      <c r="D42" s="8" t="s">
        <v>39</v>
      </c>
      <c r="E42" s="8" t="s">
        <v>0</v>
      </c>
      <c r="F42" s="9" t="s">
        <v>298</v>
      </c>
      <c r="G42" s="68">
        <v>120</v>
      </c>
      <c r="H42" s="8"/>
      <c r="I42" s="8"/>
      <c r="J42" s="8">
        <f>J41+Table23453[[#This Row],[AMOUNT]]-Table23453[[#This Row],[AMOUNT2]]-Table23453[[#This Row],[AMOUNT3]]</f>
        <v>2341</v>
      </c>
    </row>
    <row r="43" spans="1:10" ht="15.5" x14ac:dyDescent="0.35">
      <c r="A43" s="29">
        <v>46150</v>
      </c>
      <c r="B43" s="9"/>
      <c r="C43" s="8"/>
      <c r="D43" s="8" t="s">
        <v>39</v>
      </c>
      <c r="E43" s="8" t="s">
        <v>17</v>
      </c>
      <c r="F43" s="9" t="s">
        <v>390</v>
      </c>
      <c r="G43" s="68">
        <v>30</v>
      </c>
      <c r="H43" s="8"/>
      <c r="I43" s="8"/>
      <c r="J43" s="8">
        <f>J42+Table23453[[#This Row],[AMOUNT]]-Table23453[[#This Row],[AMOUNT2]]-Table23453[[#This Row],[AMOUNT3]]</f>
        <v>2311</v>
      </c>
    </row>
    <row r="44" spans="1:10" ht="15.5" x14ac:dyDescent="0.35">
      <c r="A44" s="29">
        <v>46150</v>
      </c>
      <c r="B44" s="9"/>
      <c r="C44" s="8"/>
      <c r="D44" s="8" t="s">
        <v>39</v>
      </c>
      <c r="E44" s="8" t="s">
        <v>40</v>
      </c>
      <c r="F44" s="9" t="s">
        <v>391</v>
      </c>
      <c r="G44" s="68">
        <v>33</v>
      </c>
      <c r="H44" s="8"/>
      <c r="I44" s="8"/>
      <c r="J44" s="8">
        <f>J43+Table23453[[#This Row],[AMOUNT]]-Table23453[[#This Row],[AMOUNT2]]-Table23453[[#This Row],[AMOUNT3]]</f>
        <v>2278</v>
      </c>
    </row>
    <row r="45" spans="1:10" ht="15.5" x14ac:dyDescent="0.35">
      <c r="A45" s="29">
        <v>46151</v>
      </c>
      <c r="B45" s="9"/>
      <c r="C45" s="8"/>
      <c r="D45" s="8" t="s">
        <v>39</v>
      </c>
      <c r="E45" s="8" t="s">
        <v>0</v>
      </c>
      <c r="F45" s="9" t="s">
        <v>299</v>
      </c>
      <c r="G45" s="68">
        <v>60</v>
      </c>
      <c r="H45" s="8"/>
      <c r="I45" s="8"/>
      <c r="J45" s="8">
        <f>J44+Table23453[[#This Row],[AMOUNT]]-Table23453[[#This Row],[AMOUNT2]]-Table23453[[#This Row],[AMOUNT3]]</f>
        <v>2218</v>
      </c>
    </row>
    <row r="46" spans="1:10" ht="15.5" x14ac:dyDescent="0.35">
      <c r="A46" s="29">
        <v>46151</v>
      </c>
      <c r="B46" s="9"/>
      <c r="C46" s="8"/>
      <c r="D46" s="8" t="s">
        <v>39</v>
      </c>
      <c r="E46" s="8" t="s">
        <v>40</v>
      </c>
      <c r="F46" s="9" t="s">
        <v>391</v>
      </c>
      <c r="G46" s="68">
        <v>33</v>
      </c>
      <c r="H46" s="8"/>
      <c r="I46" s="8"/>
      <c r="J46" s="8">
        <f>J45+Table23453[[#This Row],[AMOUNT]]-Table23453[[#This Row],[AMOUNT2]]-Table23453[[#This Row],[AMOUNT3]]</f>
        <v>2185</v>
      </c>
    </row>
    <row r="47" spans="1:10" ht="15.5" x14ac:dyDescent="0.35">
      <c r="A47" s="29">
        <v>46152</v>
      </c>
      <c r="B47" s="9"/>
      <c r="C47" s="8"/>
      <c r="D47" s="8" t="s">
        <v>39</v>
      </c>
      <c r="E47" s="8" t="s">
        <v>0</v>
      </c>
      <c r="F47" s="9" t="s">
        <v>298</v>
      </c>
      <c r="G47" s="68">
        <v>120</v>
      </c>
      <c r="H47" s="8"/>
      <c r="I47" s="8"/>
      <c r="J47" s="8">
        <f>J46+Table23453[[#This Row],[AMOUNT]]-Table23453[[#This Row],[AMOUNT2]]-Table23453[[#This Row],[AMOUNT3]]</f>
        <v>2065</v>
      </c>
    </row>
    <row r="48" spans="1:10" ht="15.5" x14ac:dyDescent="0.35">
      <c r="A48" s="29">
        <v>46152</v>
      </c>
      <c r="B48" s="9"/>
      <c r="C48" s="8"/>
      <c r="D48" s="8" t="s">
        <v>39</v>
      </c>
      <c r="E48" s="8" t="s">
        <v>40</v>
      </c>
      <c r="F48" s="9" t="s">
        <v>391</v>
      </c>
      <c r="G48" s="68">
        <v>33</v>
      </c>
      <c r="H48" s="8"/>
      <c r="I48" s="8"/>
      <c r="J48" s="8">
        <f>J47+Table23453[[#This Row],[AMOUNT]]-Table23453[[#This Row],[AMOUNT2]]-Table23453[[#This Row],[AMOUNT3]]</f>
        <v>2032</v>
      </c>
    </row>
    <row r="49" spans="1:10" ht="15.5" x14ac:dyDescent="0.35">
      <c r="A49" s="29">
        <v>46153</v>
      </c>
      <c r="B49" s="9"/>
      <c r="C49" s="8"/>
      <c r="D49" s="8" t="s">
        <v>39</v>
      </c>
      <c r="E49" s="8" t="s">
        <v>0</v>
      </c>
      <c r="F49" s="9" t="s">
        <v>299</v>
      </c>
      <c r="G49" s="68">
        <v>60</v>
      </c>
      <c r="H49" s="8"/>
      <c r="I49" s="8"/>
      <c r="J49" s="8">
        <f>J48+Table23453[[#This Row],[AMOUNT]]-Table23453[[#This Row],[AMOUNT2]]-Table23453[[#This Row],[AMOUNT3]]</f>
        <v>1972</v>
      </c>
    </row>
    <row r="50" spans="1:10" ht="15.5" x14ac:dyDescent="0.35">
      <c r="A50" s="29">
        <v>46153</v>
      </c>
      <c r="B50" s="9"/>
      <c r="C50" s="8"/>
      <c r="D50" s="8" t="s">
        <v>39</v>
      </c>
      <c r="E50" s="8" t="s">
        <v>40</v>
      </c>
      <c r="F50" s="9" t="s">
        <v>391</v>
      </c>
      <c r="G50" s="68">
        <v>33</v>
      </c>
      <c r="H50" s="8"/>
      <c r="I50" s="8"/>
      <c r="J50" s="8">
        <f>J49+Table23453[[#This Row],[AMOUNT]]-Table23453[[#This Row],[AMOUNT2]]-Table23453[[#This Row],[AMOUNT3]]</f>
        <v>1939</v>
      </c>
    </row>
    <row r="51" spans="1:10" ht="15.5" x14ac:dyDescent="0.35">
      <c r="A51" s="29">
        <v>46154</v>
      </c>
      <c r="B51" s="9"/>
      <c r="C51" s="8"/>
      <c r="D51" s="8" t="s">
        <v>39</v>
      </c>
      <c r="E51" s="8" t="s">
        <v>0</v>
      </c>
      <c r="F51" s="9" t="s">
        <v>298</v>
      </c>
      <c r="G51" s="68">
        <v>120</v>
      </c>
      <c r="H51" s="8"/>
      <c r="I51" s="8"/>
      <c r="J51" s="8">
        <f>J50+Table23453[[#This Row],[AMOUNT]]-Table23453[[#This Row],[AMOUNT2]]-Table23453[[#This Row],[AMOUNT3]]</f>
        <v>1819</v>
      </c>
    </row>
    <row r="52" spans="1:10" ht="15.5" x14ac:dyDescent="0.35">
      <c r="A52" s="29">
        <v>46155</v>
      </c>
      <c r="B52" s="9"/>
      <c r="C52" s="8"/>
      <c r="D52" s="8" t="s">
        <v>39</v>
      </c>
      <c r="E52" s="8" t="s">
        <v>0</v>
      </c>
      <c r="F52" s="9" t="s">
        <v>298</v>
      </c>
      <c r="G52" s="68">
        <v>120</v>
      </c>
      <c r="H52" s="8"/>
      <c r="I52" s="8"/>
      <c r="J52" s="8">
        <f>J51+Table23453[[#This Row],[AMOUNT]]-Table23453[[#This Row],[AMOUNT2]]-Table23453[[#This Row],[AMOUNT3]]</f>
        <v>1699</v>
      </c>
    </row>
    <row r="53" spans="1:10" ht="15.5" x14ac:dyDescent="0.35">
      <c r="A53" s="29">
        <v>46155</v>
      </c>
      <c r="B53" s="9"/>
      <c r="C53" s="8"/>
      <c r="D53" s="8" t="s">
        <v>39</v>
      </c>
      <c r="E53" s="8" t="s">
        <v>17</v>
      </c>
      <c r="F53" s="9" t="s">
        <v>426</v>
      </c>
      <c r="G53" s="68">
        <v>400</v>
      </c>
      <c r="H53" s="8"/>
      <c r="I53" s="8"/>
      <c r="J53" s="8">
        <f>J52+Table23453[[#This Row],[AMOUNT]]-Table23453[[#This Row],[AMOUNT2]]-Table23453[[#This Row],[AMOUNT3]]</f>
        <v>1299</v>
      </c>
    </row>
    <row r="54" spans="1:10" ht="15.5" x14ac:dyDescent="0.35">
      <c r="A54" s="29">
        <v>46156</v>
      </c>
      <c r="B54" s="9"/>
      <c r="C54" s="8"/>
      <c r="D54" s="8" t="s">
        <v>39</v>
      </c>
      <c r="E54" s="8" t="s">
        <v>0</v>
      </c>
      <c r="F54" s="9" t="s">
        <v>298</v>
      </c>
      <c r="G54" s="68">
        <v>120</v>
      </c>
      <c r="H54" s="8"/>
      <c r="I54" s="8"/>
      <c r="J54" s="8">
        <f>J53+Table23453[[#This Row],[AMOUNT]]-Table23453[[#This Row],[AMOUNT2]]-Table23453[[#This Row],[AMOUNT3]]</f>
        <v>1179</v>
      </c>
    </row>
    <row r="55" spans="1:10" ht="15.5" x14ac:dyDescent="0.35">
      <c r="A55" s="29">
        <v>46157</v>
      </c>
      <c r="B55" s="9"/>
      <c r="C55" s="8"/>
      <c r="D55" s="8" t="s">
        <v>39</v>
      </c>
      <c r="E55" s="8" t="s">
        <v>0</v>
      </c>
      <c r="F55" s="9" t="s">
        <v>298</v>
      </c>
      <c r="G55" s="68">
        <v>120</v>
      </c>
      <c r="H55" s="8"/>
      <c r="I55" s="8"/>
      <c r="J55" s="8">
        <f>J54+Table23453[[#This Row],[AMOUNT]]-Table23453[[#This Row],[AMOUNT2]]-Table23453[[#This Row],[AMOUNT3]]</f>
        <v>1059</v>
      </c>
    </row>
    <row r="56" spans="1:10" ht="15.5" x14ac:dyDescent="0.35">
      <c r="A56" s="29">
        <v>46158</v>
      </c>
      <c r="B56" s="9"/>
      <c r="C56" s="8"/>
      <c r="D56" s="8" t="s">
        <v>39</v>
      </c>
      <c r="E56" s="8" t="s">
        <v>0</v>
      </c>
      <c r="F56" s="9" t="s">
        <v>298</v>
      </c>
      <c r="G56" s="68">
        <v>120</v>
      </c>
      <c r="H56" s="8"/>
      <c r="I56" s="8"/>
      <c r="J56" s="8">
        <f>J55+Table23453[[#This Row],[AMOUNT]]-Table23453[[#This Row],[AMOUNT2]]-Table23453[[#This Row],[AMOUNT3]]</f>
        <v>939</v>
      </c>
    </row>
    <row r="57" spans="1:10" ht="15.5" x14ac:dyDescent="0.35">
      <c r="A57" s="29">
        <v>46159</v>
      </c>
      <c r="B57" s="9"/>
      <c r="C57" s="8"/>
      <c r="D57" s="8" t="s">
        <v>39</v>
      </c>
      <c r="E57" s="8" t="s">
        <v>0</v>
      </c>
      <c r="F57" s="9" t="s">
        <v>298</v>
      </c>
      <c r="G57" s="68">
        <v>120</v>
      </c>
      <c r="H57" s="8"/>
      <c r="I57" s="8"/>
      <c r="J57" s="8">
        <f>J56+Table23453[[#This Row],[AMOUNT]]-Table23453[[#This Row],[AMOUNT2]]-Table23453[[#This Row],[AMOUNT3]]</f>
        <v>819</v>
      </c>
    </row>
    <row r="58" spans="1:10" ht="15.5" x14ac:dyDescent="0.35">
      <c r="A58" s="29">
        <v>46160</v>
      </c>
      <c r="B58" s="9"/>
      <c r="C58" s="8"/>
      <c r="D58" s="8" t="s">
        <v>102</v>
      </c>
      <c r="E58" s="8" t="s">
        <v>0</v>
      </c>
      <c r="F58" s="9" t="s">
        <v>103</v>
      </c>
      <c r="G58" s="13">
        <v>100</v>
      </c>
      <c r="H58" s="8"/>
      <c r="I58" s="8"/>
      <c r="J58" s="8">
        <f>J57+Table23453[[#This Row],[AMOUNT]]-Table23453[[#This Row],[AMOUNT2]]-Table23453[[#This Row],[AMOUNT3]]</f>
        <v>719</v>
      </c>
    </row>
    <row r="59" spans="1:10" ht="15.5" x14ac:dyDescent="0.35">
      <c r="A59" s="29">
        <v>46161</v>
      </c>
      <c r="B59" s="9"/>
      <c r="C59" s="8"/>
      <c r="D59" s="8" t="s">
        <v>39</v>
      </c>
      <c r="E59" s="8" t="s">
        <v>0</v>
      </c>
      <c r="F59" s="9" t="s">
        <v>298</v>
      </c>
      <c r="G59" s="68">
        <v>120</v>
      </c>
      <c r="H59" s="8"/>
      <c r="I59" s="8"/>
      <c r="J59" s="8">
        <f>J58+Table23453[[#This Row],[AMOUNT]]-Table23453[[#This Row],[AMOUNT2]]-Table23453[[#This Row],[AMOUNT3]]</f>
        <v>599</v>
      </c>
    </row>
    <row r="60" spans="1:10" ht="15.5" x14ac:dyDescent="0.35">
      <c r="A60" s="29">
        <v>46162</v>
      </c>
      <c r="B60" s="9"/>
      <c r="C60" s="8"/>
      <c r="D60" s="8" t="s">
        <v>39</v>
      </c>
      <c r="E60" s="8" t="s">
        <v>0</v>
      </c>
      <c r="F60" s="9" t="s">
        <v>298</v>
      </c>
      <c r="G60" s="13">
        <v>120</v>
      </c>
      <c r="H60" s="8"/>
      <c r="I60" s="8"/>
      <c r="J60" s="8">
        <f>J59+Table23453[[#This Row],[AMOUNT]]-Table23453[[#This Row],[AMOUNT2]]-Table23453[[#This Row],[AMOUNT3]]</f>
        <v>479</v>
      </c>
    </row>
    <row r="61" spans="1:10" ht="15.5" x14ac:dyDescent="0.35">
      <c r="A61" s="29">
        <v>46162</v>
      </c>
      <c r="B61" s="9"/>
      <c r="C61" s="8"/>
      <c r="D61" s="8" t="s">
        <v>39</v>
      </c>
      <c r="E61" s="8" t="s">
        <v>40</v>
      </c>
      <c r="F61" s="9" t="s">
        <v>391</v>
      </c>
      <c r="G61" s="13">
        <v>33</v>
      </c>
      <c r="H61" s="8"/>
      <c r="I61" s="8"/>
      <c r="J61" s="8">
        <f>J60+Table23453[[#This Row],[AMOUNT]]-Table23453[[#This Row],[AMOUNT2]]-Table23453[[#This Row],[AMOUNT3]]</f>
        <v>446</v>
      </c>
    </row>
    <row r="62" spans="1:10" ht="15.5" x14ac:dyDescent="0.35">
      <c r="A62" s="29">
        <v>46163</v>
      </c>
      <c r="B62" s="9"/>
      <c r="C62" s="8"/>
      <c r="D62" s="8" t="s">
        <v>39</v>
      </c>
      <c r="E62" s="8" t="s">
        <v>0</v>
      </c>
      <c r="F62" s="9" t="s">
        <v>298</v>
      </c>
      <c r="G62" s="13">
        <v>120</v>
      </c>
      <c r="H62" s="8"/>
      <c r="I62" s="8"/>
      <c r="J62" s="8">
        <f>J61+Table23453[[#This Row],[AMOUNT]]-Table23453[[#This Row],[AMOUNT2]]-Table23453[[#This Row],[AMOUNT3]]</f>
        <v>326</v>
      </c>
    </row>
    <row r="63" spans="1:10" ht="15.5" x14ac:dyDescent="0.35">
      <c r="A63" s="29">
        <v>46163</v>
      </c>
      <c r="B63" s="9"/>
      <c r="C63" s="8"/>
      <c r="D63" s="8" t="s">
        <v>39</v>
      </c>
      <c r="E63" s="8" t="s">
        <v>40</v>
      </c>
      <c r="F63" s="9" t="s">
        <v>391</v>
      </c>
      <c r="G63" s="13">
        <v>33</v>
      </c>
      <c r="H63" s="8"/>
      <c r="I63" s="8"/>
      <c r="J63" s="8">
        <f>J62+Table23453[[#This Row],[AMOUNT]]-Table23453[[#This Row],[AMOUNT2]]-Table23453[[#This Row],[AMOUNT3]]</f>
        <v>293</v>
      </c>
    </row>
    <row r="64" spans="1:10" ht="15.5" x14ac:dyDescent="0.35">
      <c r="A64" s="29">
        <v>46164</v>
      </c>
      <c r="B64" s="9"/>
      <c r="C64" s="8"/>
      <c r="D64" s="8" t="s">
        <v>33</v>
      </c>
      <c r="E64" s="8" t="s">
        <v>0</v>
      </c>
      <c r="F64" s="9" t="s">
        <v>496</v>
      </c>
      <c r="G64" s="13">
        <v>80</v>
      </c>
      <c r="H64" s="8"/>
      <c r="I64" s="8"/>
      <c r="J64" s="8">
        <f>J63+Table23453[[#This Row],[AMOUNT]]-Table23453[[#This Row],[AMOUNT2]]-Table23453[[#This Row],[AMOUNT3]]</f>
        <v>213</v>
      </c>
    </row>
    <row r="65" spans="1:10" ht="15.5" x14ac:dyDescent="0.35">
      <c r="A65" s="29">
        <v>46165</v>
      </c>
      <c r="B65" s="9"/>
      <c r="C65" s="8"/>
      <c r="D65" s="8" t="s">
        <v>33</v>
      </c>
      <c r="E65" s="8" t="s">
        <v>0</v>
      </c>
      <c r="F65" s="9" t="s">
        <v>496</v>
      </c>
      <c r="G65" s="13">
        <v>80</v>
      </c>
      <c r="H65" s="8"/>
      <c r="I65" s="8"/>
      <c r="J65" s="8">
        <f>J64+Table23453[[#This Row],[AMOUNT]]-Table23453[[#This Row],[AMOUNT2]]-Table23453[[#This Row],[AMOUNT3]]</f>
        <v>133</v>
      </c>
    </row>
    <row r="66" spans="1:10" ht="15.5" x14ac:dyDescent="0.35">
      <c r="A66" s="29">
        <v>46166</v>
      </c>
      <c r="B66" s="9"/>
      <c r="C66" s="8"/>
      <c r="D66" s="8" t="s">
        <v>39</v>
      </c>
      <c r="E66" s="8" t="s">
        <v>0</v>
      </c>
      <c r="F66" s="9" t="s">
        <v>298</v>
      </c>
      <c r="G66" s="13">
        <v>120</v>
      </c>
      <c r="H66" s="8"/>
      <c r="I66" s="8"/>
      <c r="J66" s="8">
        <f>J65+Table23453[[#This Row],[AMOUNT]]-Table23453[[#This Row],[AMOUNT2]]-Table23453[[#This Row],[AMOUNT3]]</f>
        <v>13</v>
      </c>
    </row>
    <row r="67" spans="1:10" ht="15.5" x14ac:dyDescent="0.35">
      <c r="A67" s="29">
        <v>46166</v>
      </c>
      <c r="B67" s="9"/>
      <c r="C67" s="8"/>
      <c r="D67" s="8" t="s">
        <v>39</v>
      </c>
      <c r="E67" s="8" t="s">
        <v>40</v>
      </c>
      <c r="F67" s="9" t="s">
        <v>391</v>
      </c>
      <c r="G67" s="13">
        <v>33</v>
      </c>
      <c r="H67" s="8"/>
      <c r="I67" s="8"/>
      <c r="J67" s="8">
        <f>J66+Table23453[[#This Row],[AMOUNT]]-Table23453[[#This Row],[AMOUNT2]]-Table23453[[#This Row],[AMOUNT3]]</f>
        <v>-20</v>
      </c>
    </row>
    <row r="68" spans="1:10" ht="15.5" x14ac:dyDescent="0.35">
      <c r="A68" s="29">
        <v>46167</v>
      </c>
      <c r="B68" s="9"/>
      <c r="C68" s="8"/>
      <c r="D68" s="8" t="s">
        <v>39</v>
      </c>
      <c r="E68" s="8" t="s">
        <v>0</v>
      </c>
      <c r="F68" s="9" t="s">
        <v>298</v>
      </c>
      <c r="G68" s="13">
        <v>120</v>
      </c>
      <c r="H68" s="8"/>
      <c r="I68" s="8"/>
      <c r="J68" s="8">
        <f>J67+Table23453[[#This Row],[AMOUNT]]-Table23453[[#This Row],[AMOUNT2]]-Table23453[[#This Row],[AMOUNT3]]</f>
        <v>-140</v>
      </c>
    </row>
    <row r="69" spans="1:10" ht="15.5" x14ac:dyDescent="0.35">
      <c r="A69" s="29">
        <v>46173</v>
      </c>
      <c r="B69" s="9"/>
      <c r="C69" s="8"/>
      <c r="D69" s="8" t="s">
        <v>497</v>
      </c>
      <c r="E69" s="8" t="s">
        <v>0</v>
      </c>
      <c r="F69" s="9" t="s">
        <v>498</v>
      </c>
      <c r="G69" s="13">
        <v>100</v>
      </c>
      <c r="H69" s="8"/>
      <c r="I69" s="8"/>
      <c r="J69" s="8">
        <f>J68+Table23453[[#This Row],[AMOUNT]]-Table23453[[#This Row],[AMOUNT2]]-Table23453[[#This Row],[AMOUNT3]]</f>
        <v>-240</v>
      </c>
    </row>
    <row r="70" spans="1:10" ht="15.5" x14ac:dyDescent="0.35">
      <c r="A70" s="29">
        <v>46173</v>
      </c>
      <c r="B70" s="9"/>
      <c r="C70" s="8"/>
      <c r="D70" s="8" t="s">
        <v>497</v>
      </c>
      <c r="E70" s="8" t="s">
        <v>17</v>
      </c>
      <c r="F70" s="9" t="s">
        <v>499</v>
      </c>
      <c r="G70" s="13">
        <f>210+100</f>
        <v>310</v>
      </c>
      <c r="H70" s="8"/>
      <c r="I70" s="8"/>
      <c r="J70" s="8">
        <f>J69+Table23453[[#This Row],[AMOUNT]]-Table23453[[#This Row],[AMOUNT2]]-Table23453[[#This Row],[AMOUNT3]]</f>
        <v>-550</v>
      </c>
    </row>
    <row r="71" spans="1:10" ht="15.5" x14ac:dyDescent="0.35">
      <c r="A71" s="72">
        <v>46174</v>
      </c>
      <c r="B71" s="75"/>
      <c r="C71" s="74"/>
      <c r="D71" s="74" t="s">
        <v>39</v>
      </c>
      <c r="E71" s="74" t="s">
        <v>0</v>
      </c>
      <c r="F71" s="75" t="s">
        <v>298</v>
      </c>
      <c r="G71" s="66">
        <v>120</v>
      </c>
      <c r="H71" s="74"/>
      <c r="I71" s="74"/>
      <c r="J71" s="74">
        <f>J70+Table23453[[#This Row],[AMOUNT]]-Table23453[[#This Row],[AMOUNT2]]-Table23453[[#This Row],[AMOUNT3]]</f>
        <v>-670</v>
      </c>
    </row>
    <row r="72" spans="1:10" ht="15.5" x14ac:dyDescent="0.35">
      <c r="A72" s="29">
        <v>46174</v>
      </c>
      <c r="B72" s="9"/>
      <c r="C72" s="8"/>
      <c r="D72" s="8" t="s">
        <v>39</v>
      </c>
      <c r="E72" s="8" t="s">
        <v>40</v>
      </c>
      <c r="F72" s="9" t="s">
        <v>535</v>
      </c>
      <c r="G72" s="13">
        <v>100</v>
      </c>
      <c r="H72" s="8"/>
      <c r="I72" s="8"/>
      <c r="J72" s="8">
        <f>J71+Table23453[[#This Row],[AMOUNT]]-Table23453[[#This Row],[AMOUNT2]]-Table23453[[#This Row],[AMOUNT3]]</f>
        <v>-770</v>
      </c>
    </row>
    <row r="73" spans="1:10" ht="15.5" x14ac:dyDescent="0.35">
      <c r="A73" s="29">
        <v>46175</v>
      </c>
      <c r="B73" s="19"/>
      <c r="C73" s="20"/>
      <c r="D73" s="8" t="s">
        <v>39</v>
      </c>
      <c r="E73" s="8" t="s">
        <v>0</v>
      </c>
      <c r="F73" s="9" t="s">
        <v>298</v>
      </c>
      <c r="G73" s="13">
        <v>120</v>
      </c>
      <c r="H73" s="20"/>
      <c r="I73" s="20"/>
      <c r="J73" s="8">
        <f>J72+Table23453[[#This Row],[AMOUNT]]-Table23453[[#This Row],[AMOUNT2]]-Table23453[[#This Row],[AMOUNT3]]</f>
        <v>-890</v>
      </c>
    </row>
    <row r="74" spans="1:10" ht="15.5" x14ac:dyDescent="0.35">
      <c r="A74" s="29">
        <v>46175</v>
      </c>
      <c r="B74" s="19"/>
      <c r="C74" s="20"/>
      <c r="D74" s="8" t="s">
        <v>39</v>
      </c>
      <c r="E74" s="8" t="s">
        <v>40</v>
      </c>
      <c r="F74" s="9" t="s">
        <v>536</v>
      </c>
      <c r="G74" s="13">
        <v>70</v>
      </c>
      <c r="H74" s="20"/>
      <c r="I74" s="20"/>
      <c r="J74" s="8">
        <f>J73+Table23453[[#This Row],[AMOUNT]]-Table23453[[#This Row],[AMOUNT2]]-Table23453[[#This Row],[AMOUNT3]]</f>
        <v>-960</v>
      </c>
    </row>
    <row r="75" spans="1:10" ht="15.5" x14ac:dyDescent="0.35">
      <c r="A75" s="29">
        <v>46176</v>
      </c>
      <c r="B75" s="19"/>
      <c r="C75" s="20"/>
      <c r="D75" s="8" t="s">
        <v>39</v>
      </c>
      <c r="E75" s="8" t="s">
        <v>0</v>
      </c>
      <c r="F75" s="9" t="s">
        <v>298</v>
      </c>
      <c r="G75" s="13">
        <v>120</v>
      </c>
      <c r="H75" s="20"/>
      <c r="I75" s="20"/>
      <c r="J75" s="8">
        <f>J74+Table23453[[#This Row],[AMOUNT]]-Table23453[[#This Row],[AMOUNT2]]-Table23453[[#This Row],[AMOUNT3]]</f>
        <v>-1080</v>
      </c>
    </row>
    <row r="76" spans="1:10" ht="15.5" x14ac:dyDescent="0.35">
      <c r="A76" s="29">
        <v>46176</v>
      </c>
      <c r="B76" s="19"/>
      <c r="C76" s="20"/>
      <c r="D76" s="8" t="s">
        <v>39</v>
      </c>
      <c r="E76" s="8" t="s">
        <v>40</v>
      </c>
      <c r="F76" s="9" t="s">
        <v>391</v>
      </c>
      <c r="G76" s="13">
        <v>35</v>
      </c>
      <c r="H76" s="20"/>
      <c r="I76" s="20"/>
      <c r="J76" s="8">
        <f>J75+Table23453[[#This Row],[AMOUNT]]-Table23453[[#This Row],[AMOUNT2]]-Table23453[[#This Row],[AMOUNT3]]</f>
        <v>-1115</v>
      </c>
    </row>
    <row r="77" spans="1:10" ht="15.5" x14ac:dyDescent="0.35">
      <c r="A77" s="29">
        <v>46177</v>
      </c>
      <c r="B77" s="19"/>
      <c r="C77" s="20"/>
      <c r="D77" s="8" t="s">
        <v>39</v>
      </c>
      <c r="E77" s="8" t="s">
        <v>0</v>
      </c>
      <c r="F77" s="9" t="s">
        <v>298</v>
      </c>
      <c r="G77" s="13">
        <v>120</v>
      </c>
      <c r="H77" s="20"/>
      <c r="I77" s="20"/>
      <c r="J77" s="8">
        <f>J76+Table23453[[#This Row],[AMOUNT]]-Table23453[[#This Row],[AMOUNT2]]-Table23453[[#This Row],[AMOUNT3]]</f>
        <v>-1235</v>
      </c>
    </row>
    <row r="78" spans="1:10" ht="15.5" x14ac:dyDescent="0.35">
      <c r="A78" s="29">
        <v>46177</v>
      </c>
      <c r="B78" s="19"/>
      <c r="C78" s="20"/>
      <c r="D78" s="8" t="s">
        <v>39</v>
      </c>
      <c r="E78" s="8" t="s">
        <v>40</v>
      </c>
      <c r="F78" s="9" t="s">
        <v>391</v>
      </c>
      <c r="G78" s="13">
        <v>35</v>
      </c>
      <c r="H78" s="20"/>
      <c r="I78" s="20"/>
      <c r="J78" s="8">
        <f>J77+Table23453[[#This Row],[AMOUNT]]-Table23453[[#This Row],[AMOUNT2]]-Table23453[[#This Row],[AMOUNT3]]</f>
        <v>-1270</v>
      </c>
    </row>
    <row r="79" spans="1:10" ht="15.5" x14ac:dyDescent="0.35">
      <c r="A79" s="98">
        <v>46180</v>
      </c>
      <c r="B79" s="19"/>
      <c r="C79" s="20"/>
      <c r="D79" s="8" t="s">
        <v>153</v>
      </c>
      <c r="E79" s="8" t="s">
        <v>0</v>
      </c>
      <c r="F79" s="9" t="s">
        <v>537</v>
      </c>
      <c r="G79" s="13">
        <v>230</v>
      </c>
      <c r="H79" s="20"/>
      <c r="I79" s="20"/>
      <c r="J79" s="8">
        <f>J78+Table23453[[#This Row],[AMOUNT]]-Table23453[[#This Row],[AMOUNT2]]-Table23453[[#This Row],[AMOUNT3]]</f>
        <v>-1500</v>
      </c>
    </row>
    <row r="80" spans="1:10" ht="15.5" x14ac:dyDescent="0.35">
      <c r="A80" s="29">
        <v>46180</v>
      </c>
      <c r="B80" s="19"/>
      <c r="C80" s="20"/>
      <c r="D80" s="8" t="s">
        <v>153</v>
      </c>
      <c r="E80" s="8" t="s">
        <v>17</v>
      </c>
      <c r="F80" s="9" t="s">
        <v>538</v>
      </c>
      <c r="G80" s="13">
        <v>750</v>
      </c>
      <c r="H80" s="20"/>
      <c r="I80" s="20"/>
      <c r="J80" s="8">
        <f>J79+Table23453[[#This Row],[AMOUNT]]-Table23453[[#This Row],[AMOUNT2]]-Table23453[[#This Row],[AMOUNT3]]</f>
        <v>-2250</v>
      </c>
    </row>
    <row r="81" spans="1:10" ht="15.5" x14ac:dyDescent="0.35">
      <c r="A81" s="29">
        <v>46180</v>
      </c>
      <c r="B81" s="19"/>
      <c r="C81" s="20"/>
      <c r="D81" s="8" t="s">
        <v>153</v>
      </c>
      <c r="E81" s="8" t="s">
        <v>682</v>
      </c>
      <c r="F81" s="9" t="s">
        <v>26</v>
      </c>
      <c r="G81" s="13">
        <v>200</v>
      </c>
      <c r="H81" s="20"/>
      <c r="I81" s="20"/>
      <c r="J81" s="8">
        <f>J80+Table23453[[#This Row],[AMOUNT]]-Table23453[[#This Row],[AMOUNT2]]-Table23453[[#This Row],[AMOUNT3]]</f>
        <v>-2450</v>
      </c>
    </row>
    <row r="82" spans="1:10" ht="15.5" x14ac:dyDescent="0.35">
      <c r="A82" s="29">
        <v>46181</v>
      </c>
      <c r="B82" s="19" t="s">
        <v>18</v>
      </c>
      <c r="C82" s="45">
        <v>10000</v>
      </c>
      <c r="D82" s="8" t="s">
        <v>153</v>
      </c>
      <c r="E82" s="8" t="s">
        <v>0</v>
      </c>
      <c r="F82" s="9" t="s">
        <v>537</v>
      </c>
      <c r="G82" s="13">
        <v>230</v>
      </c>
      <c r="H82" s="20"/>
      <c r="I82" s="20"/>
      <c r="J82" s="8">
        <f>J81+Table23453[[#This Row],[AMOUNT]]-Table23453[[#This Row],[AMOUNT2]]-Table23453[[#This Row],[AMOUNT3]]</f>
        <v>7320</v>
      </c>
    </row>
    <row r="83" spans="1:10" ht="15.5" x14ac:dyDescent="0.35">
      <c r="A83" s="29">
        <v>46181</v>
      </c>
      <c r="B83" s="19"/>
      <c r="C83" s="20"/>
      <c r="D83" s="8" t="s">
        <v>153</v>
      </c>
      <c r="E83" s="8" t="s">
        <v>2</v>
      </c>
      <c r="F83" s="9" t="s">
        <v>539</v>
      </c>
      <c r="G83" s="13">
        <v>3750</v>
      </c>
      <c r="H83" s="20"/>
      <c r="I83" s="20"/>
      <c r="J83" s="8">
        <f>J82+Table23453[[#This Row],[AMOUNT]]-Table23453[[#This Row],[AMOUNT2]]-Table23453[[#This Row],[AMOUNT3]]</f>
        <v>3570</v>
      </c>
    </row>
    <row r="84" spans="1:10" ht="15.5" x14ac:dyDescent="0.35">
      <c r="A84" s="29">
        <v>46181</v>
      </c>
      <c r="B84" s="19"/>
      <c r="C84" s="20"/>
      <c r="D84" s="8" t="s">
        <v>153</v>
      </c>
      <c r="E84" s="8" t="s">
        <v>2</v>
      </c>
      <c r="F84" s="9" t="s">
        <v>540</v>
      </c>
      <c r="G84" s="13">
        <v>800</v>
      </c>
      <c r="H84" s="20"/>
      <c r="I84" s="20"/>
      <c r="J84" s="8">
        <f>J83+Table23453[[#This Row],[AMOUNT]]-Table23453[[#This Row],[AMOUNT2]]-Table23453[[#This Row],[AMOUNT3]]</f>
        <v>2770</v>
      </c>
    </row>
    <row r="85" spans="1:10" ht="15.5" x14ac:dyDescent="0.35">
      <c r="A85" s="29">
        <v>46181</v>
      </c>
      <c r="B85" s="19"/>
      <c r="C85" s="20"/>
      <c r="D85" s="8" t="s">
        <v>153</v>
      </c>
      <c r="E85" s="8" t="s">
        <v>16</v>
      </c>
      <c r="F85" s="9" t="s">
        <v>541</v>
      </c>
      <c r="G85" s="13">
        <v>1000</v>
      </c>
      <c r="H85" s="20"/>
      <c r="I85" s="20"/>
      <c r="J85" s="8">
        <f>J84+Table23453[[#This Row],[AMOUNT]]-Table23453[[#This Row],[AMOUNT2]]-Table23453[[#This Row],[AMOUNT3]]</f>
        <v>1770</v>
      </c>
    </row>
    <row r="86" spans="1:10" ht="15.5" x14ac:dyDescent="0.35">
      <c r="A86" s="29">
        <v>46181</v>
      </c>
      <c r="B86" s="19"/>
      <c r="C86" s="20"/>
      <c r="D86" s="8" t="s">
        <v>153</v>
      </c>
      <c r="E86" s="8" t="s">
        <v>2</v>
      </c>
      <c r="F86" s="9" t="s">
        <v>542</v>
      </c>
      <c r="G86" s="13">
        <v>1200</v>
      </c>
      <c r="H86" s="20"/>
      <c r="I86" s="20"/>
      <c r="J86" s="8">
        <f>J85+Table23453[[#This Row],[AMOUNT]]-Table23453[[#This Row],[AMOUNT2]]-Table23453[[#This Row],[AMOUNT3]]</f>
        <v>570</v>
      </c>
    </row>
    <row r="87" spans="1:10" ht="15.5" x14ac:dyDescent="0.35">
      <c r="A87" s="29">
        <v>46181</v>
      </c>
      <c r="B87" s="19"/>
      <c r="C87" s="20"/>
      <c r="D87" s="8" t="s">
        <v>153</v>
      </c>
      <c r="E87" s="8" t="s">
        <v>16</v>
      </c>
      <c r="F87" s="9" t="s">
        <v>618</v>
      </c>
      <c r="G87" s="13">
        <v>400</v>
      </c>
      <c r="H87" s="20"/>
      <c r="I87" s="20"/>
      <c r="J87" s="8">
        <f>J86+Table23453[[#This Row],[AMOUNT]]-Table23453[[#This Row],[AMOUNT2]]-Table23453[[#This Row],[AMOUNT3]]</f>
        <v>170</v>
      </c>
    </row>
    <row r="88" spans="1:10" ht="15.5" x14ac:dyDescent="0.35">
      <c r="A88" s="98">
        <v>46181</v>
      </c>
      <c r="B88" s="19"/>
      <c r="C88" s="20"/>
      <c r="D88" s="8" t="s">
        <v>153</v>
      </c>
      <c r="E88" s="8" t="s">
        <v>0</v>
      </c>
      <c r="F88" s="9" t="s">
        <v>641</v>
      </c>
      <c r="G88" s="13">
        <v>100</v>
      </c>
      <c r="H88" s="20"/>
      <c r="I88" s="20"/>
      <c r="J88" s="8">
        <f>J87+Table23453[[#This Row],[AMOUNT]]-Table23453[[#This Row],[AMOUNT2]]-Table23453[[#This Row],[AMOUNT3]]</f>
        <v>70</v>
      </c>
    </row>
    <row r="89" spans="1:10" ht="15.5" x14ac:dyDescent="0.35">
      <c r="A89" s="29">
        <v>46181</v>
      </c>
      <c r="B89" s="19"/>
      <c r="C89" s="20"/>
      <c r="D89" s="8" t="s">
        <v>153</v>
      </c>
      <c r="E89" s="8" t="s">
        <v>40</v>
      </c>
      <c r="F89" s="9" t="s">
        <v>543</v>
      </c>
      <c r="G89" s="13">
        <v>250</v>
      </c>
      <c r="H89" s="20"/>
      <c r="I89" s="20"/>
      <c r="J89" s="8">
        <f>J88+Table23453[[#This Row],[AMOUNT]]-Table23453[[#This Row],[AMOUNT2]]-Table23453[[#This Row],[AMOUNT3]]</f>
        <v>-180</v>
      </c>
    </row>
    <row r="90" spans="1:10" ht="15.5" x14ac:dyDescent="0.35">
      <c r="A90" s="29">
        <v>46181</v>
      </c>
      <c r="B90" s="19"/>
      <c r="C90" s="20"/>
      <c r="D90" s="8" t="s">
        <v>153</v>
      </c>
      <c r="E90" s="8" t="s">
        <v>40</v>
      </c>
      <c r="F90" s="9" t="s">
        <v>544</v>
      </c>
      <c r="G90" s="13">
        <v>120</v>
      </c>
      <c r="H90" s="20"/>
      <c r="I90" s="20"/>
      <c r="J90" s="8">
        <f>J89+Table23453[[#This Row],[AMOUNT]]-Table23453[[#This Row],[AMOUNT2]]-Table23453[[#This Row],[AMOUNT3]]</f>
        <v>-300</v>
      </c>
    </row>
    <row r="91" spans="1:10" ht="15.5" x14ac:dyDescent="0.35">
      <c r="A91" s="29">
        <v>46182</v>
      </c>
      <c r="B91" s="19"/>
      <c r="C91" s="20"/>
      <c r="D91" s="8" t="s">
        <v>153</v>
      </c>
      <c r="E91" s="8" t="s">
        <v>0</v>
      </c>
      <c r="F91" s="9" t="s">
        <v>537</v>
      </c>
      <c r="G91" s="13">
        <v>230</v>
      </c>
      <c r="H91" s="20"/>
      <c r="I91" s="20"/>
      <c r="J91" s="8">
        <f>J90+Table23453[[#This Row],[AMOUNT]]-Table23453[[#This Row],[AMOUNT2]]-Table23453[[#This Row],[AMOUNT3]]</f>
        <v>-530</v>
      </c>
    </row>
    <row r="92" spans="1:10" ht="15.5" x14ac:dyDescent="0.35">
      <c r="A92" s="29">
        <v>46183</v>
      </c>
      <c r="B92" s="19"/>
      <c r="C92" s="20"/>
      <c r="D92" s="8" t="s">
        <v>153</v>
      </c>
      <c r="E92" s="8" t="s">
        <v>0</v>
      </c>
      <c r="F92" s="9" t="s">
        <v>537</v>
      </c>
      <c r="G92" s="13">
        <v>230</v>
      </c>
      <c r="H92" s="20"/>
      <c r="I92" s="20"/>
      <c r="J92" s="8">
        <f>J91+Table23453[[#This Row],[AMOUNT]]-Table23453[[#This Row],[AMOUNT2]]-Table23453[[#This Row],[AMOUNT3]]</f>
        <v>-760</v>
      </c>
    </row>
    <row r="93" spans="1:10" ht="15.5" x14ac:dyDescent="0.35">
      <c r="A93" s="29">
        <v>46184</v>
      </c>
      <c r="B93" s="19"/>
      <c r="C93" s="20"/>
      <c r="D93" s="8" t="s">
        <v>39</v>
      </c>
      <c r="E93" s="8" t="s">
        <v>0</v>
      </c>
      <c r="F93" s="9" t="s">
        <v>593</v>
      </c>
      <c r="G93" s="13">
        <v>120</v>
      </c>
      <c r="H93" s="20"/>
      <c r="I93" s="20"/>
      <c r="J93" s="8">
        <f>J92+Table23453[[#This Row],[AMOUNT]]-Table23453[[#This Row],[AMOUNT2]]-Table23453[[#This Row],[AMOUNT3]]</f>
        <v>-880</v>
      </c>
    </row>
    <row r="94" spans="1:10" ht="15.5" x14ac:dyDescent="0.35">
      <c r="A94" s="29">
        <v>46185</v>
      </c>
      <c r="B94" s="19" t="s">
        <v>18</v>
      </c>
      <c r="C94" s="45">
        <v>8000</v>
      </c>
      <c r="D94" s="8" t="s">
        <v>102</v>
      </c>
      <c r="E94" s="8" t="s">
        <v>0</v>
      </c>
      <c r="F94" s="9" t="s">
        <v>594</v>
      </c>
      <c r="G94" s="13">
        <v>100</v>
      </c>
      <c r="H94" s="20"/>
      <c r="I94" s="20"/>
      <c r="J94" s="8">
        <f>J93+Table23453[[#This Row],[AMOUNT]]-Table23453[[#This Row],[AMOUNT2]]-Table23453[[#This Row],[AMOUNT3]]</f>
        <v>7020</v>
      </c>
    </row>
    <row r="95" spans="1:10" ht="15.5" x14ac:dyDescent="0.35">
      <c r="A95" s="29">
        <v>46185</v>
      </c>
      <c r="B95" s="19"/>
      <c r="C95" s="20"/>
      <c r="D95" s="8" t="s">
        <v>33</v>
      </c>
      <c r="E95" s="8" t="s">
        <v>24</v>
      </c>
      <c r="F95" s="9" t="s">
        <v>595</v>
      </c>
      <c r="G95" s="13">
        <v>5400</v>
      </c>
      <c r="H95" s="20"/>
      <c r="I95" s="20"/>
      <c r="J95" s="8">
        <f>J94+Table23453[[#This Row],[AMOUNT]]-Table23453[[#This Row],[AMOUNT2]]-Table23453[[#This Row],[AMOUNT3]]</f>
        <v>1620</v>
      </c>
    </row>
    <row r="96" spans="1:10" ht="15.5" x14ac:dyDescent="0.35">
      <c r="A96" s="29">
        <v>46186</v>
      </c>
      <c r="B96" s="19"/>
      <c r="C96" s="20"/>
      <c r="D96" s="8" t="s">
        <v>102</v>
      </c>
      <c r="E96" s="8" t="s">
        <v>0</v>
      </c>
      <c r="F96" s="9" t="s">
        <v>594</v>
      </c>
      <c r="G96" s="13">
        <v>100</v>
      </c>
      <c r="H96" s="20"/>
      <c r="I96" s="20"/>
      <c r="J96" s="8">
        <f>J95+Table23453[[#This Row],[AMOUNT]]-Table23453[[#This Row],[AMOUNT2]]-Table23453[[#This Row],[AMOUNT3]]</f>
        <v>1520</v>
      </c>
    </row>
    <row r="97" spans="1:10" ht="15.5" x14ac:dyDescent="0.35">
      <c r="A97" s="29">
        <v>46186</v>
      </c>
      <c r="B97" s="19"/>
      <c r="C97" s="20"/>
      <c r="D97" s="8" t="s">
        <v>33</v>
      </c>
      <c r="E97" s="8" t="s">
        <v>17</v>
      </c>
      <c r="F97" s="9" t="s">
        <v>596</v>
      </c>
      <c r="G97" s="13">
        <v>30</v>
      </c>
      <c r="H97" s="20"/>
      <c r="I97" s="20"/>
      <c r="J97" s="8">
        <f>J96+Table23453[[#This Row],[AMOUNT]]-Table23453[[#This Row],[AMOUNT2]]-Table23453[[#This Row],[AMOUNT3]]</f>
        <v>1490</v>
      </c>
    </row>
    <row r="98" spans="1:10" ht="15.5" x14ac:dyDescent="0.35">
      <c r="A98" s="29">
        <v>46187</v>
      </c>
      <c r="B98" s="19"/>
      <c r="C98" s="20"/>
      <c r="D98" s="8" t="s">
        <v>102</v>
      </c>
      <c r="E98" s="8" t="s">
        <v>0</v>
      </c>
      <c r="F98" s="9" t="s">
        <v>594</v>
      </c>
      <c r="G98" s="13">
        <v>100</v>
      </c>
      <c r="H98" s="20"/>
      <c r="I98" s="20"/>
      <c r="J98" s="8">
        <f>J97+Table23453[[#This Row],[AMOUNT]]-Table23453[[#This Row],[AMOUNT2]]-Table23453[[#This Row],[AMOUNT3]]</f>
        <v>1390</v>
      </c>
    </row>
    <row r="99" spans="1:10" ht="15.5" x14ac:dyDescent="0.35">
      <c r="A99" s="29">
        <v>46188</v>
      </c>
      <c r="B99" s="19"/>
      <c r="C99" s="20"/>
      <c r="D99" s="8" t="s">
        <v>102</v>
      </c>
      <c r="E99" s="8" t="s">
        <v>0</v>
      </c>
      <c r="F99" s="9" t="s">
        <v>594</v>
      </c>
      <c r="G99" s="13">
        <v>100</v>
      </c>
      <c r="H99" s="20"/>
      <c r="I99" s="20"/>
      <c r="J99" s="8">
        <f>J98+Table23453[[#This Row],[AMOUNT]]-Table23453[[#This Row],[AMOUNT2]]-Table23453[[#This Row],[AMOUNT3]]</f>
        <v>1290</v>
      </c>
    </row>
    <row r="100" spans="1:10" ht="15.5" x14ac:dyDescent="0.35">
      <c r="A100" s="29">
        <v>46188</v>
      </c>
      <c r="B100" s="19"/>
      <c r="C100" s="20"/>
      <c r="D100" s="8" t="s">
        <v>33</v>
      </c>
      <c r="E100" s="8" t="s">
        <v>17</v>
      </c>
      <c r="F100" s="9" t="s">
        <v>597</v>
      </c>
      <c r="G100" s="13">
        <v>500</v>
      </c>
      <c r="H100" s="20"/>
      <c r="I100" s="20"/>
      <c r="J100" s="8">
        <f>J99+Table23453[[#This Row],[AMOUNT]]-Table23453[[#This Row],[AMOUNT2]]-Table23453[[#This Row],[AMOUNT3]]</f>
        <v>790</v>
      </c>
    </row>
    <row r="101" spans="1:10" ht="15.5" x14ac:dyDescent="0.35">
      <c r="A101" s="29">
        <v>46189</v>
      </c>
      <c r="B101" s="19"/>
      <c r="C101" s="20"/>
      <c r="D101" s="8" t="s">
        <v>102</v>
      </c>
      <c r="E101" s="8" t="s">
        <v>0</v>
      </c>
      <c r="F101" s="9" t="s">
        <v>594</v>
      </c>
      <c r="G101" s="13">
        <v>100</v>
      </c>
      <c r="H101" s="20"/>
      <c r="I101" s="20"/>
      <c r="J101" s="8">
        <f>J100+Table23453[[#This Row],[AMOUNT]]-Table23453[[#This Row],[AMOUNT2]]-Table23453[[#This Row],[AMOUNT3]]</f>
        <v>690</v>
      </c>
    </row>
    <row r="102" spans="1:10" ht="15.5" x14ac:dyDescent="0.35">
      <c r="A102" s="29">
        <v>46190</v>
      </c>
      <c r="B102" s="19"/>
      <c r="C102" s="20"/>
      <c r="D102" s="8" t="s">
        <v>102</v>
      </c>
      <c r="E102" s="8" t="s">
        <v>0</v>
      </c>
      <c r="F102" s="9" t="s">
        <v>594</v>
      </c>
      <c r="G102" s="13">
        <v>100</v>
      </c>
      <c r="H102" s="20"/>
      <c r="I102" s="20"/>
      <c r="J102" s="8">
        <f>J101+Table23453[[#This Row],[AMOUNT]]-Table23453[[#This Row],[AMOUNT2]]-Table23453[[#This Row],[AMOUNT3]]</f>
        <v>590</v>
      </c>
    </row>
    <row r="103" spans="1:10" ht="15.5" x14ac:dyDescent="0.35">
      <c r="A103" s="29">
        <v>46191</v>
      </c>
      <c r="B103" s="19"/>
      <c r="C103" s="20"/>
      <c r="D103" s="8" t="s">
        <v>102</v>
      </c>
      <c r="E103" s="8" t="s">
        <v>0</v>
      </c>
      <c r="F103" s="9" t="s">
        <v>594</v>
      </c>
      <c r="G103" s="13">
        <v>100</v>
      </c>
      <c r="H103" s="20"/>
      <c r="I103" s="20"/>
      <c r="J103" s="8">
        <f>J102+Table23453[[#This Row],[AMOUNT]]-Table23453[[#This Row],[AMOUNT2]]-Table23453[[#This Row],[AMOUNT3]]</f>
        <v>490</v>
      </c>
    </row>
    <row r="104" spans="1:10" ht="15.5" x14ac:dyDescent="0.35">
      <c r="A104" s="29">
        <v>46192</v>
      </c>
      <c r="B104" s="19"/>
      <c r="C104" s="20"/>
      <c r="D104" s="8" t="s">
        <v>102</v>
      </c>
      <c r="E104" s="8" t="s">
        <v>0</v>
      </c>
      <c r="F104" s="9" t="s">
        <v>594</v>
      </c>
      <c r="G104" s="13">
        <v>100</v>
      </c>
      <c r="H104" s="20"/>
      <c r="I104" s="20"/>
      <c r="J104" s="8">
        <f>J103+Table23453[[#This Row],[AMOUNT]]-Table23453[[#This Row],[AMOUNT2]]-Table23453[[#This Row],[AMOUNT3]]</f>
        <v>390</v>
      </c>
    </row>
    <row r="105" spans="1:10" ht="15.5" x14ac:dyDescent="0.35">
      <c r="A105" s="29">
        <v>46193</v>
      </c>
      <c r="B105" s="19"/>
      <c r="C105" s="20"/>
      <c r="D105" s="8" t="s">
        <v>102</v>
      </c>
      <c r="E105" s="8" t="s">
        <v>0</v>
      </c>
      <c r="F105" s="9" t="s">
        <v>594</v>
      </c>
      <c r="G105" s="13">
        <v>100</v>
      </c>
      <c r="H105" s="20"/>
      <c r="I105" s="20"/>
      <c r="J105" s="8">
        <f>J104+Table23453[[#This Row],[AMOUNT]]-Table23453[[#This Row],[AMOUNT2]]-Table23453[[#This Row],[AMOUNT3]]</f>
        <v>290</v>
      </c>
    </row>
    <row r="106" spans="1:10" ht="15.5" x14ac:dyDescent="0.35">
      <c r="A106" s="29">
        <v>46194</v>
      </c>
      <c r="B106" s="19"/>
      <c r="C106" s="20"/>
      <c r="D106" s="8" t="s">
        <v>153</v>
      </c>
      <c r="E106" s="8" t="s">
        <v>0</v>
      </c>
      <c r="F106" s="9" t="s">
        <v>637</v>
      </c>
      <c r="G106" s="13">
        <v>230</v>
      </c>
      <c r="H106" s="20"/>
      <c r="I106" s="20"/>
      <c r="J106" s="8">
        <f>J105+Table23453[[#This Row],[AMOUNT]]-Table23453[[#This Row],[AMOUNT2]]-Table23453[[#This Row],[AMOUNT3]]</f>
        <v>60</v>
      </c>
    </row>
    <row r="107" spans="1:10" ht="15.5" x14ac:dyDescent="0.35">
      <c r="A107" s="29" t="s">
        <v>651</v>
      </c>
      <c r="B107" s="19"/>
      <c r="C107" s="20"/>
      <c r="D107" s="8" t="s">
        <v>153</v>
      </c>
      <c r="E107" s="8" t="s">
        <v>0</v>
      </c>
      <c r="F107" s="9" t="s">
        <v>637</v>
      </c>
      <c r="G107" s="13">
        <v>100</v>
      </c>
      <c r="H107" s="20"/>
      <c r="I107" s="20"/>
      <c r="J107" s="8">
        <f>J106+Table23453[[#This Row],[AMOUNT]]-Table23453[[#This Row],[AMOUNT2]]-Table23453[[#This Row],[AMOUNT3]]</f>
        <v>-40</v>
      </c>
    </row>
    <row r="108" spans="1:10" ht="15.5" x14ac:dyDescent="0.35">
      <c r="A108" s="29" t="s">
        <v>652</v>
      </c>
      <c r="B108" s="19"/>
      <c r="C108" s="20"/>
      <c r="D108" s="8" t="s">
        <v>153</v>
      </c>
      <c r="E108" s="8" t="s">
        <v>0</v>
      </c>
      <c r="F108" s="9" t="s">
        <v>637</v>
      </c>
      <c r="G108" s="13">
        <v>100</v>
      </c>
      <c r="H108" s="20"/>
      <c r="I108" s="20"/>
      <c r="J108" s="8">
        <f>J107+Table23453[[#This Row],[AMOUNT]]-Table23453[[#This Row],[AMOUNT2]]-Table23453[[#This Row],[AMOUNT3]]</f>
        <v>-140</v>
      </c>
    </row>
    <row r="109" spans="1:10" ht="15.5" x14ac:dyDescent="0.35">
      <c r="A109" s="29" t="s">
        <v>654</v>
      </c>
      <c r="B109" s="19" t="s">
        <v>18</v>
      </c>
      <c r="C109" s="45">
        <v>7500</v>
      </c>
      <c r="D109" s="8" t="s">
        <v>153</v>
      </c>
      <c r="E109" s="8" t="s">
        <v>0</v>
      </c>
      <c r="F109" s="9" t="s">
        <v>637</v>
      </c>
      <c r="G109" s="13">
        <v>100</v>
      </c>
      <c r="H109" s="20"/>
      <c r="I109" s="20"/>
      <c r="J109" s="8">
        <f>J108+Table23453[[#This Row],[AMOUNT]]-Table23453[[#This Row],[AMOUNT2]]-Table23453[[#This Row],[AMOUNT3]]</f>
        <v>7260</v>
      </c>
    </row>
    <row r="110" spans="1:10" ht="15.5" x14ac:dyDescent="0.35">
      <c r="A110" s="29" t="s">
        <v>654</v>
      </c>
      <c r="B110" s="19"/>
      <c r="C110" s="20"/>
      <c r="D110" s="8" t="s">
        <v>39</v>
      </c>
      <c r="E110" s="8" t="s">
        <v>670</v>
      </c>
      <c r="F110" s="9" t="s">
        <v>671</v>
      </c>
      <c r="G110" s="13">
        <v>215</v>
      </c>
      <c r="H110" s="20"/>
      <c r="I110" s="20"/>
      <c r="J110" s="8">
        <f>J109+Table23453[[#This Row],[AMOUNT]]-Table23453[[#This Row],[AMOUNT2]]-Table23453[[#This Row],[AMOUNT3]]</f>
        <v>7045</v>
      </c>
    </row>
    <row r="111" spans="1:10" ht="15.5" x14ac:dyDescent="0.35">
      <c r="A111" s="29" t="s">
        <v>655</v>
      </c>
      <c r="B111" s="19"/>
      <c r="C111" s="20"/>
      <c r="D111" s="8" t="s">
        <v>102</v>
      </c>
      <c r="E111" s="8" t="s">
        <v>0</v>
      </c>
      <c r="F111" s="9" t="s">
        <v>594</v>
      </c>
      <c r="G111" s="13">
        <v>100</v>
      </c>
      <c r="H111" s="20"/>
      <c r="I111" s="20"/>
      <c r="J111" s="8">
        <f>J110+Table23453[[#This Row],[AMOUNT]]-Table23453[[#This Row],[AMOUNT2]]-Table23453[[#This Row],[AMOUNT3]]</f>
        <v>6945</v>
      </c>
    </row>
    <row r="112" spans="1:10" ht="15.5" x14ac:dyDescent="0.35">
      <c r="A112" s="29" t="s">
        <v>655</v>
      </c>
      <c r="B112" s="19"/>
      <c r="C112" s="20"/>
      <c r="D112" s="8" t="s">
        <v>153</v>
      </c>
      <c r="E112" s="8" t="s">
        <v>672</v>
      </c>
      <c r="F112" s="9" t="s">
        <v>673</v>
      </c>
      <c r="G112" s="13">
        <v>300</v>
      </c>
      <c r="H112" s="20"/>
      <c r="I112" s="20"/>
      <c r="J112" s="8">
        <f>J111+Table23453[[#This Row],[AMOUNT]]-Table23453[[#This Row],[AMOUNT2]]-Table23453[[#This Row],[AMOUNT3]]</f>
        <v>6645</v>
      </c>
    </row>
    <row r="113" spans="1:10" ht="15.5" x14ac:dyDescent="0.35">
      <c r="A113" s="29" t="s">
        <v>656</v>
      </c>
      <c r="B113" s="19"/>
      <c r="C113" s="20"/>
      <c r="D113" s="8" t="s">
        <v>102</v>
      </c>
      <c r="E113" s="8" t="s">
        <v>0</v>
      </c>
      <c r="F113" s="9" t="s">
        <v>594</v>
      </c>
      <c r="G113" s="13">
        <v>100</v>
      </c>
      <c r="H113" s="20"/>
      <c r="I113" s="20"/>
      <c r="J113" s="8">
        <f>J112+Table23453[[#This Row],[AMOUNT]]-Table23453[[#This Row],[AMOUNT2]]-Table23453[[#This Row],[AMOUNT3]]</f>
        <v>6545</v>
      </c>
    </row>
    <row r="114" spans="1:10" ht="15.5" x14ac:dyDescent="0.35">
      <c r="A114" s="29" t="s">
        <v>665</v>
      </c>
      <c r="B114" s="19"/>
      <c r="C114" s="20"/>
      <c r="D114" s="8" t="s">
        <v>102</v>
      </c>
      <c r="E114" s="8" t="s">
        <v>0</v>
      </c>
      <c r="F114" s="9" t="s">
        <v>594</v>
      </c>
      <c r="G114" s="13">
        <v>100</v>
      </c>
      <c r="H114" s="20"/>
      <c r="I114" s="20"/>
      <c r="J114" s="8">
        <f>J113+Table23453[[#This Row],[AMOUNT]]-Table23453[[#This Row],[AMOUNT2]]-Table23453[[#This Row],[AMOUNT3]]</f>
        <v>6445</v>
      </c>
    </row>
    <row r="115" spans="1:10" ht="15.5" x14ac:dyDescent="0.35">
      <c r="A115" s="29" t="s">
        <v>660</v>
      </c>
      <c r="B115" s="19"/>
      <c r="C115" s="20"/>
      <c r="D115" s="8" t="s">
        <v>102</v>
      </c>
      <c r="E115" s="8" t="s">
        <v>0</v>
      </c>
      <c r="F115" s="9" t="s">
        <v>594</v>
      </c>
      <c r="G115" s="13">
        <v>100</v>
      </c>
      <c r="H115" s="20"/>
      <c r="I115" s="20"/>
      <c r="J115" s="8">
        <f>J114+Table23453[[#This Row],[AMOUNT]]-Table23453[[#This Row],[AMOUNT2]]-Table23453[[#This Row],[AMOUNT3]]</f>
        <v>6345</v>
      </c>
    </row>
    <row r="116" spans="1:10" ht="15.5" x14ac:dyDescent="0.35">
      <c r="A116" s="29" t="s">
        <v>662</v>
      </c>
      <c r="B116" s="19"/>
      <c r="C116" s="20"/>
      <c r="D116" s="8" t="s">
        <v>102</v>
      </c>
      <c r="E116" s="8" t="s">
        <v>0</v>
      </c>
      <c r="F116" s="9" t="s">
        <v>594</v>
      </c>
      <c r="G116" s="13">
        <v>100</v>
      </c>
      <c r="H116" s="20"/>
      <c r="I116" s="20"/>
      <c r="J116" s="8">
        <f>J115+Table23453[[#This Row],[AMOUNT]]-Table23453[[#This Row],[AMOUNT2]]-Table23453[[#This Row],[AMOUNT3]]</f>
        <v>6245</v>
      </c>
    </row>
    <row r="117" spans="1:10" ht="15.5" x14ac:dyDescent="0.35">
      <c r="A117" s="29" t="s">
        <v>674</v>
      </c>
      <c r="B117" s="19"/>
      <c r="C117" s="20"/>
      <c r="D117" s="8" t="s">
        <v>102</v>
      </c>
      <c r="E117" s="8" t="s">
        <v>0</v>
      </c>
      <c r="F117" s="9" t="s">
        <v>594</v>
      </c>
      <c r="G117" s="13">
        <v>100</v>
      </c>
      <c r="H117" s="20"/>
      <c r="I117" s="20"/>
      <c r="J117" s="8">
        <f>J116+Table23453[[#This Row],[AMOUNT]]-Table23453[[#This Row],[AMOUNT2]]-Table23453[[#This Row],[AMOUNT3]]</f>
        <v>6145</v>
      </c>
    </row>
    <row r="118" spans="1:10" ht="15.5" x14ac:dyDescent="0.35">
      <c r="A118" s="29">
        <v>46204</v>
      </c>
      <c r="B118" s="19"/>
      <c r="C118" s="20"/>
      <c r="D118" s="8" t="s">
        <v>102</v>
      </c>
      <c r="E118" s="8" t="s">
        <v>0</v>
      </c>
      <c r="F118" s="9" t="s">
        <v>594</v>
      </c>
      <c r="G118" s="13">
        <v>100</v>
      </c>
      <c r="H118" s="20"/>
      <c r="I118" s="20"/>
      <c r="J118" s="8">
        <f>J117+Table23453[[#This Row],[AMOUNT]]-Table23453[[#This Row],[AMOUNT2]]-Table23453[[#This Row],[AMOUNT3]]</f>
        <v>6045</v>
      </c>
    </row>
    <row r="119" spans="1:10" ht="15.5" x14ac:dyDescent="0.35">
      <c r="A119" s="29">
        <v>46206</v>
      </c>
      <c r="B119" s="19"/>
      <c r="C119" s="20"/>
      <c r="D119" s="8" t="s">
        <v>102</v>
      </c>
      <c r="E119" s="8" t="s">
        <v>0</v>
      </c>
      <c r="F119" s="9" t="s">
        <v>594</v>
      </c>
      <c r="G119" s="13">
        <v>100</v>
      </c>
      <c r="H119" s="20"/>
      <c r="I119" s="20"/>
      <c r="J119" s="8">
        <f>J118+Table23453[[#This Row],[AMOUNT]]-Table23453[[#This Row],[AMOUNT2]]-Table23453[[#This Row],[AMOUNT3]]</f>
        <v>5945</v>
      </c>
    </row>
    <row r="120" spans="1:10" ht="15.5" x14ac:dyDescent="0.35">
      <c r="A120" s="29">
        <v>46207</v>
      </c>
      <c r="B120" s="19"/>
      <c r="C120" s="20"/>
      <c r="D120" s="8" t="s">
        <v>153</v>
      </c>
      <c r="E120" s="8" t="s">
        <v>0</v>
      </c>
      <c r="F120" s="9" t="s">
        <v>772</v>
      </c>
      <c r="G120" s="13">
        <v>100</v>
      </c>
      <c r="H120" s="20"/>
      <c r="I120" s="20"/>
      <c r="J120" s="8">
        <f>J119+Table23453[[#This Row],[AMOUNT]]-Table23453[[#This Row],[AMOUNT2]]-Table23453[[#This Row],[AMOUNT3]]</f>
        <v>5845</v>
      </c>
    </row>
    <row r="121" spans="1:10" ht="15.5" x14ac:dyDescent="0.35">
      <c r="A121" s="29">
        <v>46208</v>
      </c>
      <c r="B121" s="19"/>
      <c r="C121" s="20"/>
      <c r="D121" s="8" t="s">
        <v>153</v>
      </c>
      <c r="E121" s="8" t="s">
        <v>0</v>
      </c>
      <c r="F121" s="9" t="s">
        <v>772</v>
      </c>
      <c r="G121" s="13">
        <v>100</v>
      </c>
      <c r="H121" s="20"/>
      <c r="I121" s="20"/>
      <c r="J121" s="8">
        <f>J120+Table23453[[#This Row],[AMOUNT]]-Table23453[[#This Row],[AMOUNT2]]-Table23453[[#This Row],[AMOUNT3]]</f>
        <v>5745</v>
      </c>
    </row>
    <row r="122" spans="1:10" ht="15.5" x14ac:dyDescent="0.35">
      <c r="A122" s="29">
        <v>46208</v>
      </c>
      <c r="B122" s="19"/>
      <c r="C122" s="20"/>
      <c r="D122" s="8" t="s">
        <v>153</v>
      </c>
      <c r="E122" s="8" t="s">
        <v>749</v>
      </c>
      <c r="F122" s="9" t="s">
        <v>773</v>
      </c>
      <c r="G122" s="13">
        <v>200</v>
      </c>
      <c r="H122" s="20"/>
      <c r="I122" s="20"/>
      <c r="J122" s="8">
        <f>J121+Table23453[[#This Row],[AMOUNT]]-Table23453[[#This Row],[AMOUNT2]]-Table23453[[#This Row],[AMOUNT3]]</f>
        <v>5545</v>
      </c>
    </row>
    <row r="123" spans="1:10" ht="15.5" x14ac:dyDescent="0.35">
      <c r="A123" s="29">
        <v>46209</v>
      </c>
      <c r="B123" s="19"/>
      <c r="C123" s="20"/>
      <c r="D123" s="8" t="s">
        <v>153</v>
      </c>
      <c r="E123" s="8" t="s">
        <v>2</v>
      </c>
      <c r="F123" s="9" t="s">
        <v>653</v>
      </c>
      <c r="G123" s="13">
        <v>750</v>
      </c>
      <c r="H123" s="20"/>
      <c r="I123" s="20"/>
      <c r="J123" s="8">
        <f>J122+Table23453[[#This Row],[AMOUNT]]-Table23453[[#This Row],[AMOUNT2]]-Table23453[[#This Row],[AMOUNT3]]</f>
        <v>4795</v>
      </c>
    </row>
    <row r="124" spans="1:10" ht="15.5" x14ac:dyDescent="0.35">
      <c r="A124" s="29">
        <v>46209</v>
      </c>
      <c r="B124" s="19"/>
      <c r="C124" s="20"/>
      <c r="D124" s="8" t="s">
        <v>153</v>
      </c>
      <c r="E124" s="8" t="s">
        <v>0</v>
      </c>
      <c r="F124" s="9" t="s">
        <v>765</v>
      </c>
      <c r="G124" s="13">
        <v>100</v>
      </c>
      <c r="H124" s="20"/>
      <c r="I124" s="20"/>
      <c r="J124" s="8">
        <f>J123+Table23453[[#This Row],[AMOUNT]]-Table23453[[#This Row],[AMOUNT2]]-Table23453[[#This Row],[AMOUNT3]]</f>
        <v>4695</v>
      </c>
    </row>
    <row r="125" spans="1:10" ht="15.5" x14ac:dyDescent="0.35">
      <c r="A125" s="29">
        <v>46209</v>
      </c>
      <c r="B125" s="19"/>
      <c r="C125" s="20"/>
      <c r="D125" s="8" t="s">
        <v>153</v>
      </c>
      <c r="E125" s="8" t="s">
        <v>2</v>
      </c>
      <c r="F125" s="9" t="s">
        <v>766</v>
      </c>
      <c r="G125" s="13">
        <v>1500</v>
      </c>
      <c r="H125" s="20"/>
      <c r="I125" s="20"/>
      <c r="J125" s="8">
        <f>J124+Table23453[[#This Row],[AMOUNT]]-Table23453[[#This Row],[AMOUNT2]]-Table23453[[#This Row],[AMOUNT3]]</f>
        <v>3195</v>
      </c>
    </row>
    <row r="126" spans="1:10" ht="15.5" x14ac:dyDescent="0.35">
      <c r="A126" s="29">
        <v>46209</v>
      </c>
      <c r="B126" s="19"/>
      <c r="C126" s="20"/>
      <c r="D126" s="8" t="s">
        <v>153</v>
      </c>
      <c r="E126" s="8" t="s">
        <v>0</v>
      </c>
      <c r="F126" s="9" t="s">
        <v>767</v>
      </c>
      <c r="G126" s="13">
        <v>120</v>
      </c>
      <c r="H126" s="20"/>
      <c r="I126" s="20"/>
      <c r="J126" s="8">
        <f>J125+Table23453[[#This Row],[AMOUNT]]-Table23453[[#This Row],[AMOUNT2]]-Table23453[[#This Row],[AMOUNT3]]</f>
        <v>3075</v>
      </c>
    </row>
    <row r="127" spans="1:10" ht="15.5" x14ac:dyDescent="0.35">
      <c r="A127" s="29">
        <v>46209</v>
      </c>
      <c r="B127" s="19"/>
      <c r="C127" s="20"/>
      <c r="D127" s="8" t="s">
        <v>153</v>
      </c>
      <c r="E127" s="8" t="s">
        <v>0</v>
      </c>
      <c r="F127" s="9" t="s">
        <v>768</v>
      </c>
      <c r="G127" s="13">
        <v>60</v>
      </c>
      <c r="H127" s="20"/>
      <c r="I127" s="20"/>
      <c r="J127" s="8">
        <f>J126+Table23453[[#This Row],[AMOUNT]]-Table23453[[#This Row],[AMOUNT2]]-Table23453[[#This Row],[AMOUNT3]]</f>
        <v>3015</v>
      </c>
    </row>
    <row r="128" spans="1:10" ht="15.5" x14ac:dyDescent="0.35">
      <c r="A128" s="29">
        <v>46209</v>
      </c>
      <c r="B128" s="19"/>
      <c r="C128" s="20"/>
      <c r="D128" s="8" t="s">
        <v>153</v>
      </c>
      <c r="E128" s="8" t="s">
        <v>771</v>
      </c>
      <c r="F128" s="9" t="s">
        <v>769</v>
      </c>
      <c r="G128" s="13">
        <v>390</v>
      </c>
      <c r="H128" s="20"/>
      <c r="I128" s="20"/>
      <c r="J128" s="8">
        <f>J127+Table23453[[#This Row],[AMOUNT]]-Table23453[[#This Row],[AMOUNT2]]-Table23453[[#This Row],[AMOUNT3]]</f>
        <v>2625</v>
      </c>
    </row>
    <row r="129" spans="1:10" ht="15.5" x14ac:dyDescent="0.35">
      <c r="A129" s="29">
        <v>46209</v>
      </c>
      <c r="B129" s="19"/>
      <c r="C129" s="20"/>
      <c r="D129" s="8" t="s">
        <v>153</v>
      </c>
      <c r="E129" s="8" t="s">
        <v>771</v>
      </c>
      <c r="F129" s="9" t="s">
        <v>770</v>
      </c>
      <c r="G129" s="13">
        <v>450</v>
      </c>
      <c r="H129" s="20"/>
      <c r="I129" s="20"/>
      <c r="J129" s="8">
        <f>J128+Table23453[[#This Row],[AMOUNT]]-Table23453[[#This Row],[AMOUNT2]]-Table23453[[#This Row],[AMOUNT3]]</f>
        <v>2175</v>
      </c>
    </row>
    <row r="130" spans="1:10" ht="15.5" x14ac:dyDescent="0.35">
      <c r="A130" s="29" t="s">
        <v>791</v>
      </c>
      <c r="B130" s="19"/>
      <c r="C130" s="20"/>
      <c r="D130" s="8" t="s">
        <v>102</v>
      </c>
      <c r="E130" s="8" t="s">
        <v>0</v>
      </c>
      <c r="F130" s="9" t="s">
        <v>594</v>
      </c>
      <c r="G130" s="13">
        <v>100</v>
      </c>
      <c r="H130" s="20"/>
      <c r="I130" s="20"/>
      <c r="J130" s="8">
        <f>J129+Table23453[[#This Row],[AMOUNT]]-Table23453[[#This Row],[AMOUNT2]]-Table23453[[#This Row],[AMOUNT3]]</f>
        <v>2075</v>
      </c>
    </row>
    <row r="131" spans="1:10" ht="15.5" x14ac:dyDescent="0.35">
      <c r="A131" s="29" t="s">
        <v>795</v>
      </c>
      <c r="B131" s="19"/>
      <c r="C131" s="20"/>
      <c r="D131" s="8" t="s">
        <v>102</v>
      </c>
      <c r="E131" s="8" t="s">
        <v>0</v>
      </c>
      <c r="F131" s="9" t="s">
        <v>594</v>
      </c>
      <c r="G131" s="13">
        <v>100</v>
      </c>
      <c r="H131" s="20"/>
      <c r="I131" s="20"/>
      <c r="J131" s="8">
        <f>J130+Table23453[[#This Row],[AMOUNT]]-Table23453[[#This Row],[AMOUNT2]]-Table23453[[#This Row],[AMOUNT3]]</f>
        <v>1975</v>
      </c>
    </row>
    <row r="132" spans="1:10" ht="15.5" x14ac:dyDescent="0.35">
      <c r="A132" s="29" t="s">
        <v>798</v>
      </c>
      <c r="B132" s="19"/>
      <c r="C132" s="20"/>
      <c r="D132" s="8" t="s">
        <v>153</v>
      </c>
      <c r="E132" s="8" t="s">
        <v>0</v>
      </c>
      <c r="F132" s="9" t="s">
        <v>637</v>
      </c>
      <c r="G132" s="13">
        <v>230</v>
      </c>
      <c r="H132" s="20"/>
      <c r="I132" s="20"/>
      <c r="J132" s="8">
        <f>J131+Table23453[[#This Row],[AMOUNT]]-Table23453[[#This Row],[AMOUNT2]]-Table23453[[#This Row],[AMOUNT3]]</f>
        <v>1745</v>
      </c>
    </row>
    <row r="133" spans="1:10" ht="15.5" x14ac:dyDescent="0.35">
      <c r="A133" s="29" t="s">
        <v>802</v>
      </c>
      <c r="B133" s="19" t="s">
        <v>18</v>
      </c>
      <c r="C133" s="45">
        <v>5000</v>
      </c>
      <c r="D133" s="8" t="s">
        <v>102</v>
      </c>
      <c r="E133" s="8" t="s">
        <v>0</v>
      </c>
      <c r="F133" s="9" t="s">
        <v>803</v>
      </c>
      <c r="G133" s="13">
        <v>100</v>
      </c>
      <c r="H133" s="20"/>
      <c r="I133" s="20"/>
      <c r="J133" s="8">
        <f>J132+Table23453[[#This Row],[AMOUNT]]-Table23453[[#This Row],[AMOUNT2]]-Table23453[[#This Row],[AMOUNT3]]</f>
        <v>6645</v>
      </c>
    </row>
    <row r="134" spans="1:10" ht="15.5" x14ac:dyDescent="0.35">
      <c r="A134" s="29" t="s">
        <v>842</v>
      </c>
      <c r="B134" s="19"/>
      <c r="C134" s="20"/>
      <c r="D134" s="8" t="s">
        <v>102</v>
      </c>
      <c r="E134" s="8" t="s">
        <v>0</v>
      </c>
      <c r="F134" s="9" t="s">
        <v>803</v>
      </c>
      <c r="G134" s="13">
        <v>100</v>
      </c>
      <c r="H134" s="20"/>
      <c r="I134" s="20"/>
      <c r="J134" s="8">
        <f>J133+Table23453[[#This Row],[AMOUNT]]-Table23453[[#This Row],[AMOUNT2]]-Table23453[[#This Row],[AMOUNT3]]</f>
        <v>6545</v>
      </c>
    </row>
    <row r="135" spans="1:10" ht="15.5" x14ac:dyDescent="0.35">
      <c r="A135" s="29" t="s">
        <v>844</v>
      </c>
      <c r="B135" s="19"/>
      <c r="C135" s="20"/>
      <c r="D135" s="8" t="s">
        <v>153</v>
      </c>
      <c r="E135" s="8" t="s">
        <v>0</v>
      </c>
      <c r="F135" s="9" t="s">
        <v>637</v>
      </c>
      <c r="G135" s="13">
        <v>230</v>
      </c>
      <c r="H135" s="20"/>
      <c r="I135" s="20"/>
      <c r="J135" s="8">
        <f>J134+Table23453[[#This Row],[AMOUNT]]-Table23453[[#This Row],[AMOUNT2]]-Table23453[[#This Row],[AMOUNT3]]</f>
        <v>6315</v>
      </c>
    </row>
    <row r="136" spans="1:10" ht="15.5" x14ac:dyDescent="0.35">
      <c r="A136" s="29" t="s">
        <v>846</v>
      </c>
      <c r="B136" s="19"/>
      <c r="C136" s="20"/>
      <c r="D136" s="8" t="s">
        <v>102</v>
      </c>
      <c r="E136" s="8" t="s">
        <v>0</v>
      </c>
      <c r="F136" s="9" t="s">
        <v>803</v>
      </c>
      <c r="G136" s="13">
        <v>100</v>
      </c>
      <c r="H136" s="20"/>
      <c r="I136" s="20"/>
      <c r="J136" s="8">
        <f>J135+Table23453[[#This Row],[AMOUNT]]-Table23453[[#This Row],[AMOUNT2]]-Table23453[[#This Row],[AMOUNT3]]</f>
        <v>6215</v>
      </c>
    </row>
    <row r="137" spans="1:10" ht="15.5" x14ac:dyDescent="0.35">
      <c r="A137" s="29" t="s">
        <v>849</v>
      </c>
      <c r="B137" s="19"/>
      <c r="C137" s="20"/>
      <c r="D137" s="8" t="s">
        <v>102</v>
      </c>
      <c r="E137" s="8" t="s">
        <v>0</v>
      </c>
      <c r="F137" s="9" t="s">
        <v>594</v>
      </c>
      <c r="G137" s="13">
        <v>100</v>
      </c>
      <c r="H137" s="20"/>
      <c r="I137" s="20"/>
      <c r="J137" s="8">
        <f>J136+Table23453[[#This Row],[AMOUNT]]-Table23453[[#This Row],[AMOUNT2]]-Table23453[[#This Row],[AMOUNT3]]</f>
        <v>6115</v>
      </c>
    </row>
    <row r="138" spans="1:10" ht="15.5" x14ac:dyDescent="0.35">
      <c r="A138" s="29" t="s">
        <v>881</v>
      </c>
      <c r="B138" s="19"/>
      <c r="C138" s="20"/>
      <c r="D138" s="8" t="s">
        <v>102</v>
      </c>
      <c r="E138" s="8" t="s">
        <v>0</v>
      </c>
      <c r="F138" s="9" t="s">
        <v>803</v>
      </c>
      <c r="G138" s="13">
        <v>100</v>
      </c>
      <c r="H138" s="20"/>
      <c r="I138" s="20"/>
      <c r="J138" s="8">
        <f>J137+Table23453[[#This Row],[AMOUNT]]-Table23453[[#This Row],[AMOUNT2]]-Table23453[[#This Row],[AMOUNT3]]</f>
        <v>6015</v>
      </c>
    </row>
    <row r="139" spans="1:10" ht="15.5" x14ac:dyDescent="0.35">
      <c r="A139" s="29" t="s">
        <v>882</v>
      </c>
      <c r="B139" s="19" t="s">
        <v>18</v>
      </c>
      <c r="C139" s="45">
        <v>8650</v>
      </c>
      <c r="D139" s="8" t="s">
        <v>153</v>
      </c>
      <c r="E139" s="8" t="s">
        <v>0</v>
      </c>
      <c r="F139" s="9" t="s">
        <v>637</v>
      </c>
      <c r="G139" s="13">
        <v>230</v>
      </c>
      <c r="H139" s="20"/>
      <c r="I139" s="20"/>
      <c r="J139" s="8">
        <f>J138+Table23453[[#This Row],[AMOUNT]]-Table23453[[#This Row],[AMOUNT2]]-Table23453[[#This Row],[AMOUNT3]]</f>
        <v>14435</v>
      </c>
    </row>
    <row r="140" spans="1:10" ht="15.5" x14ac:dyDescent="0.35">
      <c r="A140" s="29" t="s">
        <v>882</v>
      </c>
      <c r="B140" s="19"/>
      <c r="C140" s="20"/>
      <c r="D140" s="8" t="s">
        <v>153</v>
      </c>
      <c r="E140" s="8" t="s">
        <v>16</v>
      </c>
      <c r="F140" s="9" t="s">
        <v>631</v>
      </c>
      <c r="G140" s="13">
        <v>1150</v>
      </c>
      <c r="H140" s="20"/>
      <c r="I140" s="20"/>
      <c r="J140" s="8">
        <f>J139+Table23453[[#This Row],[AMOUNT]]-Table23453[[#This Row],[AMOUNT2]]-Table23453[[#This Row],[AMOUNT3]]</f>
        <v>13285</v>
      </c>
    </row>
    <row r="141" spans="1:10" ht="15.5" x14ac:dyDescent="0.35">
      <c r="A141" s="29" t="s">
        <v>882</v>
      </c>
      <c r="B141" s="19"/>
      <c r="C141" s="20"/>
      <c r="D141" s="8" t="s">
        <v>153</v>
      </c>
      <c r="E141" s="8" t="s">
        <v>2</v>
      </c>
      <c r="F141" s="9" t="s">
        <v>251</v>
      </c>
      <c r="G141" s="13">
        <v>3200</v>
      </c>
      <c r="H141" s="20"/>
      <c r="I141" s="20"/>
      <c r="J141" s="8">
        <f>J140+Table23453[[#This Row],[AMOUNT]]-Table23453[[#This Row],[AMOUNT2]]-Table23453[[#This Row],[AMOUNT3]]</f>
        <v>10085</v>
      </c>
    </row>
    <row r="142" spans="1:10" ht="15.5" x14ac:dyDescent="0.35">
      <c r="A142" s="29" t="s">
        <v>882</v>
      </c>
      <c r="B142" s="19"/>
      <c r="C142" s="20"/>
      <c r="D142" s="8" t="s">
        <v>153</v>
      </c>
      <c r="E142" s="8" t="s">
        <v>2</v>
      </c>
      <c r="F142" s="9" t="s">
        <v>883</v>
      </c>
      <c r="G142" s="13">
        <v>1200</v>
      </c>
      <c r="H142" s="20"/>
      <c r="I142" s="20"/>
      <c r="J142" s="8">
        <f>J141+Table23453[[#This Row],[AMOUNT]]-Table23453[[#This Row],[AMOUNT2]]-Table23453[[#This Row],[AMOUNT3]]</f>
        <v>8885</v>
      </c>
    </row>
    <row r="143" spans="1:10" ht="15.5" x14ac:dyDescent="0.35">
      <c r="A143" s="29" t="s">
        <v>884</v>
      </c>
      <c r="B143" s="19"/>
      <c r="C143" s="20"/>
      <c r="D143" s="8" t="s">
        <v>102</v>
      </c>
      <c r="E143" s="8" t="s">
        <v>0</v>
      </c>
      <c r="F143" s="9" t="s">
        <v>594</v>
      </c>
      <c r="G143" s="13">
        <v>100</v>
      </c>
      <c r="H143" s="20"/>
      <c r="I143" s="20"/>
      <c r="J143" s="8">
        <f>J142+Table23453[[#This Row],[AMOUNT]]-Table23453[[#This Row],[AMOUNT2]]-Table23453[[#This Row],[AMOUNT3]]</f>
        <v>8785</v>
      </c>
    </row>
    <row r="144" spans="1:10" ht="15.5" x14ac:dyDescent="0.35">
      <c r="A144" s="29" t="s">
        <v>885</v>
      </c>
      <c r="B144" s="19"/>
      <c r="C144" s="20"/>
      <c r="D144" s="8" t="s">
        <v>153</v>
      </c>
      <c r="E144" s="8" t="s">
        <v>0</v>
      </c>
      <c r="F144" s="9" t="s">
        <v>637</v>
      </c>
      <c r="G144" s="13">
        <v>100</v>
      </c>
      <c r="H144" s="20"/>
      <c r="I144" s="20"/>
      <c r="J144" s="8">
        <f>J143+Table23453[[#This Row],[AMOUNT]]-Table23453[[#This Row],[AMOUNT2]]-Table23453[[#This Row],[AMOUNT3]]</f>
        <v>8685</v>
      </c>
    </row>
    <row r="145" spans="1:10" ht="15.5" x14ac:dyDescent="0.35">
      <c r="A145" s="29" t="s">
        <v>885</v>
      </c>
      <c r="B145" s="19"/>
      <c r="C145" s="20"/>
      <c r="D145" s="8" t="s">
        <v>33</v>
      </c>
      <c r="E145" s="8" t="s">
        <v>749</v>
      </c>
      <c r="F145" s="9" t="s">
        <v>886</v>
      </c>
      <c r="G145" s="13">
        <v>150</v>
      </c>
      <c r="H145" s="20"/>
      <c r="I145" s="20"/>
      <c r="J145" s="8">
        <f>J144+Table23453[[#This Row],[AMOUNT]]-Table23453[[#This Row],[AMOUNT2]]-Table23453[[#This Row],[AMOUNT3]]</f>
        <v>8535</v>
      </c>
    </row>
    <row r="146" spans="1:10" ht="15.5" x14ac:dyDescent="0.35">
      <c r="A146" s="29" t="s">
        <v>917</v>
      </c>
      <c r="B146" s="19"/>
      <c r="C146" s="20"/>
      <c r="D146" s="8" t="s">
        <v>153</v>
      </c>
      <c r="E146" s="8" t="s">
        <v>0</v>
      </c>
      <c r="F146" s="9" t="s">
        <v>537</v>
      </c>
      <c r="G146" s="13">
        <v>230</v>
      </c>
      <c r="H146" s="20"/>
      <c r="I146" s="20"/>
      <c r="J146" s="8">
        <f>J145+Table23453[[#This Row],[AMOUNT]]-Table23453[[#This Row],[AMOUNT2]]-Table23453[[#This Row],[AMOUNT3]]</f>
        <v>8305</v>
      </c>
    </row>
    <row r="147" spans="1:10" ht="15.5" x14ac:dyDescent="0.35">
      <c r="A147" s="29" t="s">
        <v>917</v>
      </c>
      <c r="B147" s="19"/>
      <c r="C147" s="20"/>
      <c r="D147" s="8" t="s">
        <v>153</v>
      </c>
      <c r="E147" s="8" t="s">
        <v>2</v>
      </c>
      <c r="F147" s="9" t="s">
        <v>285</v>
      </c>
      <c r="G147" s="13">
        <v>1600</v>
      </c>
      <c r="H147" s="20"/>
      <c r="I147" s="20"/>
      <c r="J147" s="8">
        <f>J146+Table23453[[#This Row],[AMOUNT]]-Table23453[[#This Row],[AMOUNT2]]-Table23453[[#This Row],[AMOUNT3]]</f>
        <v>6705</v>
      </c>
    </row>
    <row r="148" spans="1:10" ht="15.5" x14ac:dyDescent="0.35">
      <c r="A148" s="29" t="s">
        <v>920</v>
      </c>
      <c r="B148" s="19"/>
      <c r="C148" s="20"/>
      <c r="D148" s="8" t="s">
        <v>102</v>
      </c>
      <c r="E148" s="8" t="s">
        <v>0</v>
      </c>
      <c r="F148" s="9" t="s">
        <v>803</v>
      </c>
      <c r="G148" s="13">
        <v>100</v>
      </c>
      <c r="H148" s="20"/>
      <c r="I148" s="20"/>
      <c r="J148" s="8">
        <f>J147+Table23453[[#This Row],[AMOUNT]]-Table23453[[#This Row],[AMOUNT2]]-Table23453[[#This Row],[AMOUNT3]]</f>
        <v>6605</v>
      </c>
    </row>
    <row r="149" spans="1:10" ht="15.5" x14ac:dyDescent="0.35">
      <c r="A149" s="29" t="s">
        <v>921</v>
      </c>
      <c r="B149" s="19"/>
      <c r="C149" s="20"/>
      <c r="D149" s="8" t="s">
        <v>153</v>
      </c>
      <c r="E149" s="8" t="s">
        <v>0</v>
      </c>
      <c r="F149" s="9" t="s">
        <v>537</v>
      </c>
      <c r="G149" s="13">
        <v>230</v>
      </c>
      <c r="H149" s="20"/>
      <c r="I149" s="20"/>
      <c r="J149" s="8">
        <f>J148+Table23453[[#This Row],[AMOUNT]]-Table23453[[#This Row],[AMOUNT2]]-Table23453[[#This Row],[AMOUNT3]]</f>
        <v>6375</v>
      </c>
    </row>
    <row r="150" spans="1:10" ht="15.5" x14ac:dyDescent="0.35">
      <c r="A150" s="29" t="s">
        <v>941</v>
      </c>
      <c r="B150" s="19"/>
      <c r="C150" s="20"/>
      <c r="D150" s="8" t="s">
        <v>102</v>
      </c>
      <c r="E150" s="8" t="s">
        <v>0</v>
      </c>
      <c r="F150" s="9" t="s">
        <v>803</v>
      </c>
      <c r="G150" s="13">
        <v>100</v>
      </c>
      <c r="H150" s="20"/>
      <c r="I150" s="20"/>
      <c r="J150" s="8">
        <f>J149+Table23453[[#This Row],[AMOUNT]]-Table23453[[#This Row],[AMOUNT2]]-Table23453[[#This Row],[AMOUNT3]]</f>
        <v>6275</v>
      </c>
    </row>
    <row r="151" spans="1:10" ht="15.5" x14ac:dyDescent="0.35">
      <c r="A151" s="29" t="s">
        <v>943</v>
      </c>
      <c r="B151" s="19"/>
      <c r="C151" s="20"/>
      <c r="D151" s="8" t="s">
        <v>102</v>
      </c>
      <c r="E151" s="8" t="s">
        <v>0</v>
      </c>
      <c r="F151" s="9" t="s">
        <v>594</v>
      </c>
      <c r="G151" s="13">
        <v>100</v>
      </c>
      <c r="H151" s="20"/>
      <c r="I151" s="20"/>
      <c r="J151" s="8">
        <f>J150+Table23453[[#This Row],[AMOUNT]]-Table23453[[#This Row],[AMOUNT2]]-Table23453[[#This Row],[AMOUNT3]]</f>
        <v>6175</v>
      </c>
    </row>
    <row r="152" spans="1:10" ht="15.5" x14ac:dyDescent="0.35">
      <c r="A152" s="29" t="s">
        <v>944</v>
      </c>
      <c r="B152" s="19"/>
      <c r="C152" s="20"/>
      <c r="D152" s="8" t="s">
        <v>102</v>
      </c>
      <c r="E152" s="8" t="s">
        <v>0</v>
      </c>
      <c r="F152" s="9" t="s">
        <v>594</v>
      </c>
      <c r="G152" s="13">
        <v>100</v>
      </c>
      <c r="H152" s="20"/>
      <c r="I152" s="20"/>
      <c r="J152" s="8">
        <f>J151+Table23453[[#This Row],[AMOUNT]]-Table23453[[#This Row],[AMOUNT2]]-Table23453[[#This Row],[AMOUNT3]]</f>
        <v>6075</v>
      </c>
    </row>
    <row r="153" spans="1:10" ht="15.5" x14ac:dyDescent="0.35">
      <c r="A153" s="29" t="s">
        <v>948</v>
      </c>
      <c r="B153" s="19"/>
      <c r="C153" s="20"/>
      <c r="D153" s="8" t="s">
        <v>102</v>
      </c>
      <c r="E153" s="8" t="s">
        <v>0</v>
      </c>
      <c r="F153" s="9" t="s">
        <v>594</v>
      </c>
      <c r="G153" s="13">
        <v>100</v>
      </c>
      <c r="H153" s="20"/>
      <c r="I153" s="20"/>
      <c r="J153" s="8">
        <f>J152+Table23453[[#This Row],[AMOUNT]]-Table23453[[#This Row],[AMOUNT2]]-Table23453[[#This Row],[AMOUNT3]]</f>
        <v>5975</v>
      </c>
    </row>
    <row r="154" spans="1:10" ht="15.5" x14ac:dyDescent="0.35">
      <c r="A154" s="29" t="s">
        <v>949</v>
      </c>
      <c r="B154" s="19"/>
      <c r="C154" s="20"/>
      <c r="D154" s="8" t="s">
        <v>102</v>
      </c>
      <c r="E154" s="8" t="s">
        <v>0</v>
      </c>
      <c r="F154" s="9" t="s">
        <v>594</v>
      </c>
      <c r="G154" s="13">
        <v>100</v>
      </c>
      <c r="H154" s="20"/>
      <c r="I154" s="20"/>
      <c r="J154" s="8">
        <f>J153+Table23453[[#This Row],[AMOUNT]]-Table23453[[#This Row],[AMOUNT2]]-Table23453[[#This Row],[AMOUNT3]]</f>
        <v>5875</v>
      </c>
    </row>
    <row r="155" spans="1:10" ht="15.5" x14ac:dyDescent="0.35">
      <c r="A155" s="29" t="s">
        <v>949</v>
      </c>
      <c r="B155" s="19"/>
      <c r="C155" s="20"/>
      <c r="D155" s="8" t="s">
        <v>102</v>
      </c>
      <c r="E155" s="8" t="s">
        <v>672</v>
      </c>
      <c r="F155" s="9" t="s">
        <v>673</v>
      </c>
      <c r="G155" s="13">
        <v>170</v>
      </c>
      <c r="H155" s="20"/>
      <c r="I155" s="20"/>
      <c r="J155" s="8">
        <f>J154+Table23453[[#This Row],[AMOUNT]]-Table23453[[#This Row],[AMOUNT2]]-Table23453[[#This Row],[AMOUNT3]]</f>
        <v>5705</v>
      </c>
    </row>
    <row r="156" spans="1:10" ht="15.5" x14ac:dyDescent="0.35">
      <c r="A156" s="29" t="s">
        <v>968</v>
      </c>
      <c r="B156" s="19"/>
      <c r="C156" s="20"/>
      <c r="D156" s="8" t="s">
        <v>102</v>
      </c>
      <c r="E156" s="8" t="s">
        <v>0</v>
      </c>
      <c r="F156" s="9" t="s">
        <v>594</v>
      </c>
      <c r="G156" s="13">
        <v>100</v>
      </c>
      <c r="H156" s="20"/>
      <c r="I156" s="20"/>
      <c r="J156" s="8">
        <f>J155+Table23453[[#This Row],[AMOUNT]]-Table23453[[#This Row],[AMOUNT2]]-Table23453[[#This Row],[AMOUNT3]]</f>
        <v>5605</v>
      </c>
    </row>
    <row r="157" spans="1:10" ht="15.5" x14ac:dyDescent="0.35">
      <c r="A157" s="29" t="s">
        <v>968</v>
      </c>
      <c r="B157" s="19"/>
      <c r="C157" s="20"/>
      <c r="D157" s="8" t="s">
        <v>102</v>
      </c>
      <c r="E157" s="8" t="s">
        <v>988</v>
      </c>
      <c r="F157" s="9" t="s">
        <v>989</v>
      </c>
      <c r="G157" s="13">
        <v>1680</v>
      </c>
      <c r="H157" s="20"/>
      <c r="I157" s="20"/>
      <c r="J157" s="8">
        <f>J156+Table23453[[#This Row],[AMOUNT]]-Table23453[[#This Row],[AMOUNT2]]-Table23453[[#This Row],[AMOUNT3]]</f>
        <v>3925</v>
      </c>
    </row>
    <row r="158" spans="1:10" ht="15.5" x14ac:dyDescent="0.35">
      <c r="A158" s="29" t="s">
        <v>1035</v>
      </c>
      <c r="B158" s="19"/>
      <c r="C158" s="20"/>
      <c r="D158" s="8" t="s">
        <v>102</v>
      </c>
      <c r="E158" s="8" t="s">
        <v>0</v>
      </c>
      <c r="F158" s="9" t="s">
        <v>1036</v>
      </c>
      <c r="G158" s="13">
        <v>100</v>
      </c>
      <c r="H158" s="20"/>
      <c r="I158" s="20"/>
      <c r="J158" s="8">
        <f>J157+Table23453[[#This Row],[AMOUNT]]-Table23453[[#This Row],[AMOUNT2]]-Table23453[[#This Row],[AMOUNT3]]</f>
        <v>3825</v>
      </c>
    </row>
    <row r="159" spans="1:10" ht="15.5" x14ac:dyDescent="0.35">
      <c r="A159" s="29" t="s">
        <v>1017</v>
      </c>
      <c r="B159" s="19"/>
      <c r="C159" s="20"/>
      <c r="D159" s="8" t="s">
        <v>153</v>
      </c>
      <c r="E159" s="8" t="s">
        <v>0</v>
      </c>
      <c r="F159" s="9" t="s">
        <v>1037</v>
      </c>
      <c r="G159" s="13">
        <v>230</v>
      </c>
      <c r="H159" s="20"/>
      <c r="I159" s="20"/>
      <c r="J159" s="8">
        <f>J158+Table23453[[#This Row],[AMOUNT]]-Table23453[[#This Row],[AMOUNT2]]-Table23453[[#This Row],[AMOUNT3]]</f>
        <v>3595</v>
      </c>
    </row>
    <row r="160" spans="1:10" ht="15.5" x14ac:dyDescent="0.35">
      <c r="A160" s="29" t="s">
        <v>1020</v>
      </c>
      <c r="B160" s="19"/>
      <c r="C160" s="20"/>
      <c r="D160" s="8" t="s">
        <v>102</v>
      </c>
      <c r="E160" s="8" t="s">
        <v>0</v>
      </c>
      <c r="F160" s="9" t="s">
        <v>1036</v>
      </c>
      <c r="G160" s="13">
        <v>100</v>
      </c>
      <c r="H160" s="20"/>
      <c r="I160" s="20"/>
      <c r="J160" s="8">
        <f>J159+Table23453[[#This Row],[AMOUNT]]-Table23453[[#This Row],[AMOUNT2]]-Table23453[[#This Row],[AMOUNT3]]</f>
        <v>3495</v>
      </c>
    </row>
    <row r="161" spans="1:10" ht="15.5" x14ac:dyDescent="0.35">
      <c r="A161" s="29" t="s">
        <v>1020</v>
      </c>
      <c r="B161" s="19"/>
      <c r="C161" s="20"/>
      <c r="D161" s="8" t="s">
        <v>102</v>
      </c>
      <c r="E161" s="8" t="s">
        <v>988</v>
      </c>
      <c r="F161" s="9" t="s">
        <v>1038</v>
      </c>
      <c r="G161" s="13">
        <v>300</v>
      </c>
      <c r="H161" s="20"/>
      <c r="I161" s="20"/>
      <c r="J161" s="8">
        <f>J160+Table23453[[#This Row],[AMOUNT]]-Table23453[[#This Row],[AMOUNT2]]-Table23453[[#This Row],[AMOUNT3]]</f>
        <v>3195</v>
      </c>
    </row>
    <row r="162" spans="1:10" ht="15.5" x14ac:dyDescent="0.35">
      <c r="A162" s="29" t="s">
        <v>1020</v>
      </c>
      <c r="B162" s="19"/>
      <c r="C162" s="20"/>
      <c r="D162" s="8" t="s">
        <v>102</v>
      </c>
      <c r="E162" s="8" t="s">
        <v>988</v>
      </c>
      <c r="F162" s="9" t="s">
        <v>1039</v>
      </c>
      <c r="G162" s="13">
        <v>500</v>
      </c>
      <c r="H162" s="20"/>
      <c r="I162" s="20"/>
      <c r="J162" s="8">
        <f>J161+Table23453[[#This Row],[AMOUNT]]-Table23453[[#This Row],[AMOUNT2]]-Table23453[[#This Row],[AMOUNT3]]</f>
        <v>2695</v>
      </c>
    </row>
    <row r="163" spans="1:10" ht="15.5" x14ac:dyDescent="0.35">
      <c r="A163" s="29" t="s">
        <v>1040</v>
      </c>
      <c r="B163" s="19"/>
      <c r="C163" s="20"/>
      <c r="D163" s="8" t="s">
        <v>102</v>
      </c>
      <c r="E163" s="8" t="s">
        <v>0</v>
      </c>
      <c r="F163" s="9" t="s">
        <v>1036</v>
      </c>
      <c r="G163" s="13">
        <v>100</v>
      </c>
      <c r="H163" s="20"/>
      <c r="I163" s="20"/>
      <c r="J163" s="8">
        <f>J162+Table23453[[#This Row],[AMOUNT]]-Table23453[[#This Row],[AMOUNT2]]-Table23453[[#This Row],[AMOUNT3]]</f>
        <v>2595</v>
      </c>
    </row>
    <row r="164" spans="1:10" ht="15.5" x14ac:dyDescent="0.35">
      <c r="A164" s="29" t="s">
        <v>1025</v>
      </c>
      <c r="B164" s="19"/>
      <c r="C164" s="20"/>
      <c r="D164" s="8" t="s">
        <v>153</v>
      </c>
      <c r="E164" s="8" t="s">
        <v>0</v>
      </c>
      <c r="F164" s="9" t="s">
        <v>1037</v>
      </c>
      <c r="G164" s="13">
        <v>230</v>
      </c>
      <c r="H164" s="20"/>
      <c r="I164" s="20"/>
      <c r="J164" s="8">
        <f>J163+Table23453[[#This Row],[AMOUNT]]-Table23453[[#This Row],[AMOUNT2]]-Table23453[[#This Row],[AMOUNT3]]</f>
        <v>2365</v>
      </c>
    </row>
    <row r="165" spans="1:10" ht="15.5" x14ac:dyDescent="0.35">
      <c r="A165" s="29" t="s">
        <v>1030</v>
      </c>
      <c r="B165" s="19"/>
      <c r="C165" s="20"/>
      <c r="D165" s="8" t="s">
        <v>102</v>
      </c>
      <c r="E165" s="8" t="s">
        <v>0</v>
      </c>
      <c r="F165" s="9" t="s">
        <v>1036</v>
      </c>
      <c r="G165" s="13">
        <v>140</v>
      </c>
      <c r="H165" s="20"/>
      <c r="I165" s="20"/>
      <c r="J165" s="8">
        <f>J164+Table23453[[#This Row],[AMOUNT]]-Table23453[[#This Row],[AMOUNT2]]-Table23453[[#This Row],[AMOUNT3]]</f>
        <v>2225</v>
      </c>
    </row>
    <row r="166" spans="1:10" ht="15.5" x14ac:dyDescent="0.35">
      <c r="A166" s="29" t="s">
        <v>1030</v>
      </c>
      <c r="B166" s="19"/>
      <c r="C166" s="20"/>
      <c r="D166" s="8" t="s">
        <v>102</v>
      </c>
      <c r="E166" s="8" t="s">
        <v>988</v>
      </c>
      <c r="F166" s="9" t="s">
        <v>1041</v>
      </c>
      <c r="G166" s="13">
        <v>40</v>
      </c>
      <c r="H166" s="20"/>
      <c r="I166" s="20"/>
      <c r="J166" s="8">
        <f>J165+Table23453[[#This Row],[AMOUNT]]-Table23453[[#This Row],[AMOUNT2]]-Table23453[[#This Row],[AMOUNT3]]</f>
        <v>2185</v>
      </c>
    </row>
    <row r="167" spans="1:10" ht="15.5" x14ac:dyDescent="0.35">
      <c r="A167" s="29" t="s">
        <v>1042</v>
      </c>
      <c r="B167" s="19"/>
      <c r="C167" s="20"/>
      <c r="D167" s="8" t="s">
        <v>102</v>
      </c>
      <c r="E167" s="8" t="s">
        <v>0</v>
      </c>
      <c r="F167" s="9" t="s">
        <v>1036</v>
      </c>
      <c r="G167" s="13">
        <v>100</v>
      </c>
      <c r="H167" s="20"/>
      <c r="I167" s="20"/>
      <c r="J167" s="8">
        <f>J166+Table23453[[#This Row],[AMOUNT]]-Table23453[[#This Row],[AMOUNT2]]-Table23453[[#This Row],[AMOUNT3]]</f>
        <v>2085</v>
      </c>
    </row>
    <row r="168" spans="1:10" ht="15.5" x14ac:dyDescent="0.35">
      <c r="A168" s="29" t="s">
        <v>1042</v>
      </c>
      <c r="B168" s="19"/>
      <c r="C168" s="20"/>
      <c r="D168" s="8" t="s">
        <v>102</v>
      </c>
      <c r="E168" s="8" t="s">
        <v>988</v>
      </c>
      <c r="F168" s="9" t="s">
        <v>1043</v>
      </c>
      <c r="G168" s="13">
        <v>250</v>
      </c>
      <c r="H168" s="20"/>
      <c r="I168" s="20"/>
      <c r="J168" s="8">
        <f>J167+Table23453[[#This Row],[AMOUNT]]-Table23453[[#This Row],[AMOUNT2]]-Table23453[[#This Row],[AMOUNT3]]</f>
        <v>1835</v>
      </c>
    </row>
    <row r="169" spans="1:10" ht="15.5" x14ac:dyDescent="0.35">
      <c r="A169" s="29" t="s">
        <v>1042</v>
      </c>
      <c r="B169" s="19"/>
      <c r="C169" s="20"/>
      <c r="D169" s="8" t="s">
        <v>102</v>
      </c>
      <c r="E169" s="8" t="s">
        <v>0</v>
      </c>
      <c r="F169" s="9" t="s">
        <v>1045</v>
      </c>
      <c r="G169" s="13">
        <v>115</v>
      </c>
      <c r="H169" s="20"/>
      <c r="I169" s="20"/>
      <c r="J169" s="8">
        <f>J168+Table23453[[#This Row],[AMOUNT]]-Table23453[[#This Row],[AMOUNT2]]-Table23453[[#This Row],[AMOUNT3]]</f>
        <v>1720</v>
      </c>
    </row>
    <row r="170" spans="1:10" ht="15.5" x14ac:dyDescent="0.35">
      <c r="A170" s="29" t="s">
        <v>1052</v>
      </c>
      <c r="B170" s="19"/>
      <c r="C170" s="20"/>
      <c r="D170" s="8" t="s">
        <v>153</v>
      </c>
      <c r="E170" s="8" t="s">
        <v>0</v>
      </c>
      <c r="F170" s="9" t="s">
        <v>1044</v>
      </c>
      <c r="G170" s="13">
        <v>115</v>
      </c>
      <c r="H170" s="20"/>
      <c r="I170" s="20"/>
      <c r="J170" s="8">
        <f>J169+Table23453[[#This Row],[AMOUNT]]-Table23453[[#This Row],[AMOUNT2]]-Table23453[[#This Row],[AMOUNT3]]</f>
        <v>1605</v>
      </c>
    </row>
    <row r="171" spans="1:10" ht="15.5" x14ac:dyDescent="0.35">
      <c r="A171" s="29" t="s">
        <v>1052</v>
      </c>
      <c r="B171" s="19"/>
      <c r="C171" s="20"/>
      <c r="D171" s="8" t="s">
        <v>153</v>
      </c>
      <c r="E171" s="8" t="s">
        <v>988</v>
      </c>
      <c r="F171" s="9" t="s">
        <v>1046</v>
      </c>
      <c r="G171" s="13">
        <v>500</v>
      </c>
      <c r="H171" s="20"/>
      <c r="I171" s="20"/>
      <c r="J171" s="8">
        <f>J170+Table23453[[#This Row],[AMOUNT]]-Table23453[[#This Row],[AMOUNT2]]-Table23453[[#This Row],[AMOUNT3]]</f>
        <v>1105</v>
      </c>
    </row>
    <row r="172" spans="1:10" ht="15.5" x14ac:dyDescent="0.35">
      <c r="A172" s="29" t="s">
        <v>1082</v>
      </c>
      <c r="B172" s="19"/>
      <c r="C172" s="20"/>
      <c r="D172" s="8" t="s">
        <v>102</v>
      </c>
      <c r="E172" s="8" t="s">
        <v>0</v>
      </c>
      <c r="F172" s="9" t="s">
        <v>1036</v>
      </c>
      <c r="G172" s="13">
        <v>100</v>
      </c>
      <c r="H172" s="20"/>
      <c r="I172" s="20"/>
      <c r="J172" s="8">
        <f>J171+Table23453[[#This Row],[AMOUNT]]-Table23453[[#This Row],[AMOUNT2]]-Table23453[[#This Row],[AMOUNT3]]</f>
        <v>1005</v>
      </c>
    </row>
    <row r="173" spans="1:10" ht="15.5" x14ac:dyDescent="0.35">
      <c r="A173" s="29" t="s">
        <v>1082</v>
      </c>
      <c r="B173" s="19"/>
      <c r="C173" s="20"/>
      <c r="D173" s="8" t="s">
        <v>153</v>
      </c>
      <c r="E173" s="8" t="s">
        <v>988</v>
      </c>
      <c r="F173" s="9" t="s">
        <v>1103</v>
      </c>
      <c r="G173" s="13">
        <v>40</v>
      </c>
      <c r="H173" s="20"/>
      <c r="I173" s="20"/>
      <c r="J173" s="8">
        <f>J172+Table23453[[#This Row],[AMOUNT]]-Table23453[[#This Row],[AMOUNT2]]-Table23453[[#This Row],[AMOUNT3]]</f>
        <v>965</v>
      </c>
    </row>
    <row r="174" spans="1:10" ht="15.5" x14ac:dyDescent="0.35">
      <c r="A174" s="29" t="s">
        <v>1089</v>
      </c>
      <c r="B174" s="19"/>
      <c r="C174" s="20"/>
      <c r="D174" s="8" t="s">
        <v>102</v>
      </c>
      <c r="E174" s="8" t="s">
        <v>0</v>
      </c>
      <c r="F174" s="9" t="s">
        <v>1036</v>
      </c>
      <c r="G174" s="13">
        <v>100</v>
      </c>
      <c r="H174" s="20"/>
      <c r="I174" s="20"/>
      <c r="J174" s="8">
        <f>J173+Table23453[[#This Row],[AMOUNT]]-Table23453[[#This Row],[AMOUNT2]]-Table23453[[#This Row],[AMOUNT3]]</f>
        <v>865</v>
      </c>
    </row>
    <row r="175" spans="1:10" ht="15.5" x14ac:dyDescent="0.35">
      <c r="A175" s="29" t="s">
        <v>1090</v>
      </c>
      <c r="B175" s="19" t="s">
        <v>18</v>
      </c>
      <c r="C175" s="45">
        <v>1100</v>
      </c>
      <c r="D175" s="8"/>
      <c r="E175" s="8"/>
      <c r="F175" s="9"/>
      <c r="G175" s="13"/>
      <c r="H175" s="20"/>
      <c r="I175" s="20"/>
      <c r="J175" s="8">
        <f>J174+Table23453[[#This Row],[AMOUNT]]-Table23453[[#This Row],[AMOUNT2]]-Table23453[[#This Row],[AMOUNT3]]</f>
        <v>1965</v>
      </c>
    </row>
    <row r="176" spans="1:10" ht="15.5" x14ac:dyDescent="0.35">
      <c r="A176" s="29" t="s">
        <v>1090</v>
      </c>
      <c r="B176" s="19"/>
      <c r="C176" s="20"/>
      <c r="D176" s="8" t="s">
        <v>102</v>
      </c>
      <c r="E176" s="8" t="s">
        <v>0</v>
      </c>
      <c r="F176" s="9" t="s">
        <v>1036</v>
      </c>
      <c r="G176" s="13">
        <v>100</v>
      </c>
      <c r="H176" s="20"/>
      <c r="I176" s="20"/>
      <c r="J176" s="8">
        <f>J175+Table23453[[#This Row],[AMOUNT]]-Table23453[[#This Row],[AMOUNT2]]-Table23453[[#This Row],[AMOUNT3]]</f>
        <v>1865</v>
      </c>
    </row>
    <row r="177" spans="1:10" ht="15.5" x14ac:dyDescent="0.35">
      <c r="A177" s="29" t="s">
        <v>1092</v>
      </c>
      <c r="B177" s="19"/>
      <c r="C177" s="20"/>
      <c r="D177" s="8" t="s">
        <v>102</v>
      </c>
      <c r="E177" s="8" t="s">
        <v>0</v>
      </c>
      <c r="F177" s="9" t="s">
        <v>1036</v>
      </c>
      <c r="G177" s="13">
        <v>100</v>
      </c>
      <c r="H177" s="20"/>
      <c r="I177" s="20"/>
      <c r="J177" s="8">
        <f>J176+Table23453[[#This Row],[AMOUNT]]-Table23453[[#This Row],[AMOUNT2]]-Table23453[[#This Row],[AMOUNT3]]</f>
        <v>1765</v>
      </c>
    </row>
    <row r="178" spans="1:10" ht="15.5" x14ac:dyDescent="0.35">
      <c r="A178" s="29" t="s">
        <v>1093</v>
      </c>
      <c r="B178" s="19"/>
      <c r="C178" s="20"/>
      <c r="D178" s="8" t="s">
        <v>102</v>
      </c>
      <c r="E178" s="8" t="s">
        <v>0</v>
      </c>
      <c r="F178" s="9" t="s">
        <v>1036</v>
      </c>
      <c r="G178" s="13">
        <v>100</v>
      </c>
      <c r="H178" s="20"/>
      <c r="I178" s="20"/>
      <c r="J178" s="8">
        <f>J177+Table23453[[#This Row],[AMOUNT]]-Table23453[[#This Row],[AMOUNT2]]-Table23453[[#This Row],[AMOUNT3]]</f>
        <v>1665</v>
      </c>
    </row>
    <row r="179" spans="1:10" ht="15.5" x14ac:dyDescent="0.35">
      <c r="A179" s="29" t="s">
        <v>1104</v>
      </c>
      <c r="B179" s="19"/>
      <c r="C179" s="20"/>
      <c r="D179" s="8" t="s">
        <v>102</v>
      </c>
      <c r="E179" s="8" t="s">
        <v>0</v>
      </c>
      <c r="F179" s="9" t="s">
        <v>1036</v>
      </c>
      <c r="G179" s="13">
        <v>100</v>
      </c>
      <c r="H179" s="20"/>
      <c r="I179" s="20"/>
      <c r="J179" s="8">
        <f>J178+Table23453[[#This Row],[AMOUNT]]-Table23453[[#This Row],[AMOUNT2]]-Table23453[[#This Row],[AMOUNT3]]</f>
        <v>1565</v>
      </c>
    </row>
    <row r="180" spans="1:10" ht="15.5" x14ac:dyDescent="0.35">
      <c r="A180" s="29" t="s">
        <v>1122</v>
      </c>
      <c r="B180" s="19"/>
      <c r="C180" s="20"/>
      <c r="D180" s="8" t="s">
        <v>102</v>
      </c>
      <c r="E180" s="8" t="s">
        <v>0</v>
      </c>
      <c r="F180" s="9" t="s">
        <v>1036</v>
      </c>
      <c r="G180" s="13">
        <v>100</v>
      </c>
      <c r="H180" s="20"/>
      <c r="I180" s="20"/>
      <c r="J180" s="8">
        <f>J179+Table23453[[#This Row],[AMOUNT]]-Table23453[[#This Row],[AMOUNT2]]-Table23453[[#This Row],[AMOUNT3]]</f>
        <v>1465</v>
      </c>
    </row>
    <row r="181" spans="1:10" ht="15.5" x14ac:dyDescent="0.35">
      <c r="A181" s="29" t="s">
        <v>1122</v>
      </c>
      <c r="B181" s="19"/>
      <c r="C181" s="20"/>
      <c r="D181" s="8" t="s">
        <v>102</v>
      </c>
      <c r="E181" s="8" t="s">
        <v>771</v>
      </c>
      <c r="F181" s="9" t="s">
        <v>1163</v>
      </c>
      <c r="G181" s="13">
        <v>70</v>
      </c>
      <c r="H181" s="20"/>
      <c r="I181" s="20"/>
      <c r="J181" s="8">
        <f>J180+Table23453[[#This Row],[AMOUNT]]-Table23453[[#This Row],[AMOUNT2]]-Table23453[[#This Row],[AMOUNT3]]</f>
        <v>1395</v>
      </c>
    </row>
    <row r="182" spans="1:10" ht="15.5" x14ac:dyDescent="0.35">
      <c r="A182" s="29" t="s">
        <v>1165</v>
      </c>
      <c r="B182" s="19"/>
      <c r="C182" s="20"/>
      <c r="D182" s="8" t="s">
        <v>102</v>
      </c>
      <c r="E182" s="8" t="s">
        <v>988</v>
      </c>
      <c r="F182" s="9" t="s">
        <v>1164</v>
      </c>
      <c r="G182" s="13">
        <v>320</v>
      </c>
      <c r="H182" s="20"/>
      <c r="I182" s="20"/>
      <c r="J182" s="8">
        <f>J181+Table23453[[#This Row],[AMOUNT]]-Table23453[[#This Row],[AMOUNT2]]-Table23453[[#This Row],[AMOUNT3]]</f>
        <v>1075</v>
      </c>
    </row>
    <row r="183" spans="1:10" ht="15.5" x14ac:dyDescent="0.35">
      <c r="A183" s="29" t="s">
        <v>1165</v>
      </c>
      <c r="B183" s="19"/>
      <c r="C183" s="20"/>
      <c r="D183" s="8" t="s">
        <v>102</v>
      </c>
      <c r="E183" s="8" t="s">
        <v>0</v>
      </c>
      <c r="F183" s="9" t="s">
        <v>1036</v>
      </c>
      <c r="G183" s="13">
        <v>100</v>
      </c>
      <c r="H183" s="20"/>
      <c r="I183" s="20"/>
      <c r="J183" s="8">
        <f>J182+Table23453[[#This Row],[AMOUNT]]-Table23453[[#This Row],[AMOUNT2]]-Table23453[[#This Row],[AMOUNT3]]</f>
        <v>975</v>
      </c>
    </row>
    <row r="184" spans="1:10" ht="15.5" x14ac:dyDescent="0.35">
      <c r="A184" s="29" t="s">
        <v>1150</v>
      </c>
      <c r="B184" s="19"/>
      <c r="C184" s="20"/>
      <c r="D184" s="8" t="s">
        <v>102</v>
      </c>
      <c r="E184" s="8" t="s">
        <v>0</v>
      </c>
      <c r="F184" s="9" t="s">
        <v>1036</v>
      </c>
      <c r="G184" s="13">
        <v>100</v>
      </c>
      <c r="H184" s="20"/>
      <c r="I184" s="20"/>
      <c r="J184" s="8">
        <f>J183+Table23453[[#This Row],[AMOUNT]]-Table23453[[#This Row],[AMOUNT2]]-Table23453[[#This Row],[AMOUNT3]]</f>
        <v>875</v>
      </c>
    </row>
    <row r="185" spans="1:10" ht="15.5" x14ac:dyDescent="0.35">
      <c r="A185" s="29" t="s">
        <v>1153</v>
      </c>
      <c r="B185" s="19"/>
      <c r="C185" s="20"/>
      <c r="D185" s="8" t="s">
        <v>102</v>
      </c>
      <c r="E185" s="8" t="s">
        <v>0</v>
      </c>
      <c r="F185" s="9" t="s">
        <v>1036</v>
      </c>
      <c r="G185" s="13">
        <v>100</v>
      </c>
      <c r="H185" s="20"/>
      <c r="I185" s="20"/>
      <c r="J185" s="8">
        <f>J184+Table23453[[#This Row],[AMOUNT]]-Table23453[[#This Row],[AMOUNT2]]-Table23453[[#This Row],[AMOUNT3]]</f>
        <v>775</v>
      </c>
    </row>
    <row r="186" spans="1:10" ht="15.5" x14ac:dyDescent="0.35">
      <c r="A186" s="29" t="s">
        <v>1158</v>
      </c>
      <c r="B186" s="19"/>
      <c r="C186" s="20"/>
      <c r="D186" s="8" t="s">
        <v>102</v>
      </c>
      <c r="E186" s="8" t="s">
        <v>0</v>
      </c>
      <c r="F186" s="9" t="s">
        <v>1036</v>
      </c>
      <c r="G186" s="13">
        <v>100</v>
      </c>
      <c r="H186" s="20"/>
      <c r="I186" s="20"/>
      <c r="J186" s="8">
        <f>J185+Table23453[[#This Row],[AMOUNT]]-Table23453[[#This Row],[AMOUNT2]]-Table23453[[#This Row],[AMOUNT3]]</f>
        <v>675</v>
      </c>
    </row>
    <row r="187" spans="1:10" ht="15.5" x14ac:dyDescent="0.35">
      <c r="A187" s="29" t="s">
        <v>1160</v>
      </c>
      <c r="B187" s="19"/>
      <c r="C187" s="20"/>
      <c r="D187" s="8" t="s">
        <v>102</v>
      </c>
      <c r="E187" s="8" t="s">
        <v>0</v>
      </c>
      <c r="F187" s="9" t="s">
        <v>1036</v>
      </c>
      <c r="G187" s="13">
        <v>100</v>
      </c>
      <c r="H187" s="20"/>
      <c r="I187" s="20"/>
      <c r="J187" s="8">
        <f>J186+Table23453[[#This Row],[AMOUNT]]-Table23453[[#This Row],[AMOUNT2]]-Table23453[[#This Row],[AMOUNT3]]</f>
        <v>575</v>
      </c>
    </row>
    <row r="188" spans="1:10" ht="15.5" x14ac:dyDescent="0.35">
      <c r="A188" s="29" t="s">
        <v>1166</v>
      </c>
      <c r="B188" s="19"/>
      <c r="C188" s="20"/>
      <c r="D188" s="8" t="s">
        <v>102</v>
      </c>
      <c r="E188" s="8" t="s">
        <v>0</v>
      </c>
      <c r="F188" s="9" t="s">
        <v>1036</v>
      </c>
      <c r="G188" s="13">
        <v>100</v>
      </c>
      <c r="H188" s="20"/>
      <c r="I188" s="20"/>
      <c r="J188" s="8">
        <f>J187+Table23453[[#This Row],[AMOUNT]]-Table23453[[#This Row],[AMOUNT2]]-Table23453[[#This Row],[AMOUNT3]]</f>
        <v>475</v>
      </c>
    </row>
    <row r="189" spans="1:10" ht="15.5" x14ac:dyDescent="0.35">
      <c r="A189" s="29" t="s">
        <v>1167</v>
      </c>
      <c r="B189" s="19"/>
      <c r="C189" s="20"/>
      <c r="D189" s="8" t="s">
        <v>102</v>
      </c>
      <c r="E189" s="8" t="s">
        <v>0</v>
      </c>
      <c r="F189" s="9" t="s">
        <v>1036</v>
      </c>
      <c r="G189" s="13">
        <v>100</v>
      </c>
      <c r="H189" s="20"/>
      <c r="I189" s="20"/>
      <c r="J189" s="8">
        <f>J188+Table23453[[#This Row],[AMOUNT]]-Table23453[[#This Row],[AMOUNT2]]-Table23453[[#This Row],[AMOUNT3]]</f>
        <v>375</v>
      </c>
    </row>
    <row r="190" spans="1:10" ht="15.5" x14ac:dyDescent="0.35">
      <c r="A190" s="29" t="s">
        <v>1168</v>
      </c>
      <c r="B190" s="19"/>
      <c r="C190" s="20"/>
      <c r="D190" s="8" t="s">
        <v>102</v>
      </c>
      <c r="E190" s="8" t="s">
        <v>0</v>
      </c>
      <c r="F190" s="9" t="s">
        <v>1036</v>
      </c>
      <c r="G190" s="13">
        <v>100</v>
      </c>
      <c r="H190" s="20"/>
      <c r="I190" s="20"/>
      <c r="J190" s="8">
        <f>J189+Table23453[[#This Row],[AMOUNT]]-Table23453[[#This Row],[AMOUNT2]]-Table23453[[#This Row],[AMOUNT3]]</f>
        <v>275</v>
      </c>
    </row>
    <row r="191" spans="1:10" ht="15.5" x14ac:dyDescent="0.35">
      <c r="A191" s="29" t="s">
        <v>1168</v>
      </c>
      <c r="B191" s="19"/>
      <c r="C191" s="20"/>
      <c r="D191" s="8" t="s">
        <v>102</v>
      </c>
      <c r="E191" s="8" t="s">
        <v>988</v>
      </c>
      <c r="F191" s="9" t="s">
        <v>1169</v>
      </c>
      <c r="G191" s="13">
        <v>60</v>
      </c>
      <c r="H191" s="20"/>
      <c r="I191" s="20"/>
      <c r="J191" s="8">
        <f>J190+Table23453[[#This Row],[AMOUNT]]-Table23453[[#This Row],[AMOUNT2]]-Table23453[[#This Row],[AMOUNT3]]</f>
        <v>215</v>
      </c>
    </row>
    <row r="192" spans="1:10" ht="15.5" x14ac:dyDescent="0.35">
      <c r="A192" s="29" t="s">
        <v>1168</v>
      </c>
      <c r="B192" s="19"/>
      <c r="C192" s="20"/>
      <c r="D192" s="8" t="s">
        <v>102</v>
      </c>
      <c r="E192" s="8" t="s">
        <v>988</v>
      </c>
      <c r="F192" s="9" t="s">
        <v>1170</v>
      </c>
      <c r="G192" s="13">
        <v>18</v>
      </c>
      <c r="H192" s="20"/>
      <c r="I192" s="20"/>
      <c r="J192" s="8">
        <f>J191+Table23453[[#This Row],[AMOUNT]]-Table23453[[#This Row],[AMOUNT2]]-Table23453[[#This Row],[AMOUNT3]]</f>
        <v>197</v>
      </c>
    </row>
    <row r="193" spans="1:14" ht="15.5" x14ac:dyDescent="0.35">
      <c r="A193" s="29" t="s">
        <v>1168</v>
      </c>
      <c r="B193" s="19"/>
      <c r="C193" s="20"/>
      <c r="D193" s="8" t="s">
        <v>102</v>
      </c>
      <c r="E193" s="8" t="s">
        <v>988</v>
      </c>
      <c r="F193" s="9" t="s">
        <v>1174</v>
      </c>
      <c r="G193" s="13">
        <v>190</v>
      </c>
      <c r="H193" s="20"/>
      <c r="I193" s="20"/>
      <c r="J193" s="8">
        <f>J192+Table23453[[#This Row],[AMOUNT]]-Table23453[[#This Row],[AMOUNT2]]-Table23453[[#This Row],[AMOUNT3]]</f>
        <v>7</v>
      </c>
    </row>
    <row r="194" spans="1:14" ht="15.5" x14ac:dyDescent="0.35">
      <c r="A194" s="29" t="s">
        <v>1172</v>
      </c>
      <c r="B194" s="19"/>
      <c r="C194" s="20"/>
      <c r="D194" s="8" t="s">
        <v>102</v>
      </c>
      <c r="E194" s="8" t="s">
        <v>0</v>
      </c>
      <c r="F194" s="9" t="s">
        <v>1171</v>
      </c>
      <c r="G194" s="13">
        <v>100</v>
      </c>
      <c r="H194" s="20"/>
      <c r="I194" s="20"/>
      <c r="J194" s="8">
        <f>J193+Table23453[[#This Row],[AMOUNT]]-Table23453[[#This Row],[AMOUNT2]]-Table23453[[#This Row],[AMOUNT3]]</f>
        <v>-93</v>
      </c>
    </row>
    <row r="195" spans="1:14" ht="15.5" x14ac:dyDescent="0.35">
      <c r="A195" s="29" t="s">
        <v>1172</v>
      </c>
      <c r="B195" s="19" t="s">
        <v>18</v>
      </c>
      <c r="C195" s="20">
        <v>5000</v>
      </c>
      <c r="D195" s="8"/>
      <c r="E195" s="8"/>
      <c r="F195" s="9"/>
      <c r="G195" s="13"/>
      <c r="H195" s="20"/>
      <c r="I195" s="20"/>
      <c r="J195" s="8">
        <f>J194+Table23453[[#This Row],[AMOUNT]]-Table23453[[#This Row],[AMOUNT2]]-Table23453[[#This Row],[AMOUNT3]]</f>
        <v>4907</v>
      </c>
    </row>
    <row r="196" spans="1:14" ht="15.5" x14ac:dyDescent="0.35">
      <c r="A196" s="29" t="s">
        <v>1172</v>
      </c>
      <c r="B196" s="19"/>
      <c r="C196" s="20"/>
      <c r="D196" s="8" t="s">
        <v>102</v>
      </c>
      <c r="E196" s="8" t="s">
        <v>988</v>
      </c>
      <c r="F196" s="9" t="s">
        <v>1173</v>
      </c>
      <c r="G196" s="13">
        <v>100</v>
      </c>
      <c r="H196" s="20"/>
      <c r="I196" s="20"/>
      <c r="J196" s="8">
        <f>J195+Table23453[[#This Row],[AMOUNT]]-Table23453[[#This Row],[AMOUNT2]]-Table23453[[#This Row],[AMOUNT3]]</f>
        <v>4807</v>
      </c>
    </row>
    <row r="197" spans="1:14" ht="15.5" x14ac:dyDescent="0.35">
      <c r="A197" s="29" t="s">
        <v>1194</v>
      </c>
      <c r="B197" s="19"/>
      <c r="C197" s="20"/>
      <c r="D197" s="8" t="s">
        <v>102</v>
      </c>
      <c r="E197" s="8" t="s">
        <v>0</v>
      </c>
      <c r="F197" s="9" t="s">
        <v>1171</v>
      </c>
      <c r="G197" s="13">
        <v>100</v>
      </c>
      <c r="H197" s="20"/>
      <c r="I197" s="20"/>
      <c r="J197" s="8">
        <f>J196+Table23453[[#This Row],[AMOUNT]]-Table23453[[#This Row],[AMOUNT2]]-Table23453[[#This Row],[AMOUNT3]]</f>
        <v>4707</v>
      </c>
    </row>
    <row r="198" spans="1:14" ht="15.5" x14ac:dyDescent="0.35">
      <c r="A198" s="29" t="s">
        <v>1194</v>
      </c>
      <c r="B198" s="19"/>
      <c r="C198" s="20"/>
      <c r="D198" s="8" t="s">
        <v>1241</v>
      </c>
      <c r="E198" s="8" t="s">
        <v>0</v>
      </c>
      <c r="F198" s="9" t="s">
        <v>1200</v>
      </c>
      <c r="G198" s="13">
        <v>115</v>
      </c>
      <c r="H198" s="20"/>
      <c r="I198" s="20"/>
      <c r="J198" s="8">
        <f>J197+Table23453[[#This Row],[AMOUNT]]-Table23453[[#This Row],[AMOUNT2]]-Table23453[[#This Row],[AMOUNT3]]</f>
        <v>4592</v>
      </c>
    </row>
    <row r="199" spans="1:14" ht="15.5" x14ac:dyDescent="0.35">
      <c r="A199" s="29" t="s">
        <v>1196</v>
      </c>
      <c r="B199" s="19"/>
      <c r="C199" s="20"/>
      <c r="D199" s="8" t="s">
        <v>102</v>
      </c>
      <c r="E199" s="8" t="s">
        <v>0</v>
      </c>
      <c r="F199" s="9" t="s">
        <v>1171</v>
      </c>
      <c r="G199" s="13">
        <v>100</v>
      </c>
      <c r="H199" s="20"/>
      <c r="I199" s="20"/>
      <c r="J199" s="8">
        <f>J198+Table23453[[#This Row],[AMOUNT]]-Table23453[[#This Row],[AMOUNT2]]-Table23453[[#This Row],[AMOUNT3]]</f>
        <v>4492</v>
      </c>
    </row>
    <row r="200" spans="1:14" ht="15.5" x14ac:dyDescent="0.35">
      <c r="A200" s="29" t="s">
        <v>1201</v>
      </c>
      <c r="B200" s="19"/>
      <c r="C200" s="20"/>
      <c r="D200" s="8" t="s">
        <v>102</v>
      </c>
      <c r="E200" s="8" t="s">
        <v>0</v>
      </c>
      <c r="F200" s="9" t="s">
        <v>1171</v>
      </c>
      <c r="G200" s="13">
        <v>100</v>
      </c>
      <c r="H200" s="20"/>
      <c r="I200" s="20"/>
      <c r="J200" s="8">
        <f>J199+Table23453[[#This Row],[AMOUNT]]-Table23453[[#This Row],[AMOUNT2]]-Table23453[[#This Row],[AMOUNT3]]</f>
        <v>4392</v>
      </c>
      <c r="N200">
        <v>1180</v>
      </c>
    </row>
    <row r="201" spans="1:14" ht="15.5" x14ac:dyDescent="0.35">
      <c r="A201" s="29" t="s">
        <v>1202</v>
      </c>
      <c r="B201" s="19"/>
      <c r="C201" s="20"/>
      <c r="D201" s="8" t="s">
        <v>102</v>
      </c>
      <c r="E201" s="8" t="s">
        <v>0</v>
      </c>
      <c r="F201" s="9" t="s">
        <v>1171</v>
      </c>
      <c r="G201" s="13">
        <v>100</v>
      </c>
      <c r="H201" s="20"/>
      <c r="I201" s="20"/>
      <c r="J201" s="8">
        <f>J200+Table23453[[#This Row],[AMOUNT]]-Table23453[[#This Row],[AMOUNT2]]-Table23453[[#This Row],[AMOUNT3]]</f>
        <v>4292</v>
      </c>
      <c r="N201">
        <v>230</v>
      </c>
    </row>
    <row r="202" spans="1:14" ht="15.5" x14ac:dyDescent="0.35">
      <c r="A202" s="29" t="s">
        <v>1202</v>
      </c>
      <c r="B202" s="19"/>
      <c r="C202" s="20"/>
      <c r="D202" s="8" t="s">
        <v>102</v>
      </c>
      <c r="E202" s="8" t="s">
        <v>988</v>
      </c>
      <c r="F202" s="9" t="s">
        <v>1203</v>
      </c>
      <c r="G202" s="13">
        <v>1770</v>
      </c>
      <c r="H202" s="20"/>
      <c r="I202" s="20"/>
      <c r="J202" s="8">
        <f>J201+Table23453[[#This Row],[AMOUNT]]-Table23453[[#This Row],[AMOUNT2]]-Table23453[[#This Row],[AMOUNT3]]</f>
        <v>2522</v>
      </c>
      <c r="N202">
        <v>360</v>
      </c>
    </row>
    <row r="203" spans="1:14" ht="15.5" x14ac:dyDescent="0.35">
      <c r="A203" s="29" t="s">
        <v>1202</v>
      </c>
      <c r="B203" s="19"/>
      <c r="C203" s="20"/>
      <c r="D203" s="8" t="s">
        <v>102</v>
      </c>
      <c r="E203" s="8" t="s">
        <v>988</v>
      </c>
      <c r="F203" s="9" t="s">
        <v>1233</v>
      </c>
      <c r="G203" s="13">
        <v>630</v>
      </c>
      <c r="H203" s="20"/>
      <c r="I203" s="20"/>
      <c r="J203" s="8">
        <f>J202+Table23453[[#This Row],[AMOUNT]]-Table23453[[#This Row],[AMOUNT2]]-Table23453[[#This Row],[AMOUNT3]]</f>
        <v>1892</v>
      </c>
      <c r="N203">
        <v>630</v>
      </c>
    </row>
    <row r="204" spans="1:14" ht="15.5" x14ac:dyDescent="0.35">
      <c r="A204" s="29" t="s">
        <v>1242</v>
      </c>
      <c r="B204" s="19"/>
      <c r="C204" s="20"/>
      <c r="D204" s="8" t="s">
        <v>102</v>
      </c>
      <c r="E204" s="8" t="s">
        <v>0</v>
      </c>
      <c r="F204" s="9" t="s">
        <v>1284</v>
      </c>
      <c r="G204" s="13">
        <v>100</v>
      </c>
      <c r="H204" s="20"/>
      <c r="I204" s="20"/>
      <c r="J204" s="8">
        <f>J203+Table23453[[#This Row],[AMOUNT]]-Table23453[[#This Row],[AMOUNT2]]-Table23453[[#This Row],[AMOUNT3]]</f>
        <v>1792</v>
      </c>
    </row>
    <row r="205" spans="1:14" ht="15.5" x14ac:dyDescent="0.35">
      <c r="A205" s="29" t="s">
        <v>1245</v>
      </c>
      <c r="B205" s="19"/>
      <c r="C205" s="20"/>
      <c r="D205" s="8" t="s">
        <v>102</v>
      </c>
      <c r="E205" s="8" t="s">
        <v>0</v>
      </c>
      <c r="F205" s="9" t="s">
        <v>1284</v>
      </c>
      <c r="G205" s="13">
        <v>100</v>
      </c>
      <c r="H205" s="20"/>
      <c r="I205" s="20"/>
      <c r="J205" s="8">
        <f>J204+Table23453[[#This Row],[AMOUNT]]-Table23453[[#This Row],[AMOUNT2]]-Table23453[[#This Row],[AMOUNT3]]</f>
        <v>1692</v>
      </c>
    </row>
    <row r="206" spans="1:14" ht="15.5" x14ac:dyDescent="0.35">
      <c r="A206" s="29" t="s">
        <v>1282</v>
      </c>
      <c r="B206" s="19"/>
      <c r="C206" s="20"/>
      <c r="D206" s="8" t="s">
        <v>102</v>
      </c>
      <c r="E206" s="8" t="s">
        <v>0</v>
      </c>
      <c r="F206" s="9" t="s">
        <v>1284</v>
      </c>
      <c r="G206" s="13">
        <v>80</v>
      </c>
      <c r="H206" s="20"/>
      <c r="I206" s="20"/>
      <c r="J206" s="8">
        <f>J205+Table23453[[#This Row],[AMOUNT]]-Table23453[[#This Row],[AMOUNT2]]-Table23453[[#This Row],[AMOUNT3]]</f>
        <v>1612</v>
      </c>
    </row>
    <row r="207" spans="1:14" ht="15.5" x14ac:dyDescent="0.35">
      <c r="A207" s="29" t="s">
        <v>1285</v>
      </c>
      <c r="B207" s="19"/>
      <c r="C207" s="20"/>
      <c r="D207" s="8" t="s">
        <v>102</v>
      </c>
      <c r="E207" s="8" t="s">
        <v>0</v>
      </c>
      <c r="F207" s="9" t="s">
        <v>1284</v>
      </c>
      <c r="G207" s="13">
        <v>80</v>
      </c>
      <c r="H207" s="20"/>
      <c r="I207" s="20"/>
      <c r="J207" s="8">
        <f>J206+Table23453[[#This Row],[AMOUNT]]-Table23453[[#This Row],[AMOUNT2]]-Table23453[[#This Row],[AMOUNT3]]</f>
        <v>1532</v>
      </c>
    </row>
    <row r="208" spans="1:14" ht="15.5" x14ac:dyDescent="0.35">
      <c r="A208" s="29" t="s">
        <v>1286</v>
      </c>
      <c r="B208" s="19"/>
      <c r="C208" s="20"/>
      <c r="D208" s="8" t="s">
        <v>102</v>
      </c>
      <c r="E208" s="8" t="s">
        <v>0</v>
      </c>
      <c r="F208" s="9" t="s">
        <v>1284</v>
      </c>
      <c r="G208" s="13">
        <v>80</v>
      </c>
      <c r="H208" s="20"/>
      <c r="I208" s="20"/>
      <c r="J208" s="8">
        <f>J207+Table23453[[#This Row],[AMOUNT]]-Table23453[[#This Row],[AMOUNT2]]-Table23453[[#This Row],[AMOUNT3]]</f>
        <v>1452</v>
      </c>
    </row>
    <row r="209" spans="1:10" ht="15.5" x14ac:dyDescent="0.35">
      <c r="A209" s="29"/>
      <c r="B209" s="19"/>
      <c r="C209" s="20"/>
      <c r="D209" s="8"/>
      <c r="E209" s="8"/>
      <c r="F209" s="9"/>
      <c r="G209" s="13"/>
      <c r="H209" s="20"/>
      <c r="I209" s="20"/>
      <c r="J209" s="8">
        <f>J208+Table23453[[#This Row],[AMOUNT]]-Table23453[[#This Row],[AMOUNT2]]-Table23453[[#This Row],[AMOUNT3]]</f>
        <v>1452</v>
      </c>
    </row>
    <row r="210" spans="1:10" ht="15.5" x14ac:dyDescent="0.35">
      <c r="A210" s="29"/>
      <c r="B210" s="19"/>
      <c r="C210" s="20"/>
      <c r="D210" s="8"/>
      <c r="E210" s="8"/>
      <c r="F210" s="9"/>
      <c r="G210" s="13"/>
      <c r="H210" s="20"/>
      <c r="I210" s="20"/>
      <c r="J210" s="8">
        <f>J209+Table23453[[#This Row],[AMOUNT]]-Table23453[[#This Row],[AMOUNT2]]-Table23453[[#This Row],[AMOUNT3]]</f>
        <v>1452</v>
      </c>
    </row>
    <row r="211" spans="1:10" ht="15.5" x14ac:dyDescent="0.35">
      <c r="A211" s="29"/>
      <c r="B211" s="19"/>
      <c r="C211" s="20"/>
      <c r="D211" s="8"/>
      <c r="E211" s="8"/>
      <c r="F211" s="9"/>
      <c r="G211" s="13"/>
      <c r="H211" s="20"/>
      <c r="I211" s="20"/>
      <c r="J211" s="8">
        <f>J210+Table23453[[#This Row],[AMOUNT]]-Table23453[[#This Row],[AMOUNT2]]-Table23453[[#This Row],[AMOUNT3]]</f>
        <v>1452</v>
      </c>
    </row>
    <row r="212" spans="1:10" ht="15.5" x14ac:dyDescent="0.35">
      <c r="A212" s="29"/>
      <c r="B212" s="19"/>
      <c r="C212" s="20"/>
      <c r="D212" s="8"/>
      <c r="E212" s="8"/>
      <c r="F212" s="9"/>
      <c r="G212" s="13"/>
      <c r="H212" s="20"/>
      <c r="I212" s="20"/>
      <c r="J212" s="8">
        <f>J211+Table23453[[#This Row],[AMOUNT]]-Table23453[[#This Row],[AMOUNT2]]-Table23453[[#This Row],[AMOUNT3]]</f>
        <v>1452</v>
      </c>
    </row>
    <row r="213" spans="1:10" ht="15.5" x14ac:dyDescent="0.35">
      <c r="A213" s="29"/>
      <c r="B213" s="19"/>
      <c r="C213" s="20"/>
      <c r="D213" s="8"/>
      <c r="E213" s="8"/>
      <c r="F213" s="9"/>
      <c r="G213" s="13"/>
      <c r="H213" s="20"/>
      <c r="I213" s="20"/>
      <c r="J213" s="8">
        <f>J212+Table23453[[#This Row],[AMOUNT]]-Table23453[[#This Row],[AMOUNT2]]-Table23453[[#This Row],[AMOUNT3]]</f>
        <v>1452</v>
      </c>
    </row>
    <row r="214" spans="1:10" ht="15.5" x14ac:dyDescent="0.35">
      <c r="A214" s="29"/>
      <c r="B214" s="19"/>
      <c r="C214" s="20"/>
      <c r="D214" s="8"/>
      <c r="E214" s="8"/>
      <c r="F214" s="9"/>
      <c r="G214" s="13"/>
      <c r="H214" s="20"/>
      <c r="I214" s="20"/>
      <c r="J214" s="8">
        <f>J213+Table23453[[#This Row],[AMOUNT]]-Table23453[[#This Row],[AMOUNT2]]-Table23453[[#This Row],[AMOUNT3]]</f>
        <v>1452</v>
      </c>
    </row>
    <row r="215" spans="1:10" ht="15.5" x14ac:dyDescent="0.35">
      <c r="A215" s="29"/>
      <c r="B215" s="19"/>
      <c r="C215" s="20"/>
      <c r="D215" s="8"/>
      <c r="E215" s="8"/>
      <c r="F215" s="9"/>
      <c r="G215" s="13"/>
      <c r="H215" s="20"/>
      <c r="I215" s="20"/>
      <c r="J215" s="8">
        <f>J214+Table23453[[#This Row],[AMOUNT]]-Table23453[[#This Row],[AMOUNT2]]-Table23453[[#This Row],[AMOUNT3]]</f>
        <v>1452</v>
      </c>
    </row>
    <row r="216" spans="1:10" ht="15.5" x14ac:dyDescent="0.35">
      <c r="A216" s="29"/>
      <c r="B216" s="19"/>
      <c r="C216" s="20"/>
      <c r="D216" s="8"/>
      <c r="E216" s="8"/>
      <c r="F216" s="9"/>
      <c r="G216" s="13"/>
      <c r="H216" s="20"/>
      <c r="I216" s="20"/>
      <c r="J216" s="8">
        <f>J215+Table23453[[#This Row],[AMOUNT]]-Table23453[[#This Row],[AMOUNT2]]-Table23453[[#This Row],[AMOUNT3]]</f>
        <v>1452</v>
      </c>
    </row>
    <row r="217" spans="1:10" x14ac:dyDescent="0.35">
      <c r="A217" s="160" t="s">
        <v>15</v>
      </c>
      <c r="B217" s="161"/>
      <c r="C217" s="3">
        <f>SUM(C5:C216)</f>
        <v>50250</v>
      </c>
      <c r="D217" s="3"/>
      <c r="E217" s="3"/>
      <c r="F217" s="3"/>
      <c r="G217" s="3">
        <f>SUM(G5:G216)</f>
        <v>50589</v>
      </c>
      <c r="H217" s="3"/>
      <c r="I217" s="3">
        <f>SUM(I5:I216)</f>
        <v>0</v>
      </c>
      <c r="J217" s="3"/>
    </row>
  </sheetData>
  <mergeCells count="4">
    <mergeCell ref="A1:J2"/>
    <mergeCell ref="A3:C3"/>
    <mergeCell ref="G3:I3"/>
    <mergeCell ref="A217:B21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4"/>
  <sheetViews>
    <sheetView zoomScaleNormal="100" workbookViewId="0">
      <pane ySplit="4" topLeftCell="A220" activePane="bottomLeft" state="frozen"/>
      <selection pane="bottomLeft" activeCell="H231" sqref="H231"/>
    </sheetView>
  </sheetViews>
  <sheetFormatPr defaultRowHeight="15.5" x14ac:dyDescent="0.35"/>
  <cols>
    <col min="1" max="1" width="12.36328125" style="14" bestFit="1" customWidth="1"/>
    <col min="2" max="2" width="14" style="15" customWidth="1"/>
    <col min="3" max="3" width="9" style="15" customWidth="1"/>
    <col min="4" max="4" width="12.08984375" style="14" customWidth="1"/>
    <col min="5" max="5" width="20.36328125" style="14" bestFit="1" customWidth="1"/>
    <col min="6" max="6" width="16.6328125" style="14" customWidth="1"/>
    <col min="7" max="7" width="12.08984375" style="14" customWidth="1"/>
    <col min="8" max="8" width="19" style="14" bestFit="1" customWidth="1"/>
    <col min="9" max="9" width="10.36328125" style="14" customWidth="1"/>
    <col min="10" max="10" width="12.36328125" style="14" customWidth="1"/>
    <col min="11" max="11" width="31.54296875" bestFit="1" customWidth="1"/>
  </cols>
  <sheetData>
    <row r="1" spans="1:12" ht="14.5" x14ac:dyDescent="0.35">
      <c r="A1" s="139" t="s">
        <v>53</v>
      </c>
      <c r="B1" s="140"/>
      <c r="C1" s="140"/>
      <c r="D1" s="140"/>
      <c r="E1" s="140"/>
      <c r="F1" s="140"/>
      <c r="G1" s="140"/>
      <c r="H1" s="140"/>
      <c r="I1" s="140"/>
      <c r="J1" s="141"/>
    </row>
    <row r="2" spans="1:12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4"/>
    </row>
    <row r="3" spans="1:12" ht="25.5" customHeight="1" x14ac:dyDescent="0.35">
      <c r="A3" s="145" t="s">
        <v>3</v>
      </c>
      <c r="B3" s="146"/>
      <c r="C3" s="147"/>
      <c r="D3" s="4">
        <v>0</v>
      </c>
      <c r="E3" s="4"/>
      <c r="F3" s="4"/>
      <c r="G3" s="145" t="s">
        <v>4</v>
      </c>
      <c r="H3" s="146"/>
      <c r="I3" s="147"/>
      <c r="J3" s="4"/>
    </row>
    <row r="4" spans="1:12" x14ac:dyDescent="0.35">
      <c r="A4" s="5" t="s">
        <v>5</v>
      </c>
      <c r="B4" s="6" t="s">
        <v>6</v>
      </c>
      <c r="C4" s="6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80" t="s">
        <v>554</v>
      </c>
    </row>
    <row r="5" spans="1:12" x14ac:dyDescent="0.35">
      <c r="A5" s="29"/>
      <c r="B5" s="8"/>
      <c r="C5" s="8"/>
      <c r="D5" s="8"/>
      <c r="E5" s="8"/>
      <c r="F5" s="9"/>
      <c r="G5" s="13"/>
      <c r="H5" s="8"/>
      <c r="I5" s="8"/>
      <c r="J5" s="9">
        <v>0</v>
      </c>
      <c r="K5" s="79"/>
    </row>
    <row r="6" spans="1:12" x14ac:dyDescent="0.35">
      <c r="A6" s="29">
        <v>46125</v>
      </c>
      <c r="B6" s="8" t="s">
        <v>18</v>
      </c>
      <c r="C6" s="23">
        <v>2500</v>
      </c>
      <c r="D6" s="9" t="s">
        <v>153</v>
      </c>
      <c r="E6" s="8" t="s">
        <v>1</v>
      </c>
      <c r="F6" s="9" t="s">
        <v>1</v>
      </c>
      <c r="G6" s="13">
        <v>200</v>
      </c>
      <c r="H6" s="8"/>
      <c r="I6" s="8"/>
      <c r="J6" s="9">
        <f>+J5+Table23453591011[[#This Row],[AMOUNT]]-Table23453591011[[#This Row],[AMOUNT2]]-Table23453591011[[#This Row],[AMOUNT3]]</f>
        <v>2300</v>
      </c>
      <c r="K6" s="79"/>
    </row>
    <row r="7" spans="1:12" x14ac:dyDescent="0.35">
      <c r="A7" s="29">
        <v>46126</v>
      </c>
      <c r="B7" s="8"/>
      <c r="C7" s="23"/>
      <c r="D7" s="9" t="s">
        <v>153</v>
      </c>
      <c r="E7" s="8" t="s">
        <v>1</v>
      </c>
      <c r="F7" s="9" t="s">
        <v>1</v>
      </c>
      <c r="G7" s="13">
        <v>300</v>
      </c>
      <c r="H7" s="8"/>
      <c r="I7" s="8"/>
      <c r="J7" s="9">
        <f>+J6+Table23453591011[[#This Row],[AMOUNT]]-Table23453591011[[#This Row],[AMOUNT2]]-Table23453591011[[#This Row],[AMOUNT3]]</f>
        <v>2000</v>
      </c>
      <c r="K7" s="79"/>
    </row>
    <row r="8" spans="1:12" x14ac:dyDescent="0.35">
      <c r="A8" s="29">
        <v>46126</v>
      </c>
      <c r="B8" s="8"/>
      <c r="C8" s="23"/>
      <c r="D8" s="9" t="s">
        <v>153</v>
      </c>
      <c r="E8" s="8" t="s">
        <v>17</v>
      </c>
      <c r="F8" s="9" t="s">
        <v>113</v>
      </c>
      <c r="G8" s="13">
        <v>40</v>
      </c>
      <c r="H8" s="8"/>
      <c r="I8" s="8"/>
      <c r="J8" s="9">
        <f>+J7+Table23453591011[[#This Row],[AMOUNT]]-Table23453591011[[#This Row],[AMOUNT2]]-Table23453591011[[#This Row],[AMOUNT3]]</f>
        <v>1960</v>
      </c>
      <c r="K8" s="79"/>
    </row>
    <row r="9" spans="1:12" x14ac:dyDescent="0.35">
      <c r="A9" s="29">
        <v>46127</v>
      </c>
      <c r="B9" s="8"/>
      <c r="C9" s="23"/>
      <c r="D9" s="9" t="s">
        <v>153</v>
      </c>
      <c r="E9" s="8" t="s">
        <v>1</v>
      </c>
      <c r="F9" s="9" t="s">
        <v>1</v>
      </c>
      <c r="G9" s="13">
        <v>400</v>
      </c>
      <c r="H9" s="8"/>
      <c r="I9" s="8"/>
      <c r="J9" s="9">
        <f>+J8+Table23453591011[[#This Row],[AMOUNT]]-Table23453591011[[#This Row],[AMOUNT2]]-Table23453591011[[#This Row],[AMOUNT3]]</f>
        <v>1560</v>
      </c>
      <c r="K9" s="79"/>
    </row>
    <row r="10" spans="1:12" x14ac:dyDescent="0.35">
      <c r="A10" s="29">
        <v>46128</v>
      </c>
      <c r="B10" s="8"/>
      <c r="C10" s="23"/>
      <c r="D10" s="9" t="s">
        <v>153</v>
      </c>
      <c r="E10" s="8" t="s">
        <v>1</v>
      </c>
      <c r="F10" s="9" t="s">
        <v>1</v>
      </c>
      <c r="G10" s="13">
        <v>150</v>
      </c>
      <c r="H10" s="8"/>
      <c r="I10" s="8"/>
      <c r="J10" s="9">
        <f>+J9+Table23453591011[[#This Row],[AMOUNT]]-Table23453591011[[#This Row],[AMOUNT2]]-Table23453591011[[#This Row],[AMOUNT3]]</f>
        <v>1410</v>
      </c>
      <c r="K10" s="79"/>
    </row>
    <row r="11" spans="1:12" x14ac:dyDescent="0.35">
      <c r="A11" s="29">
        <v>46129</v>
      </c>
      <c r="B11" s="8" t="s">
        <v>18</v>
      </c>
      <c r="C11" s="23">
        <v>3000</v>
      </c>
      <c r="D11" s="9" t="s">
        <v>153</v>
      </c>
      <c r="E11" s="8" t="s">
        <v>1</v>
      </c>
      <c r="F11" s="9" t="s">
        <v>1</v>
      </c>
      <c r="G11" s="13">
        <v>150</v>
      </c>
      <c r="H11" s="8"/>
      <c r="I11" s="8"/>
      <c r="J11" s="9">
        <f>+J10+Table23453591011[[#This Row],[AMOUNT]]-Table23453591011[[#This Row],[AMOUNT2]]-Table23453591011[[#This Row],[AMOUNT3]]</f>
        <v>4260</v>
      </c>
      <c r="K11" s="79"/>
      <c r="L11">
        <f>3000-150</f>
        <v>2850</v>
      </c>
    </row>
    <row r="12" spans="1:12" x14ac:dyDescent="0.35">
      <c r="A12" s="29">
        <v>46130</v>
      </c>
      <c r="B12" s="8" t="s">
        <v>18</v>
      </c>
      <c r="C12" s="23">
        <v>10000</v>
      </c>
      <c r="D12" s="9" t="s">
        <v>153</v>
      </c>
      <c r="E12" s="8" t="s">
        <v>68</v>
      </c>
      <c r="F12" s="9" t="s">
        <v>221</v>
      </c>
      <c r="G12" s="13">
        <f>4*750</f>
        <v>3000</v>
      </c>
      <c r="H12" s="8"/>
      <c r="I12" s="8"/>
      <c r="J12" s="9">
        <f>+J11+Table23453591011[[#This Row],[AMOUNT]]-Table23453591011[[#This Row],[AMOUNT2]]-Table23453591011[[#This Row],[AMOUNT3]]</f>
        <v>11260</v>
      </c>
      <c r="K12" s="79"/>
    </row>
    <row r="13" spans="1:12" x14ac:dyDescent="0.35">
      <c r="A13" s="29">
        <v>46130</v>
      </c>
      <c r="B13" s="8"/>
      <c r="C13" s="8"/>
      <c r="D13" s="9" t="s">
        <v>153</v>
      </c>
      <c r="E13" s="8" t="s">
        <v>1</v>
      </c>
      <c r="F13" s="9" t="s">
        <v>1</v>
      </c>
      <c r="G13" s="13">
        <v>200</v>
      </c>
      <c r="H13" s="8"/>
      <c r="I13" s="8"/>
      <c r="J13" s="9">
        <f>+J12+Table23453591011[[#This Row],[AMOUNT]]-Table23453591011[[#This Row],[AMOUNT2]]-Table23453591011[[#This Row],[AMOUNT3]]</f>
        <v>11060</v>
      </c>
      <c r="K13" s="79"/>
    </row>
    <row r="14" spans="1:12" x14ac:dyDescent="0.35">
      <c r="A14" s="29">
        <v>46131</v>
      </c>
      <c r="B14" s="8"/>
      <c r="C14" s="8"/>
      <c r="D14" s="9" t="s">
        <v>153</v>
      </c>
      <c r="E14" s="8" t="s">
        <v>68</v>
      </c>
      <c r="F14" s="9" t="s">
        <v>222</v>
      </c>
      <c r="G14" s="13">
        <f>3*750</f>
        <v>2250</v>
      </c>
      <c r="H14" s="8"/>
      <c r="I14" s="8"/>
      <c r="J14" s="9">
        <f>+J13+Table23453591011[[#This Row],[AMOUNT]]-Table23453591011[[#This Row],[AMOUNT2]]-Table23453591011[[#This Row],[AMOUNT3]]</f>
        <v>8810</v>
      </c>
      <c r="K14" s="79"/>
    </row>
    <row r="15" spans="1:12" x14ac:dyDescent="0.35">
      <c r="A15" s="29">
        <v>46131</v>
      </c>
      <c r="B15" s="8"/>
      <c r="C15" s="8"/>
      <c r="D15" s="9" t="s">
        <v>153</v>
      </c>
      <c r="E15" s="8" t="s">
        <v>1</v>
      </c>
      <c r="F15" s="9" t="s">
        <v>1</v>
      </c>
      <c r="G15" s="13">
        <v>200</v>
      </c>
      <c r="H15" s="8"/>
      <c r="I15" s="8"/>
      <c r="J15" s="9">
        <f>+J14+Table23453591011[[#This Row],[AMOUNT]]-Table23453591011[[#This Row],[AMOUNT2]]-Table23453591011[[#This Row],[AMOUNT3]]</f>
        <v>8610</v>
      </c>
      <c r="K15" s="79"/>
    </row>
    <row r="16" spans="1:12" x14ac:dyDescent="0.35">
      <c r="A16" s="29">
        <v>46132</v>
      </c>
      <c r="B16" s="8"/>
      <c r="C16" s="8"/>
      <c r="D16" s="9" t="s">
        <v>153</v>
      </c>
      <c r="E16" s="8" t="s">
        <v>68</v>
      </c>
      <c r="F16" s="9" t="s">
        <v>222</v>
      </c>
      <c r="G16" s="13">
        <f>3*750</f>
        <v>2250</v>
      </c>
      <c r="H16" s="8"/>
      <c r="I16" s="8"/>
      <c r="J16" s="9">
        <f>+J15+Table23453591011[[#This Row],[AMOUNT]]-Table23453591011[[#This Row],[AMOUNT2]]-Table23453591011[[#This Row],[AMOUNT3]]</f>
        <v>6360</v>
      </c>
      <c r="K16" s="79"/>
    </row>
    <row r="17" spans="1:12" x14ac:dyDescent="0.35">
      <c r="A17" s="29">
        <v>46132</v>
      </c>
      <c r="B17" s="8"/>
      <c r="C17" s="8"/>
      <c r="D17" s="9" t="s">
        <v>153</v>
      </c>
      <c r="E17" s="8" t="s">
        <v>16</v>
      </c>
      <c r="F17" s="9" t="s">
        <v>223</v>
      </c>
      <c r="G17" s="13">
        <v>450</v>
      </c>
      <c r="H17" s="8"/>
      <c r="I17" s="8"/>
      <c r="J17" s="9">
        <f>+J16+Table23453591011[[#This Row],[AMOUNT]]-Table23453591011[[#This Row],[AMOUNT2]]-Table23453591011[[#This Row],[AMOUNT3]]</f>
        <v>5910</v>
      </c>
      <c r="K17" s="79"/>
    </row>
    <row r="18" spans="1:12" x14ac:dyDescent="0.35">
      <c r="A18" s="29">
        <v>46132</v>
      </c>
      <c r="B18" s="8"/>
      <c r="C18" s="8"/>
      <c r="D18" s="9" t="s">
        <v>153</v>
      </c>
      <c r="E18" s="8" t="s">
        <v>17</v>
      </c>
      <c r="F18" s="9" t="s">
        <v>224</v>
      </c>
      <c r="G18" s="13">
        <v>150</v>
      </c>
      <c r="H18" s="8"/>
      <c r="I18" s="8"/>
      <c r="J18" s="9">
        <f>+J17+Table23453591011[[#This Row],[AMOUNT]]-Table23453591011[[#This Row],[AMOUNT2]]-Table23453591011[[#This Row],[AMOUNT3]]</f>
        <v>5760</v>
      </c>
      <c r="K18" s="79"/>
    </row>
    <row r="19" spans="1:12" x14ac:dyDescent="0.35">
      <c r="A19" s="29">
        <v>46132</v>
      </c>
      <c r="B19" s="8"/>
      <c r="C19" s="8"/>
      <c r="D19" s="9" t="s">
        <v>153</v>
      </c>
      <c r="E19" s="8" t="s">
        <v>1</v>
      </c>
      <c r="F19" s="9" t="s">
        <v>1</v>
      </c>
      <c r="G19" s="13">
        <v>200</v>
      </c>
      <c r="H19" s="8"/>
      <c r="I19" s="8"/>
      <c r="J19" s="9">
        <f>+J18+Table23453591011[[#This Row],[AMOUNT]]-Table23453591011[[#This Row],[AMOUNT2]]-Table23453591011[[#This Row],[AMOUNT3]]</f>
        <v>5560</v>
      </c>
      <c r="K19" s="79"/>
    </row>
    <row r="20" spans="1:12" x14ac:dyDescent="0.35">
      <c r="A20" s="29">
        <v>46133</v>
      </c>
      <c r="B20" s="8"/>
      <c r="C20" s="8"/>
      <c r="D20" s="9" t="s">
        <v>153</v>
      </c>
      <c r="E20" s="8" t="s">
        <v>68</v>
      </c>
      <c r="F20" s="9" t="s">
        <v>215</v>
      </c>
      <c r="G20" s="13">
        <f>1*750</f>
        <v>750</v>
      </c>
      <c r="H20" s="8"/>
      <c r="I20" s="8"/>
      <c r="J20" s="9">
        <f>+J19+Table23453591011[[#This Row],[AMOUNT]]-Table23453591011[[#This Row],[AMOUNT2]]-Table23453591011[[#This Row],[AMOUNT3]]</f>
        <v>4810</v>
      </c>
      <c r="K20" s="79"/>
    </row>
    <row r="21" spans="1:12" x14ac:dyDescent="0.35">
      <c r="A21" s="29">
        <v>46133</v>
      </c>
      <c r="B21" s="8"/>
      <c r="C21" s="8"/>
      <c r="D21" s="9" t="s">
        <v>153</v>
      </c>
      <c r="E21" s="8" t="s">
        <v>1</v>
      </c>
      <c r="F21" s="9" t="s">
        <v>1</v>
      </c>
      <c r="G21" s="13">
        <v>400</v>
      </c>
      <c r="H21" s="8"/>
      <c r="I21" s="8"/>
      <c r="J21" s="9">
        <f>+J20+Table23453591011[[#This Row],[AMOUNT]]-Table23453591011[[#This Row],[AMOUNT2]]-Table23453591011[[#This Row],[AMOUNT3]]</f>
        <v>4410</v>
      </c>
      <c r="K21" s="79"/>
    </row>
    <row r="22" spans="1:12" x14ac:dyDescent="0.35">
      <c r="A22" s="29">
        <v>46136</v>
      </c>
      <c r="B22" s="8"/>
      <c r="C22" s="8"/>
      <c r="D22" s="9" t="s">
        <v>96</v>
      </c>
      <c r="E22" s="8" t="s">
        <v>1</v>
      </c>
      <c r="F22" s="9" t="s">
        <v>1</v>
      </c>
      <c r="G22" s="13">
        <v>200</v>
      </c>
      <c r="H22" s="8"/>
      <c r="I22" s="8"/>
      <c r="J22" s="9">
        <f>+J21+Table23453591011[[#This Row],[AMOUNT]]-Table23453591011[[#This Row],[AMOUNT2]]-Table23453591011[[#This Row],[AMOUNT3]]</f>
        <v>4210</v>
      </c>
      <c r="K22" s="79"/>
      <c r="L22">
        <v>4410</v>
      </c>
    </row>
    <row r="23" spans="1:12" x14ac:dyDescent="0.35">
      <c r="A23" s="29">
        <v>46137</v>
      </c>
      <c r="B23" s="8"/>
      <c r="C23" s="8"/>
      <c r="D23" s="9" t="s">
        <v>96</v>
      </c>
      <c r="E23" s="8" t="s">
        <v>37</v>
      </c>
      <c r="F23" s="9" t="s">
        <v>69</v>
      </c>
      <c r="G23" s="13">
        <v>350</v>
      </c>
      <c r="H23" s="8"/>
      <c r="I23" s="8"/>
      <c r="J23" s="9">
        <f>+J22+Table23453591011[[#This Row],[AMOUNT]]-Table23453591011[[#This Row],[AMOUNT2]]-Table23453591011[[#This Row],[AMOUNT3]]</f>
        <v>3860</v>
      </c>
      <c r="K23" s="79"/>
      <c r="L23">
        <f>+J22-L22</f>
        <v>-200</v>
      </c>
    </row>
    <row r="24" spans="1:12" x14ac:dyDescent="0.35">
      <c r="A24" s="29">
        <v>46140</v>
      </c>
      <c r="B24" s="8"/>
      <c r="C24" s="8"/>
      <c r="D24" s="9" t="s">
        <v>274</v>
      </c>
      <c r="E24" s="8" t="s">
        <v>1</v>
      </c>
      <c r="F24" s="9" t="s">
        <v>1</v>
      </c>
      <c r="G24" s="13">
        <v>150</v>
      </c>
      <c r="H24" s="8"/>
      <c r="I24" s="8"/>
      <c r="J24" s="9">
        <f>+J23+Table23453591011[[#This Row],[AMOUNT]]-Table23453591011[[#This Row],[AMOUNT2]]-Table23453591011[[#This Row],[AMOUNT3]]</f>
        <v>3710</v>
      </c>
      <c r="K24" s="79"/>
    </row>
    <row r="25" spans="1:12" x14ac:dyDescent="0.35">
      <c r="A25" s="29">
        <v>46141</v>
      </c>
      <c r="B25" s="8"/>
      <c r="C25" s="8"/>
      <c r="D25" s="9" t="s">
        <v>108</v>
      </c>
      <c r="E25" s="8" t="s">
        <v>1</v>
      </c>
      <c r="F25" s="9" t="s">
        <v>1</v>
      </c>
      <c r="G25" s="13">
        <v>360</v>
      </c>
      <c r="H25" s="8"/>
      <c r="I25" s="8"/>
      <c r="J25" s="9">
        <f>+J24+Table23453591011[[#This Row],[AMOUNT]]-Table23453591011[[#This Row],[AMOUNT2]]-Table23453591011[[#This Row],[AMOUNT3]]</f>
        <v>3350</v>
      </c>
      <c r="K25" s="79"/>
    </row>
    <row r="26" spans="1:12" x14ac:dyDescent="0.35">
      <c r="A26" s="29">
        <v>46141</v>
      </c>
      <c r="B26" s="8"/>
      <c r="C26" s="8"/>
      <c r="D26" s="9" t="s">
        <v>108</v>
      </c>
      <c r="E26" s="8" t="s">
        <v>17</v>
      </c>
      <c r="F26" s="9" t="s">
        <v>300</v>
      </c>
      <c r="G26" s="13">
        <v>40</v>
      </c>
      <c r="H26" s="8"/>
      <c r="I26" s="8"/>
      <c r="J26" s="9">
        <f>+J25+Table23453591011[[#This Row],[AMOUNT]]-Table23453591011[[#This Row],[AMOUNT2]]-Table23453591011[[#This Row],[AMOUNT3]]</f>
        <v>3310</v>
      </c>
      <c r="K26" s="79"/>
    </row>
    <row r="27" spans="1:12" x14ac:dyDescent="0.35">
      <c r="A27" s="29">
        <v>46142</v>
      </c>
      <c r="B27" s="8"/>
      <c r="C27" s="8"/>
      <c r="D27" s="9" t="s">
        <v>39</v>
      </c>
      <c r="E27" s="8" t="s">
        <v>1</v>
      </c>
      <c r="F27" s="9" t="s">
        <v>1</v>
      </c>
      <c r="G27" s="68">
        <v>200</v>
      </c>
      <c r="H27" s="8"/>
      <c r="I27" s="8"/>
      <c r="J27" s="9">
        <f>+J26+Table23453591011[[#This Row],[AMOUNT]]-Table23453591011[[#This Row],[AMOUNT2]]-Table23453591011[[#This Row],[AMOUNT3]]</f>
        <v>3110</v>
      </c>
      <c r="K27" s="79"/>
    </row>
    <row r="28" spans="1:12" x14ac:dyDescent="0.35">
      <c r="A28" s="29">
        <v>46143</v>
      </c>
      <c r="B28" s="8"/>
      <c r="C28" s="8"/>
      <c r="D28" s="9" t="s">
        <v>39</v>
      </c>
      <c r="E28" s="8" t="s">
        <v>1</v>
      </c>
      <c r="F28" s="9" t="s">
        <v>1</v>
      </c>
      <c r="G28" s="68">
        <v>100</v>
      </c>
      <c r="H28" s="8"/>
      <c r="I28" s="8"/>
      <c r="J28" s="9">
        <f>+J27+Table23453591011[[#This Row],[AMOUNT]]-Table23453591011[[#This Row],[AMOUNT2]]-Table23453591011[[#This Row],[AMOUNT3]]</f>
        <v>3010</v>
      </c>
      <c r="K28" s="79"/>
    </row>
    <row r="29" spans="1:12" x14ac:dyDescent="0.35">
      <c r="A29" s="29">
        <v>46143</v>
      </c>
      <c r="B29" s="8"/>
      <c r="C29" s="8"/>
      <c r="D29" s="9" t="s">
        <v>39</v>
      </c>
      <c r="E29" s="8" t="s">
        <v>55</v>
      </c>
      <c r="F29" s="9" t="s">
        <v>305</v>
      </c>
      <c r="G29" s="68">
        <v>30</v>
      </c>
      <c r="H29" s="8"/>
      <c r="I29" s="8"/>
      <c r="J29" s="9">
        <f>+J28+Table23453591011[[#This Row],[AMOUNT]]-Table23453591011[[#This Row],[AMOUNT2]]-Table23453591011[[#This Row],[AMOUNT3]]</f>
        <v>2980</v>
      </c>
      <c r="K29" s="79"/>
    </row>
    <row r="30" spans="1:12" x14ac:dyDescent="0.35">
      <c r="A30" s="29">
        <v>46144</v>
      </c>
      <c r="B30" s="8"/>
      <c r="C30" s="8"/>
      <c r="D30" s="9" t="s">
        <v>39</v>
      </c>
      <c r="E30" s="8" t="s">
        <v>1</v>
      </c>
      <c r="F30" s="9" t="s">
        <v>1</v>
      </c>
      <c r="G30" s="68">
        <v>150</v>
      </c>
      <c r="H30" s="8"/>
      <c r="I30" s="8"/>
      <c r="J30" s="9">
        <f>+J29+Table23453591011[[#This Row],[AMOUNT]]-Table23453591011[[#This Row],[AMOUNT2]]-Table23453591011[[#This Row],[AMOUNT3]]</f>
        <v>2830</v>
      </c>
      <c r="K30" s="79"/>
    </row>
    <row r="31" spans="1:12" x14ac:dyDescent="0.35">
      <c r="A31" s="29">
        <v>46146</v>
      </c>
      <c r="B31" s="8"/>
      <c r="C31" s="8"/>
      <c r="D31" s="9" t="s">
        <v>39</v>
      </c>
      <c r="E31" s="8" t="s">
        <v>1</v>
      </c>
      <c r="F31" s="9" t="s">
        <v>1</v>
      </c>
      <c r="G31" s="68">
        <v>100</v>
      </c>
      <c r="H31" s="8"/>
      <c r="I31" s="8"/>
      <c r="J31" s="9">
        <f>+J30+Table23453591011[[#This Row],[AMOUNT]]-Table23453591011[[#This Row],[AMOUNT2]]-Table23453591011[[#This Row],[AMOUNT3]]</f>
        <v>2730</v>
      </c>
      <c r="K31" s="79"/>
    </row>
    <row r="32" spans="1:12" x14ac:dyDescent="0.35">
      <c r="A32" s="29">
        <v>46147</v>
      </c>
      <c r="B32" s="8"/>
      <c r="C32" s="8"/>
      <c r="D32" s="9" t="s">
        <v>39</v>
      </c>
      <c r="E32" s="8" t="s">
        <v>1</v>
      </c>
      <c r="F32" s="9" t="s">
        <v>1</v>
      </c>
      <c r="G32" s="68">
        <v>150</v>
      </c>
      <c r="H32" s="8"/>
      <c r="I32" s="8"/>
      <c r="J32" s="9">
        <f>+J31+Table23453591011[[#This Row],[AMOUNT]]-Table23453591011[[#This Row],[AMOUNT2]]-Table23453591011[[#This Row],[AMOUNT3]]</f>
        <v>2580</v>
      </c>
      <c r="K32" s="79"/>
    </row>
    <row r="33" spans="1:11" x14ac:dyDescent="0.35">
      <c r="A33" s="29">
        <v>46148</v>
      </c>
      <c r="B33" s="8" t="s">
        <v>18</v>
      </c>
      <c r="C33" s="23">
        <v>1000</v>
      </c>
      <c r="D33" s="9" t="s">
        <v>86</v>
      </c>
      <c r="E33" s="8" t="s">
        <v>1</v>
      </c>
      <c r="F33" s="9" t="s">
        <v>1</v>
      </c>
      <c r="G33" s="13">
        <v>200</v>
      </c>
      <c r="H33" s="8"/>
      <c r="I33" s="8"/>
      <c r="J33" s="9">
        <f>+J32+Table23453591011[[#This Row],[AMOUNT]]-Table23453591011[[#This Row],[AMOUNT2]]-Table23453591011[[#This Row],[AMOUNT3]]</f>
        <v>3380</v>
      </c>
      <c r="K33" s="79"/>
    </row>
    <row r="34" spans="1:11" x14ac:dyDescent="0.35">
      <c r="A34" s="29">
        <v>46148</v>
      </c>
      <c r="B34" s="8"/>
      <c r="C34" s="8"/>
      <c r="D34" s="9" t="s">
        <v>86</v>
      </c>
      <c r="E34" s="8" t="s">
        <v>17</v>
      </c>
      <c r="F34" s="9" t="s">
        <v>306</v>
      </c>
      <c r="G34" s="13">
        <v>190</v>
      </c>
      <c r="H34" s="8"/>
      <c r="I34" s="8"/>
      <c r="J34" s="9">
        <f>+J33+Table23453591011[[#This Row],[AMOUNT]]-Table23453591011[[#This Row],[AMOUNT2]]-Table23453591011[[#This Row],[AMOUNT3]]</f>
        <v>3190</v>
      </c>
      <c r="K34" s="79"/>
    </row>
    <row r="35" spans="1:11" x14ac:dyDescent="0.35">
      <c r="A35" s="29">
        <v>46148</v>
      </c>
      <c r="B35" s="8"/>
      <c r="C35" s="8"/>
      <c r="D35" s="9" t="s">
        <v>86</v>
      </c>
      <c r="E35" s="8" t="s">
        <v>17</v>
      </c>
      <c r="F35" s="9" t="s">
        <v>301</v>
      </c>
      <c r="G35" s="13">
        <v>210</v>
      </c>
      <c r="H35" s="8"/>
      <c r="I35" s="8"/>
      <c r="J35" s="9">
        <f>+J34+Table23453591011[[#This Row],[AMOUNT]]-Table23453591011[[#This Row],[AMOUNT2]]-Table23453591011[[#This Row],[AMOUNT3]]</f>
        <v>2980</v>
      </c>
      <c r="K35" s="79"/>
    </row>
    <row r="36" spans="1:11" x14ac:dyDescent="0.35">
      <c r="A36" s="29">
        <v>46149</v>
      </c>
      <c r="B36" s="8"/>
      <c r="C36" s="8"/>
      <c r="D36" s="9" t="s">
        <v>86</v>
      </c>
      <c r="E36" s="8" t="s">
        <v>17</v>
      </c>
      <c r="F36" s="9" t="s">
        <v>413</v>
      </c>
      <c r="G36" s="13">
        <v>120</v>
      </c>
      <c r="H36" s="8"/>
      <c r="I36" s="8"/>
      <c r="J36" s="9">
        <f>+J35+Table23453591011[[#This Row],[AMOUNT]]-Table23453591011[[#This Row],[AMOUNT2]]-Table23453591011[[#This Row],[AMOUNT3]]</f>
        <v>2860</v>
      </c>
      <c r="K36" s="79"/>
    </row>
    <row r="37" spans="1:11" x14ac:dyDescent="0.35">
      <c r="A37" s="29">
        <v>46149</v>
      </c>
      <c r="B37" s="8"/>
      <c r="C37" s="8"/>
      <c r="D37" s="9" t="s">
        <v>86</v>
      </c>
      <c r="E37" s="8" t="s">
        <v>17</v>
      </c>
      <c r="F37" s="9" t="s">
        <v>414</v>
      </c>
      <c r="G37" s="13">
        <v>50</v>
      </c>
      <c r="H37" s="8"/>
      <c r="I37" s="8"/>
      <c r="J37" s="9">
        <f>+J36+Table23453591011[[#This Row],[AMOUNT]]-Table23453591011[[#This Row],[AMOUNT2]]-Table23453591011[[#This Row],[AMOUNT3]]</f>
        <v>2810</v>
      </c>
      <c r="K37" s="79"/>
    </row>
    <row r="38" spans="1:11" x14ac:dyDescent="0.35">
      <c r="A38" s="29">
        <v>46149</v>
      </c>
      <c r="B38" s="8"/>
      <c r="C38" s="8"/>
      <c r="D38" s="9" t="s">
        <v>86</v>
      </c>
      <c r="E38" s="8" t="s">
        <v>17</v>
      </c>
      <c r="F38" s="9" t="s">
        <v>301</v>
      </c>
      <c r="G38" s="13">
        <v>170</v>
      </c>
      <c r="H38" s="8"/>
      <c r="I38" s="8"/>
      <c r="J38" s="9">
        <f>+J37+Table23453591011[[#This Row],[AMOUNT]]-Table23453591011[[#This Row],[AMOUNT2]]-Table23453591011[[#This Row],[AMOUNT3]]</f>
        <v>2640</v>
      </c>
      <c r="K38" s="79"/>
    </row>
    <row r="39" spans="1:11" x14ac:dyDescent="0.35">
      <c r="A39" s="29">
        <v>46149</v>
      </c>
      <c r="B39" s="8"/>
      <c r="C39" s="8"/>
      <c r="D39" s="9" t="s">
        <v>86</v>
      </c>
      <c r="E39" s="8" t="s">
        <v>1</v>
      </c>
      <c r="F39" s="9" t="s">
        <v>1</v>
      </c>
      <c r="G39" s="13">
        <v>400</v>
      </c>
      <c r="H39" s="8"/>
      <c r="I39" s="8"/>
      <c r="J39" s="9">
        <f>+J38+Table23453591011[[#This Row],[AMOUNT]]-Table23453591011[[#This Row],[AMOUNT2]]-Table23453591011[[#This Row],[AMOUNT3]]</f>
        <v>2240</v>
      </c>
      <c r="K39" s="79"/>
    </row>
    <row r="40" spans="1:11" x14ac:dyDescent="0.35">
      <c r="A40" s="29">
        <v>46150</v>
      </c>
      <c r="B40" s="8" t="s">
        <v>18</v>
      </c>
      <c r="C40" s="23">
        <v>1000</v>
      </c>
      <c r="D40" s="9" t="s">
        <v>96</v>
      </c>
      <c r="E40" s="8" t="s">
        <v>1</v>
      </c>
      <c r="F40" s="9" t="s">
        <v>1</v>
      </c>
      <c r="G40" s="13">
        <v>150</v>
      </c>
      <c r="H40" s="8"/>
      <c r="I40" s="8"/>
      <c r="J40" s="9">
        <f>+J39+Table23453591011[[#This Row],[AMOUNT]]-Table23453591011[[#This Row],[AMOUNT2]]-Table23453591011[[#This Row],[AMOUNT3]]</f>
        <v>3090</v>
      </c>
      <c r="K40" s="79"/>
    </row>
    <row r="41" spans="1:11" x14ac:dyDescent="0.35">
      <c r="A41" s="29">
        <v>46150</v>
      </c>
      <c r="B41" s="8"/>
      <c r="C41" s="8"/>
      <c r="D41" s="9" t="s">
        <v>96</v>
      </c>
      <c r="E41" s="23" t="s">
        <v>37</v>
      </c>
      <c r="F41" s="58" t="s">
        <v>415</v>
      </c>
      <c r="G41" s="51">
        <v>320</v>
      </c>
      <c r="H41" s="8"/>
      <c r="I41" s="8"/>
      <c r="J41" s="9">
        <f>+J40+Table23453591011[[#This Row],[AMOUNT]]-Table23453591011[[#This Row],[AMOUNT2]]-Table23453591011[[#This Row],[AMOUNT3]]</f>
        <v>2770</v>
      </c>
      <c r="K41" s="79"/>
    </row>
    <row r="42" spans="1:11" x14ac:dyDescent="0.35">
      <c r="A42" s="29">
        <v>46153</v>
      </c>
      <c r="B42" s="8" t="s">
        <v>18</v>
      </c>
      <c r="C42" s="23">
        <v>1000</v>
      </c>
      <c r="D42" s="9" t="s">
        <v>39</v>
      </c>
      <c r="E42" s="8" t="s">
        <v>1</v>
      </c>
      <c r="F42" s="9" t="s">
        <v>1</v>
      </c>
      <c r="G42" s="68">
        <v>100</v>
      </c>
      <c r="H42" s="8"/>
      <c r="I42" s="8"/>
      <c r="J42" s="9">
        <f>+J41+Table23453591011[[#This Row],[AMOUNT]]-Table23453591011[[#This Row],[AMOUNT2]]-Table23453591011[[#This Row],[AMOUNT3]]</f>
        <v>3670</v>
      </c>
      <c r="K42" s="79"/>
    </row>
    <row r="43" spans="1:11" x14ac:dyDescent="0.35">
      <c r="A43" s="29">
        <v>46154</v>
      </c>
      <c r="B43" s="8" t="s">
        <v>18</v>
      </c>
      <c r="C43" s="23">
        <v>1000</v>
      </c>
      <c r="D43" s="9" t="s">
        <v>86</v>
      </c>
      <c r="E43" s="8" t="s">
        <v>1</v>
      </c>
      <c r="F43" s="9" t="s">
        <v>1</v>
      </c>
      <c r="G43" s="13">
        <v>300</v>
      </c>
      <c r="H43" s="8"/>
      <c r="I43" s="8"/>
      <c r="J43" s="9">
        <f>+J42+Table23453591011[[#This Row],[AMOUNT]]-Table23453591011[[#This Row],[AMOUNT2]]-Table23453591011[[#This Row],[AMOUNT3]]</f>
        <v>4370</v>
      </c>
      <c r="K43" s="79"/>
    </row>
    <row r="44" spans="1:11" x14ac:dyDescent="0.35">
      <c r="A44" s="29">
        <v>46154</v>
      </c>
      <c r="B44" s="8"/>
      <c r="C44" s="8"/>
      <c r="D44" s="9" t="s">
        <v>86</v>
      </c>
      <c r="E44" s="23" t="s">
        <v>37</v>
      </c>
      <c r="F44" s="58" t="s">
        <v>415</v>
      </c>
      <c r="G44" s="51">
        <v>855</v>
      </c>
      <c r="H44" s="8"/>
      <c r="I44" s="8"/>
      <c r="J44" s="9">
        <f>+J43+Table23453591011[[#This Row],[AMOUNT]]-Table23453591011[[#This Row],[AMOUNT2]]-Table23453591011[[#This Row],[AMOUNT3]]</f>
        <v>3515</v>
      </c>
      <c r="K44" s="79"/>
    </row>
    <row r="45" spans="1:11" x14ac:dyDescent="0.35">
      <c r="A45" s="29">
        <v>46155</v>
      </c>
      <c r="B45" s="8"/>
      <c r="C45" s="8"/>
      <c r="D45" s="9" t="s">
        <v>96</v>
      </c>
      <c r="E45" s="8" t="s">
        <v>1</v>
      </c>
      <c r="F45" s="9" t="s">
        <v>1</v>
      </c>
      <c r="G45" s="13">
        <v>200</v>
      </c>
      <c r="H45" s="8"/>
      <c r="I45" s="8"/>
      <c r="J45" s="9">
        <f>+J44+Table23453591011[[#This Row],[AMOUNT]]-Table23453591011[[#This Row],[AMOUNT2]]-Table23453591011[[#This Row],[AMOUNT3]]</f>
        <v>3315</v>
      </c>
      <c r="K45" s="79"/>
    </row>
    <row r="46" spans="1:11" x14ac:dyDescent="0.35">
      <c r="A46" s="29">
        <v>46156</v>
      </c>
      <c r="B46" s="8"/>
      <c r="C46" s="8"/>
      <c r="D46" s="9" t="s">
        <v>96</v>
      </c>
      <c r="E46" s="8" t="s">
        <v>1</v>
      </c>
      <c r="F46" s="9" t="s">
        <v>1</v>
      </c>
      <c r="G46" s="13">
        <v>100</v>
      </c>
      <c r="H46" s="8"/>
      <c r="I46" s="8"/>
      <c r="J46" s="9">
        <f>+J45+Table23453591011[[#This Row],[AMOUNT]]-Table23453591011[[#This Row],[AMOUNT2]]-Table23453591011[[#This Row],[AMOUNT3]]</f>
        <v>3215</v>
      </c>
      <c r="K46" s="79"/>
    </row>
    <row r="47" spans="1:11" x14ac:dyDescent="0.35">
      <c r="A47" s="29">
        <v>46157</v>
      </c>
      <c r="B47" s="8"/>
      <c r="C47" s="8"/>
      <c r="D47" s="9" t="s">
        <v>420</v>
      </c>
      <c r="E47" s="8" t="s">
        <v>1</v>
      </c>
      <c r="F47" s="9" t="s">
        <v>1</v>
      </c>
      <c r="G47" s="13">
        <v>100</v>
      </c>
      <c r="H47" s="8"/>
      <c r="I47" s="8"/>
      <c r="J47" s="9">
        <f>+J46+Table23453591011[[#This Row],[AMOUNT]]-Table23453591011[[#This Row],[AMOUNT2]]-Table23453591011[[#This Row],[AMOUNT3]]</f>
        <v>3115</v>
      </c>
      <c r="K47" s="79"/>
    </row>
    <row r="48" spans="1:11" x14ac:dyDescent="0.35">
      <c r="A48" s="29">
        <v>46158</v>
      </c>
      <c r="B48" s="8" t="s">
        <v>18</v>
      </c>
      <c r="C48" s="23">
        <v>2000</v>
      </c>
      <c r="D48" s="9" t="s">
        <v>420</v>
      </c>
      <c r="E48" s="8" t="s">
        <v>1</v>
      </c>
      <c r="F48" s="9" t="s">
        <v>1</v>
      </c>
      <c r="G48" s="13">
        <v>100</v>
      </c>
      <c r="H48" s="8"/>
      <c r="I48" s="8"/>
      <c r="J48" s="9">
        <f>+J47+Table23453591011[[#This Row],[AMOUNT]]-Table23453591011[[#This Row],[AMOUNT2]]-Table23453591011[[#This Row],[AMOUNT3]]</f>
        <v>5015</v>
      </c>
      <c r="K48" s="79"/>
    </row>
    <row r="49" spans="1:12" x14ac:dyDescent="0.35">
      <c r="A49" s="29">
        <v>46158</v>
      </c>
      <c r="B49" s="8"/>
      <c r="C49" s="8"/>
      <c r="D49" s="9" t="s">
        <v>420</v>
      </c>
      <c r="E49" s="8" t="s">
        <v>17</v>
      </c>
      <c r="F49" s="9" t="s">
        <v>529</v>
      </c>
      <c r="G49" s="13">
        <v>170</v>
      </c>
      <c r="H49" s="8"/>
      <c r="I49" s="8"/>
      <c r="J49" s="9">
        <f>+J48+Table23453591011[[#This Row],[AMOUNT]]-Table23453591011[[#This Row],[AMOUNT2]]-Table23453591011[[#This Row],[AMOUNT3]]</f>
        <v>4845</v>
      </c>
      <c r="K49" s="79"/>
    </row>
    <row r="50" spans="1:12" x14ac:dyDescent="0.35">
      <c r="A50" s="29">
        <v>46159</v>
      </c>
      <c r="B50" s="8"/>
      <c r="C50" s="8"/>
      <c r="D50" s="9" t="s">
        <v>96</v>
      </c>
      <c r="E50" s="8" t="s">
        <v>1</v>
      </c>
      <c r="F50" s="9" t="s">
        <v>1</v>
      </c>
      <c r="G50" s="13">
        <v>200</v>
      </c>
      <c r="H50" s="8"/>
      <c r="I50" s="8"/>
      <c r="J50" s="9">
        <f>+J49+Table23453591011[[#This Row],[AMOUNT]]-Table23453591011[[#This Row],[AMOUNT2]]-Table23453591011[[#This Row],[AMOUNT3]]</f>
        <v>4645</v>
      </c>
      <c r="K50" s="79"/>
    </row>
    <row r="51" spans="1:12" x14ac:dyDescent="0.35">
      <c r="A51" s="29">
        <v>46160</v>
      </c>
      <c r="B51" s="8"/>
      <c r="C51" s="8"/>
      <c r="D51" s="9" t="s">
        <v>96</v>
      </c>
      <c r="E51" s="8" t="s">
        <v>55</v>
      </c>
      <c r="F51" s="9" t="s">
        <v>470</v>
      </c>
      <c r="G51" s="13">
        <v>120</v>
      </c>
      <c r="H51" s="8"/>
      <c r="I51" s="8"/>
      <c r="J51" s="9">
        <f>+J50+Table23453591011[[#This Row],[AMOUNT]]-Table23453591011[[#This Row],[AMOUNT2]]-Table23453591011[[#This Row],[AMOUNT3]]</f>
        <v>4525</v>
      </c>
      <c r="K51" s="79"/>
      <c r="L51">
        <f>3645-120</f>
        <v>3525</v>
      </c>
    </row>
    <row r="52" spans="1:12" x14ac:dyDescent="0.35">
      <c r="A52" s="29">
        <v>46161</v>
      </c>
      <c r="B52" s="8" t="s">
        <v>18</v>
      </c>
      <c r="C52" s="23">
        <v>1000</v>
      </c>
      <c r="D52" s="9" t="s">
        <v>96</v>
      </c>
      <c r="E52" s="8" t="s">
        <v>55</v>
      </c>
      <c r="F52" s="9" t="s">
        <v>471</v>
      </c>
      <c r="G52" s="13">
        <f>120+60+120</f>
        <v>300</v>
      </c>
      <c r="H52" s="8"/>
      <c r="I52" s="8"/>
      <c r="J52" s="9">
        <f>+J51+Table23453591011[[#This Row],[AMOUNT]]-Table23453591011[[#This Row],[AMOUNT2]]-Table23453591011[[#This Row],[AMOUNT3]]</f>
        <v>5225</v>
      </c>
      <c r="K52" s="79"/>
    </row>
    <row r="53" spans="1:12" x14ac:dyDescent="0.35">
      <c r="A53" s="29">
        <v>46162</v>
      </c>
      <c r="B53" s="8"/>
      <c r="C53" s="8"/>
      <c r="D53" s="9" t="s">
        <v>420</v>
      </c>
      <c r="E53" s="8" t="s">
        <v>55</v>
      </c>
      <c r="F53" s="91" t="s">
        <v>472</v>
      </c>
      <c r="G53" s="13">
        <f>50+30</f>
        <v>80</v>
      </c>
      <c r="H53" s="8"/>
      <c r="I53" s="8"/>
      <c r="J53" s="9">
        <f>+J52+Table23453591011[[#This Row],[AMOUNT]]-Table23453591011[[#This Row],[AMOUNT2]]-Table23453591011[[#This Row],[AMOUNT3]]</f>
        <v>5145</v>
      </c>
      <c r="K53" s="79"/>
    </row>
    <row r="54" spans="1:12" x14ac:dyDescent="0.35">
      <c r="A54" s="29">
        <v>46163</v>
      </c>
      <c r="B54" s="8"/>
      <c r="C54" s="8"/>
      <c r="D54" s="9" t="s">
        <v>420</v>
      </c>
      <c r="E54" s="8" t="s">
        <v>55</v>
      </c>
      <c r="F54" s="91" t="s">
        <v>473</v>
      </c>
      <c r="G54" s="13">
        <f>60+60</f>
        <v>120</v>
      </c>
      <c r="H54" s="8"/>
      <c r="I54" s="8"/>
      <c r="J54" s="9">
        <f>+J53+Table23453591011[[#This Row],[AMOUNT]]-Table23453591011[[#This Row],[AMOUNT2]]-Table23453591011[[#This Row],[AMOUNT3]]</f>
        <v>5025</v>
      </c>
      <c r="K54" s="79"/>
    </row>
    <row r="55" spans="1:12" x14ac:dyDescent="0.35">
      <c r="A55" s="29">
        <v>46164</v>
      </c>
      <c r="B55" s="8"/>
      <c r="C55" s="8"/>
      <c r="D55" s="9" t="s">
        <v>420</v>
      </c>
      <c r="E55" s="8" t="s">
        <v>55</v>
      </c>
      <c r="F55" s="91" t="s">
        <v>473</v>
      </c>
      <c r="G55" s="13">
        <f>60+60</f>
        <v>120</v>
      </c>
      <c r="H55" s="8"/>
      <c r="I55" s="8"/>
      <c r="J55" s="9">
        <f>+J54+Table23453591011[[#This Row],[AMOUNT]]-Table23453591011[[#This Row],[AMOUNT2]]-Table23453591011[[#This Row],[AMOUNT3]]</f>
        <v>4905</v>
      </c>
      <c r="K55" s="79"/>
    </row>
    <row r="56" spans="1:12" x14ac:dyDescent="0.35">
      <c r="A56" s="29">
        <v>46165</v>
      </c>
      <c r="B56" s="8"/>
      <c r="C56" s="8"/>
      <c r="D56" s="9" t="s">
        <v>420</v>
      </c>
      <c r="E56" s="8" t="s">
        <v>55</v>
      </c>
      <c r="F56" s="91" t="s">
        <v>473</v>
      </c>
      <c r="G56" s="13">
        <f>60+60</f>
        <v>120</v>
      </c>
      <c r="H56" s="8"/>
      <c r="I56" s="8"/>
      <c r="J56" s="9">
        <f>+J55+Table23453591011[[#This Row],[AMOUNT]]-Table23453591011[[#This Row],[AMOUNT2]]-Table23453591011[[#This Row],[AMOUNT3]]</f>
        <v>4785</v>
      </c>
      <c r="K56" s="79"/>
    </row>
    <row r="57" spans="1:12" x14ac:dyDescent="0.35">
      <c r="A57" s="29">
        <v>46166</v>
      </c>
      <c r="B57" s="8"/>
      <c r="C57" s="8"/>
      <c r="D57" s="9" t="s">
        <v>464</v>
      </c>
      <c r="E57" s="8" t="s">
        <v>55</v>
      </c>
      <c r="F57" s="9" t="s">
        <v>474</v>
      </c>
      <c r="G57" s="13">
        <v>160</v>
      </c>
      <c r="H57" s="8"/>
      <c r="I57" s="8"/>
      <c r="J57" s="9">
        <f>+J56+Table23453591011[[#This Row],[AMOUNT]]-Table23453591011[[#This Row],[AMOUNT2]]-Table23453591011[[#This Row],[AMOUNT3]]</f>
        <v>4625</v>
      </c>
      <c r="K57" s="79"/>
    </row>
    <row r="58" spans="1:12" x14ac:dyDescent="0.35">
      <c r="A58" s="29">
        <v>46166</v>
      </c>
      <c r="B58" s="8"/>
      <c r="C58" s="8"/>
      <c r="D58" s="9" t="s">
        <v>420</v>
      </c>
      <c r="E58" s="8" t="s">
        <v>37</v>
      </c>
      <c r="F58" s="9" t="s">
        <v>69</v>
      </c>
      <c r="G58" s="13">
        <v>350</v>
      </c>
      <c r="H58" s="8"/>
      <c r="I58" s="8"/>
      <c r="J58" s="9">
        <f>+J57+Table23453591011[[#This Row],[AMOUNT]]-Table23453591011[[#This Row],[AMOUNT2]]-Table23453591011[[#This Row],[AMOUNT3]]</f>
        <v>4275</v>
      </c>
      <c r="K58" s="79"/>
    </row>
    <row r="59" spans="1:12" x14ac:dyDescent="0.35">
      <c r="A59" s="29">
        <v>46167</v>
      </c>
      <c r="B59" s="8"/>
      <c r="C59" s="8"/>
      <c r="D59" s="9" t="s">
        <v>274</v>
      </c>
      <c r="E59" s="8" t="s">
        <v>55</v>
      </c>
      <c r="F59" s="9" t="s">
        <v>475</v>
      </c>
      <c r="G59" s="13">
        <v>300</v>
      </c>
      <c r="H59" s="8"/>
      <c r="I59" s="8"/>
      <c r="J59" s="9">
        <f>+J58+Table23453591011[[#This Row],[AMOUNT]]-Table23453591011[[#This Row],[AMOUNT2]]-Table23453591011[[#This Row],[AMOUNT3]]</f>
        <v>3975</v>
      </c>
      <c r="K59" s="79"/>
    </row>
    <row r="60" spans="1:12" x14ac:dyDescent="0.35">
      <c r="A60" s="29">
        <v>46168</v>
      </c>
      <c r="B60" s="8" t="s">
        <v>18</v>
      </c>
      <c r="C60" s="23">
        <v>2600</v>
      </c>
      <c r="D60" s="9" t="s">
        <v>153</v>
      </c>
      <c r="E60" s="8" t="s">
        <v>55</v>
      </c>
      <c r="F60" s="9" t="s">
        <v>493</v>
      </c>
      <c r="G60" s="13">
        <v>100</v>
      </c>
      <c r="H60" s="8"/>
      <c r="I60" s="8"/>
      <c r="J60" s="9">
        <f>+J59+Table23453591011[[#This Row],[AMOUNT]]-Table23453591011[[#This Row],[AMOUNT2]]-Table23453591011[[#This Row],[AMOUNT3]]</f>
        <v>6475</v>
      </c>
      <c r="K60" s="79"/>
    </row>
    <row r="61" spans="1:12" x14ac:dyDescent="0.35">
      <c r="A61" s="29">
        <v>46169</v>
      </c>
      <c r="B61" s="8"/>
      <c r="C61" s="8"/>
      <c r="D61" s="9" t="s">
        <v>153</v>
      </c>
      <c r="E61" s="8" t="s">
        <v>68</v>
      </c>
      <c r="F61" s="9" t="s">
        <v>530</v>
      </c>
      <c r="G61" s="13">
        <v>800</v>
      </c>
      <c r="H61" s="8"/>
      <c r="I61" s="8"/>
      <c r="J61" s="9">
        <f>+J60+Table23453591011[[#This Row],[AMOUNT]]-Table23453591011[[#This Row],[AMOUNT2]]-Table23453591011[[#This Row],[AMOUNT3]]</f>
        <v>5675</v>
      </c>
      <c r="K61" s="79"/>
    </row>
    <row r="62" spans="1:12" x14ac:dyDescent="0.35">
      <c r="A62" s="29">
        <v>46169</v>
      </c>
      <c r="B62" s="8"/>
      <c r="C62" s="8"/>
      <c r="D62" s="9" t="s">
        <v>153</v>
      </c>
      <c r="E62" s="8" t="s">
        <v>1</v>
      </c>
      <c r="F62" s="9" t="s">
        <v>1</v>
      </c>
      <c r="G62" s="13">
        <v>200</v>
      </c>
      <c r="H62" s="8"/>
      <c r="I62" s="8"/>
      <c r="J62" s="9">
        <f>+J61+Table23453591011[[#This Row],[AMOUNT]]-Table23453591011[[#This Row],[AMOUNT2]]-Table23453591011[[#This Row],[AMOUNT3]]</f>
        <v>5475</v>
      </c>
      <c r="K62" s="79"/>
    </row>
    <row r="63" spans="1:12" x14ac:dyDescent="0.35">
      <c r="A63" s="29">
        <v>46169</v>
      </c>
      <c r="B63" s="8"/>
      <c r="C63" s="8"/>
      <c r="D63" s="9" t="s">
        <v>153</v>
      </c>
      <c r="E63" s="8" t="s">
        <v>25</v>
      </c>
      <c r="F63" s="9" t="s">
        <v>531</v>
      </c>
      <c r="G63" s="13">
        <v>250</v>
      </c>
      <c r="H63" s="8"/>
      <c r="I63" s="8"/>
      <c r="J63" s="9">
        <f>+J62+Table23453591011[[#This Row],[AMOUNT]]-Table23453591011[[#This Row],[AMOUNT2]]-Table23453591011[[#This Row],[AMOUNT3]]</f>
        <v>5225</v>
      </c>
      <c r="K63" s="79"/>
    </row>
    <row r="64" spans="1:12" x14ac:dyDescent="0.35">
      <c r="A64" s="29">
        <v>46170</v>
      </c>
      <c r="B64" s="8"/>
      <c r="C64" s="8"/>
      <c r="D64" s="9" t="s">
        <v>153</v>
      </c>
      <c r="E64" s="8" t="s">
        <v>1</v>
      </c>
      <c r="F64" s="9" t="s">
        <v>1</v>
      </c>
      <c r="G64" s="13">
        <v>100</v>
      </c>
      <c r="H64" s="8"/>
      <c r="I64" s="8"/>
      <c r="J64" s="9">
        <f>+J63+Table23453591011[[#This Row],[AMOUNT]]-Table23453591011[[#This Row],[AMOUNT2]]-Table23453591011[[#This Row],[AMOUNT3]]</f>
        <v>5125</v>
      </c>
      <c r="K64" s="79"/>
    </row>
    <row r="65" spans="1:11" x14ac:dyDescent="0.35">
      <c r="A65" s="29">
        <v>46171</v>
      </c>
      <c r="B65" s="8" t="s">
        <v>18</v>
      </c>
      <c r="C65" s="23">
        <v>2000</v>
      </c>
      <c r="D65" s="9" t="s">
        <v>153</v>
      </c>
      <c r="E65" s="8" t="s">
        <v>1</v>
      </c>
      <c r="F65" s="9" t="s">
        <v>1</v>
      </c>
      <c r="G65" s="13">
        <v>200</v>
      </c>
      <c r="H65" s="8"/>
      <c r="I65" s="8"/>
      <c r="J65" s="9">
        <f>+J64+Table23453591011[[#This Row],[AMOUNT]]-Table23453591011[[#This Row],[AMOUNT2]]-Table23453591011[[#This Row],[AMOUNT3]]</f>
        <v>6925</v>
      </c>
      <c r="K65" s="79"/>
    </row>
    <row r="66" spans="1:11" x14ac:dyDescent="0.35">
      <c r="A66" s="29">
        <v>46171</v>
      </c>
      <c r="B66" s="8"/>
      <c r="C66" s="8"/>
      <c r="D66" s="9" t="s">
        <v>153</v>
      </c>
      <c r="E66" s="8" t="s">
        <v>26</v>
      </c>
      <c r="F66" s="9" t="s">
        <v>494</v>
      </c>
      <c r="G66" s="13">
        <v>300</v>
      </c>
      <c r="H66" s="8"/>
      <c r="I66" s="8"/>
      <c r="J66" s="9">
        <f>+J65+Table23453591011[[#This Row],[AMOUNT]]-Table23453591011[[#This Row],[AMOUNT2]]-Table23453591011[[#This Row],[AMOUNT3]]</f>
        <v>6625</v>
      </c>
      <c r="K66" s="79"/>
    </row>
    <row r="67" spans="1:11" x14ac:dyDescent="0.35">
      <c r="A67" s="29">
        <v>46172</v>
      </c>
      <c r="B67" s="8"/>
      <c r="C67" s="8"/>
      <c r="D67" s="9" t="s">
        <v>515</v>
      </c>
      <c r="E67" s="8" t="s">
        <v>20</v>
      </c>
      <c r="F67" s="9" t="s">
        <v>516</v>
      </c>
      <c r="G67" s="13">
        <v>720</v>
      </c>
      <c r="H67" s="8"/>
      <c r="I67" s="8"/>
      <c r="J67" s="9">
        <f>+J66+Table23453591011[[#This Row],[AMOUNT]]-Table23453591011[[#This Row],[AMOUNT2]]-Table23453591011[[#This Row],[AMOUNT3]]</f>
        <v>5905</v>
      </c>
      <c r="K67" s="79"/>
    </row>
    <row r="68" spans="1:11" x14ac:dyDescent="0.35">
      <c r="A68" s="29">
        <v>46172</v>
      </c>
      <c r="B68" s="8"/>
      <c r="C68" s="8"/>
      <c r="D68" s="9" t="s">
        <v>495</v>
      </c>
      <c r="E68" s="8" t="s">
        <v>1</v>
      </c>
      <c r="F68" s="9" t="s">
        <v>1</v>
      </c>
      <c r="G68" s="13">
        <v>150</v>
      </c>
      <c r="H68" s="8"/>
      <c r="I68" s="8"/>
      <c r="J68" s="9">
        <f>+J67+Table23453591011[[#This Row],[AMOUNT]]-Table23453591011[[#This Row],[AMOUNT2]]-Table23453591011[[#This Row],[AMOUNT3]]</f>
        <v>5755</v>
      </c>
      <c r="K68" s="79"/>
    </row>
    <row r="69" spans="1:11" x14ac:dyDescent="0.35">
      <c r="A69" s="86">
        <v>46173</v>
      </c>
      <c r="B69" s="87" t="s">
        <v>18</v>
      </c>
      <c r="C69" s="88">
        <v>2000</v>
      </c>
      <c r="D69" s="34" t="s">
        <v>420</v>
      </c>
      <c r="E69" s="87" t="s">
        <v>1</v>
      </c>
      <c r="F69" s="34" t="s">
        <v>1</v>
      </c>
      <c r="G69" s="83">
        <v>150</v>
      </c>
      <c r="H69" s="87"/>
      <c r="I69" s="87"/>
      <c r="J69" s="34">
        <f>+J68+Table23453591011[[#This Row],[AMOUNT]]-Table23453591011[[#This Row],[AMOUNT2]]-Table23453591011[[#This Row],[AMOUNT3]]</f>
        <v>7605</v>
      </c>
      <c r="K69" s="89"/>
    </row>
    <row r="70" spans="1:11" x14ac:dyDescent="0.35">
      <c r="A70" s="29">
        <v>46174</v>
      </c>
      <c r="B70" s="8"/>
      <c r="C70" s="8"/>
      <c r="D70" s="34" t="s">
        <v>420</v>
      </c>
      <c r="E70" s="8" t="s">
        <v>55</v>
      </c>
      <c r="F70" s="9" t="s">
        <v>641</v>
      </c>
      <c r="G70" s="13">
        <v>130</v>
      </c>
      <c r="H70" s="8"/>
      <c r="I70" s="8"/>
      <c r="J70" s="9">
        <f>+J69+Table23453591011[[#This Row],[AMOUNT]]-Table23453591011[[#This Row],[AMOUNT2]]-Table23453591011[[#This Row],[AMOUNT3]]</f>
        <v>7475</v>
      </c>
      <c r="K70" s="79" t="s">
        <v>559</v>
      </c>
    </row>
    <row r="71" spans="1:11" x14ac:dyDescent="0.35">
      <c r="A71" s="29">
        <v>46174</v>
      </c>
      <c r="B71" s="8"/>
      <c r="C71" s="8"/>
      <c r="D71" s="34" t="s">
        <v>420</v>
      </c>
      <c r="E71" s="8" t="s">
        <v>734</v>
      </c>
      <c r="F71" s="9" t="s">
        <v>1</v>
      </c>
      <c r="G71" s="13">
        <v>100</v>
      </c>
      <c r="H71" s="8"/>
      <c r="I71" s="8"/>
      <c r="J71" s="9">
        <f>+J70+Table23453591011[[#This Row],[AMOUNT]]-Table23453591011[[#This Row],[AMOUNT2]]-Table23453591011[[#This Row],[AMOUNT3]]</f>
        <v>7375</v>
      </c>
      <c r="K71" s="79"/>
    </row>
    <row r="72" spans="1:11" x14ac:dyDescent="0.35">
      <c r="A72" s="29">
        <v>46175</v>
      </c>
      <c r="B72" s="8"/>
      <c r="C72" s="8"/>
      <c r="D72" s="9" t="s">
        <v>39</v>
      </c>
      <c r="E72" s="8" t="s">
        <v>17</v>
      </c>
      <c r="F72" s="9" t="s">
        <v>556</v>
      </c>
      <c r="G72" s="13">
        <v>100</v>
      </c>
      <c r="H72" s="8"/>
      <c r="I72" s="8"/>
      <c r="J72" s="9">
        <f>+J71+Table23453591011[[#This Row],[AMOUNT]]-Table23453591011[[#This Row],[AMOUNT2]]-Table23453591011[[#This Row],[AMOUNT3]]</f>
        <v>7275</v>
      </c>
      <c r="K72" s="79"/>
    </row>
    <row r="73" spans="1:11" x14ac:dyDescent="0.35">
      <c r="A73" s="29">
        <v>46175</v>
      </c>
      <c r="B73" s="8"/>
      <c r="C73" s="8"/>
      <c r="D73" s="9" t="s">
        <v>39</v>
      </c>
      <c r="E73" s="8" t="s">
        <v>734</v>
      </c>
      <c r="F73" s="9" t="s">
        <v>1</v>
      </c>
      <c r="G73" s="68">
        <v>100</v>
      </c>
      <c r="H73" s="8"/>
      <c r="I73" s="8"/>
      <c r="J73" s="9">
        <f>+J72+Table23453591011[[#This Row],[AMOUNT]]-Table23453591011[[#This Row],[AMOUNT2]]-Table23453591011[[#This Row],[AMOUNT3]]</f>
        <v>7175</v>
      </c>
      <c r="K73" s="79"/>
    </row>
    <row r="74" spans="1:11" x14ac:dyDescent="0.35">
      <c r="A74" s="29">
        <v>46175</v>
      </c>
      <c r="B74" s="8"/>
      <c r="C74" s="8"/>
      <c r="D74" s="9" t="s">
        <v>39</v>
      </c>
      <c r="E74" s="8" t="s">
        <v>17</v>
      </c>
      <c r="F74" s="9" t="s">
        <v>555</v>
      </c>
      <c r="G74" s="13">
        <v>50</v>
      </c>
      <c r="H74" s="8"/>
      <c r="I74" s="8"/>
      <c r="J74" s="9">
        <f>+J73+Table23453591011[[#This Row],[AMOUNT]]-Table23453591011[[#This Row],[AMOUNT2]]-Table23453591011[[#This Row],[AMOUNT3]]</f>
        <v>7125</v>
      </c>
      <c r="K74" s="79"/>
    </row>
    <row r="75" spans="1:11" x14ac:dyDescent="0.35">
      <c r="A75" s="29">
        <v>46175</v>
      </c>
      <c r="B75" s="8"/>
      <c r="C75" s="8"/>
      <c r="D75" s="9" t="s">
        <v>39</v>
      </c>
      <c r="E75" s="8" t="s">
        <v>55</v>
      </c>
      <c r="F75" s="9" t="s">
        <v>735</v>
      </c>
      <c r="G75" s="13">
        <v>60</v>
      </c>
      <c r="H75" s="8"/>
      <c r="I75" s="8"/>
      <c r="J75" s="9">
        <f>+J74+Table23453591011[[#This Row],[AMOUNT]]-Table23453591011[[#This Row],[AMOUNT2]]-Table23453591011[[#This Row],[AMOUNT3]]</f>
        <v>7065</v>
      </c>
      <c r="K75" s="79"/>
    </row>
    <row r="76" spans="1:11" x14ac:dyDescent="0.35">
      <c r="A76" s="29">
        <v>46177</v>
      </c>
      <c r="B76" s="8" t="s">
        <v>18</v>
      </c>
      <c r="C76" s="23">
        <v>2000</v>
      </c>
      <c r="D76" s="9" t="s">
        <v>274</v>
      </c>
      <c r="E76" s="8" t="s">
        <v>68</v>
      </c>
      <c r="F76" s="9" t="s">
        <v>557</v>
      </c>
      <c r="G76" s="13">
        <v>800</v>
      </c>
      <c r="H76" s="8"/>
      <c r="I76" s="8"/>
      <c r="J76" s="9">
        <f>+J75+Table23453591011[[#This Row],[AMOUNT]]-Table23453591011[[#This Row],[AMOUNT2]]-Table23453591011[[#This Row],[AMOUNT3]]</f>
        <v>8265</v>
      </c>
      <c r="K76" s="79"/>
    </row>
    <row r="77" spans="1:11" x14ac:dyDescent="0.35">
      <c r="A77" s="29">
        <v>46177</v>
      </c>
      <c r="B77" s="8"/>
      <c r="C77" s="8"/>
      <c r="D77" s="9" t="s">
        <v>274</v>
      </c>
      <c r="E77" s="8" t="s">
        <v>734</v>
      </c>
      <c r="F77" s="9" t="s">
        <v>1</v>
      </c>
      <c r="G77" s="13">
        <v>100</v>
      </c>
      <c r="H77" s="8"/>
      <c r="I77" s="8"/>
      <c r="J77" s="9">
        <f>+J76+Table23453591011[[#This Row],[AMOUNT]]-Table23453591011[[#This Row],[AMOUNT2]]-Table23453591011[[#This Row],[AMOUNT3]]</f>
        <v>8165</v>
      </c>
      <c r="K77" s="79"/>
    </row>
    <row r="78" spans="1:11" x14ac:dyDescent="0.35">
      <c r="A78" s="29">
        <v>46178</v>
      </c>
      <c r="B78" s="8" t="s">
        <v>18</v>
      </c>
      <c r="C78" s="23">
        <v>2000</v>
      </c>
      <c r="D78" s="9" t="s">
        <v>274</v>
      </c>
      <c r="E78" s="8" t="s">
        <v>734</v>
      </c>
      <c r="F78" s="9" t="s">
        <v>1</v>
      </c>
      <c r="G78" s="13">
        <v>100</v>
      </c>
      <c r="H78" s="8"/>
      <c r="I78" s="8"/>
      <c r="J78" s="9">
        <f>+J77+Table23453591011[[#This Row],[AMOUNT]]-Table23453591011[[#This Row],[AMOUNT2]]-Table23453591011[[#This Row],[AMOUNT3]]</f>
        <v>10065</v>
      </c>
      <c r="K78" s="79"/>
    </row>
    <row r="79" spans="1:11" x14ac:dyDescent="0.35">
      <c r="A79" s="108">
        <v>46178</v>
      </c>
      <c r="B79" s="18"/>
      <c r="C79" s="18"/>
      <c r="D79" s="33" t="s">
        <v>274</v>
      </c>
      <c r="E79" s="6" t="s">
        <v>68</v>
      </c>
      <c r="F79" s="33" t="s">
        <v>460</v>
      </c>
      <c r="G79" s="16">
        <v>2400</v>
      </c>
      <c r="H79" s="18"/>
      <c r="I79" s="18"/>
      <c r="J79" s="17">
        <f>+J78+Table23453591011[[#This Row],[AMOUNT]]-Table23453591011[[#This Row],[AMOUNT2]]-Table23453591011[[#This Row],[AMOUNT3]]</f>
        <v>7665</v>
      </c>
      <c r="K79" s="79"/>
    </row>
    <row r="80" spans="1:11" x14ac:dyDescent="0.35">
      <c r="A80" s="29">
        <v>46178</v>
      </c>
      <c r="B80" s="8"/>
      <c r="C80" s="8"/>
      <c r="D80" s="9" t="s">
        <v>274</v>
      </c>
      <c r="E80" s="8" t="s">
        <v>55</v>
      </c>
      <c r="F80" s="9" t="s">
        <v>721</v>
      </c>
      <c r="G80" s="13">
        <v>120</v>
      </c>
      <c r="H80" s="8"/>
      <c r="I80" s="8"/>
      <c r="J80" s="9">
        <f>+J79+Table23453591011[[#This Row],[AMOUNT]]-Table23453591011[[#This Row],[AMOUNT2]]-Table23453591011[[#This Row],[AMOUNT3]]</f>
        <v>7545</v>
      </c>
      <c r="K80" s="79"/>
    </row>
    <row r="81" spans="1:11" x14ac:dyDescent="0.35">
      <c r="A81" s="29">
        <v>46179</v>
      </c>
      <c r="B81" s="8"/>
      <c r="C81" s="8"/>
      <c r="D81" s="9" t="s">
        <v>153</v>
      </c>
      <c r="E81" s="8" t="s">
        <v>734</v>
      </c>
      <c r="F81" s="9" t="s">
        <v>1</v>
      </c>
      <c r="G81" s="13">
        <v>100</v>
      </c>
      <c r="H81" s="8"/>
      <c r="I81" s="8"/>
      <c r="J81" s="9">
        <f>+J80+Table23453591011[[#This Row],[AMOUNT]]-Table23453591011[[#This Row],[AMOUNT2]]-Table23453591011[[#This Row],[AMOUNT3]]</f>
        <v>7445</v>
      </c>
      <c r="K81" s="79"/>
    </row>
    <row r="82" spans="1:11" x14ac:dyDescent="0.35">
      <c r="A82" s="29">
        <v>46179</v>
      </c>
      <c r="B82" s="8"/>
      <c r="C82" s="8"/>
      <c r="D82" s="9" t="s">
        <v>153</v>
      </c>
      <c r="E82" s="8" t="s">
        <v>710</v>
      </c>
      <c r="F82" s="9" t="s">
        <v>558</v>
      </c>
      <c r="G82" s="13">
        <v>150</v>
      </c>
      <c r="H82" s="8"/>
      <c r="I82" s="8"/>
      <c r="J82" s="9">
        <f>+J81+Table23453591011[[#This Row],[AMOUNT]]-Table23453591011[[#This Row],[AMOUNT2]]-Table23453591011[[#This Row],[AMOUNT3]]</f>
        <v>7295</v>
      </c>
      <c r="K82" s="79"/>
    </row>
    <row r="83" spans="1:11" x14ac:dyDescent="0.35">
      <c r="A83" s="29">
        <v>46180</v>
      </c>
      <c r="B83" s="8"/>
      <c r="C83" s="8"/>
      <c r="D83" s="9" t="s">
        <v>153</v>
      </c>
      <c r="E83" s="8" t="s">
        <v>734</v>
      </c>
      <c r="F83" s="9" t="s">
        <v>1</v>
      </c>
      <c r="G83" s="13">
        <v>100</v>
      </c>
      <c r="H83" s="8"/>
      <c r="I83" s="8"/>
      <c r="J83" s="9">
        <f>+J82+Table23453591011[[#This Row],[AMOUNT]]-Table23453591011[[#This Row],[AMOUNT2]]-Table23453591011[[#This Row],[AMOUNT3]]</f>
        <v>7195</v>
      </c>
      <c r="K83" s="79"/>
    </row>
    <row r="84" spans="1:11" x14ac:dyDescent="0.35">
      <c r="A84" s="29">
        <v>46181</v>
      </c>
      <c r="B84" s="8"/>
      <c r="C84" s="8"/>
      <c r="D84" s="9" t="s">
        <v>153</v>
      </c>
      <c r="E84" s="8" t="s">
        <v>734</v>
      </c>
      <c r="F84" s="9" t="s">
        <v>1</v>
      </c>
      <c r="G84" s="13">
        <v>300</v>
      </c>
      <c r="H84" s="8"/>
      <c r="I84" s="8"/>
      <c r="J84" s="9">
        <f>+J83+Table23453591011[[#This Row],[AMOUNT]]-Table23453591011[[#This Row],[AMOUNT2]]-Table23453591011[[#This Row],[AMOUNT3]]</f>
        <v>6895</v>
      </c>
      <c r="K84" s="79"/>
    </row>
    <row r="85" spans="1:11" x14ac:dyDescent="0.35">
      <c r="A85" s="29">
        <v>46182</v>
      </c>
      <c r="B85" s="8" t="s">
        <v>18</v>
      </c>
      <c r="C85" s="23">
        <v>10000</v>
      </c>
      <c r="D85" s="9" t="s">
        <v>153</v>
      </c>
      <c r="E85" s="8" t="s">
        <v>68</v>
      </c>
      <c r="F85" s="9" t="s">
        <v>628</v>
      </c>
      <c r="G85" s="13">
        <v>4500</v>
      </c>
      <c r="H85" s="8"/>
      <c r="I85" s="8"/>
      <c r="J85" s="9">
        <f>+J84+Table23453591011[[#This Row],[AMOUNT]]-Table23453591011[[#This Row],[AMOUNT2]]-Table23453591011[[#This Row],[AMOUNT3]]</f>
        <v>12395</v>
      </c>
      <c r="K85" s="79"/>
    </row>
    <row r="86" spans="1:11" x14ac:dyDescent="0.35">
      <c r="A86" s="29">
        <v>46182</v>
      </c>
      <c r="B86" s="8"/>
      <c r="C86" s="8"/>
      <c r="D86" s="9" t="s">
        <v>153</v>
      </c>
      <c r="E86" s="8" t="s">
        <v>16</v>
      </c>
      <c r="F86" s="9" t="s">
        <v>629</v>
      </c>
      <c r="G86" s="13">
        <v>2300</v>
      </c>
      <c r="H86" s="8"/>
      <c r="I86" s="8"/>
      <c r="J86" s="9">
        <f>+J85+Table23453591011[[#This Row],[AMOUNT]]-Table23453591011[[#This Row],[AMOUNT2]]-Table23453591011[[#This Row],[AMOUNT3]]</f>
        <v>10095</v>
      </c>
      <c r="K86" s="79"/>
    </row>
    <row r="87" spans="1:11" x14ac:dyDescent="0.35">
      <c r="A87" s="29">
        <v>46182</v>
      </c>
      <c r="B87" s="8"/>
      <c r="C87" s="8"/>
      <c r="D87" s="9" t="s">
        <v>153</v>
      </c>
      <c r="E87" s="8" t="s">
        <v>734</v>
      </c>
      <c r="F87" s="9" t="s">
        <v>1</v>
      </c>
      <c r="G87" s="13">
        <v>100</v>
      </c>
      <c r="H87" s="8"/>
      <c r="I87" s="8"/>
      <c r="J87" s="9">
        <f>+J86+Table23453591011[[#This Row],[AMOUNT]]-Table23453591011[[#This Row],[AMOUNT2]]-Table23453591011[[#This Row],[AMOUNT3]]</f>
        <v>9995</v>
      </c>
      <c r="K87" s="79"/>
    </row>
    <row r="88" spans="1:11" x14ac:dyDescent="0.35">
      <c r="A88" s="29">
        <v>46182</v>
      </c>
      <c r="B88" s="8"/>
      <c r="C88" s="8"/>
      <c r="D88" s="9" t="s">
        <v>153</v>
      </c>
      <c r="E88" s="8" t="s">
        <v>55</v>
      </c>
      <c r="F88" s="9" t="s">
        <v>641</v>
      </c>
      <c r="G88" s="13">
        <v>160</v>
      </c>
      <c r="H88" s="8"/>
      <c r="I88" s="8"/>
      <c r="J88" s="9">
        <f>+J87+Table23453591011[[#This Row],[AMOUNT]]-Table23453591011[[#This Row],[AMOUNT2]]-Table23453591011[[#This Row],[AMOUNT3]]</f>
        <v>9835</v>
      </c>
      <c r="K88" s="79"/>
    </row>
    <row r="89" spans="1:11" x14ac:dyDescent="0.35">
      <c r="A89" s="29">
        <v>46183</v>
      </c>
      <c r="B89" s="8" t="s">
        <v>18</v>
      </c>
      <c r="C89" s="23">
        <v>10000</v>
      </c>
      <c r="D89" s="9" t="s">
        <v>153</v>
      </c>
      <c r="E89" s="8" t="s">
        <v>68</v>
      </c>
      <c r="F89" s="9" t="s">
        <v>630</v>
      </c>
      <c r="G89" s="13">
        <v>2250</v>
      </c>
      <c r="H89" s="8"/>
      <c r="I89" s="8"/>
      <c r="J89" s="9">
        <f>+J88+Table23453591011[[#This Row],[AMOUNT]]-Table23453591011[[#This Row],[AMOUNT2]]-Table23453591011[[#This Row],[AMOUNT3]]</f>
        <v>17585</v>
      </c>
      <c r="K89" s="79"/>
    </row>
    <row r="90" spans="1:11" x14ac:dyDescent="0.35">
      <c r="A90" s="29">
        <v>46183</v>
      </c>
      <c r="B90" s="8"/>
      <c r="C90" s="8"/>
      <c r="D90" s="9" t="s">
        <v>153</v>
      </c>
      <c r="E90" s="8" t="s">
        <v>16</v>
      </c>
      <c r="F90" s="9" t="s">
        <v>631</v>
      </c>
      <c r="G90" s="13">
        <v>1150</v>
      </c>
      <c r="H90" s="8"/>
      <c r="I90" s="8"/>
      <c r="J90" s="9">
        <f>+J89+Table23453591011[[#This Row],[AMOUNT]]-Table23453591011[[#This Row],[AMOUNT2]]-Table23453591011[[#This Row],[AMOUNT3]]</f>
        <v>16435</v>
      </c>
      <c r="K90" s="79"/>
    </row>
    <row r="91" spans="1:11" x14ac:dyDescent="0.35">
      <c r="A91" s="29">
        <v>46183</v>
      </c>
      <c r="B91" s="8"/>
      <c r="C91" s="8"/>
      <c r="D91" s="9" t="s">
        <v>153</v>
      </c>
      <c r="E91" s="8" t="s">
        <v>55</v>
      </c>
      <c r="F91" s="9" t="s">
        <v>641</v>
      </c>
      <c r="G91" s="13">
        <v>80</v>
      </c>
      <c r="H91" s="8"/>
      <c r="I91" s="8"/>
      <c r="J91" s="9">
        <f>+J90+Table23453591011[[#This Row],[AMOUNT]]-Table23453591011[[#This Row],[AMOUNT2]]-Table23453591011[[#This Row],[AMOUNT3]]</f>
        <v>16355</v>
      </c>
      <c r="K91" s="79"/>
    </row>
    <row r="92" spans="1:11" x14ac:dyDescent="0.35">
      <c r="A92" s="29">
        <v>46183</v>
      </c>
      <c r="B92" s="8"/>
      <c r="C92" s="8"/>
      <c r="D92" s="9" t="s">
        <v>153</v>
      </c>
      <c r="E92" s="8" t="s">
        <v>55</v>
      </c>
      <c r="F92" s="9" t="s">
        <v>641</v>
      </c>
      <c r="G92" s="13">
        <v>150</v>
      </c>
      <c r="H92" s="8"/>
      <c r="I92" s="8"/>
      <c r="J92" s="9">
        <f>+J91+Table23453591011[[#This Row],[AMOUNT]]-Table23453591011[[#This Row],[AMOUNT2]]-Table23453591011[[#This Row],[AMOUNT3]]</f>
        <v>16205</v>
      </c>
      <c r="K92" s="79"/>
    </row>
    <row r="93" spans="1:11" x14ac:dyDescent="0.35">
      <c r="A93" s="29">
        <v>46184</v>
      </c>
      <c r="B93" s="8"/>
      <c r="C93" s="8"/>
      <c r="D93" s="9" t="s">
        <v>153</v>
      </c>
      <c r="E93" s="8" t="s">
        <v>68</v>
      </c>
      <c r="F93" s="9" t="s">
        <v>630</v>
      </c>
      <c r="G93" s="13">
        <v>2250</v>
      </c>
      <c r="H93" s="8"/>
      <c r="I93" s="8"/>
      <c r="J93" s="9">
        <f>+J92+Table23453591011[[#This Row],[AMOUNT]]-Table23453591011[[#This Row],[AMOUNT2]]-Table23453591011[[#This Row],[AMOUNT3]]</f>
        <v>13955</v>
      </c>
      <c r="K93" s="79"/>
    </row>
    <row r="94" spans="1:11" x14ac:dyDescent="0.35">
      <c r="A94" s="29">
        <v>46184</v>
      </c>
      <c r="B94" s="8"/>
      <c r="C94" s="8"/>
      <c r="D94" s="9" t="s">
        <v>153</v>
      </c>
      <c r="E94" s="8" t="s">
        <v>68</v>
      </c>
      <c r="F94" s="99" t="s">
        <v>632</v>
      </c>
      <c r="G94" s="13">
        <v>1200</v>
      </c>
      <c r="H94" s="8"/>
      <c r="I94" s="8"/>
      <c r="J94" s="9">
        <f>+J93+Table23453591011[[#This Row],[AMOUNT]]-Table23453591011[[#This Row],[AMOUNT2]]-Table23453591011[[#This Row],[AMOUNT3]]</f>
        <v>12755</v>
      </c>
      <c r="K94" s="79"/>
    </row>
    <row r="95" spans="1:11" x14ac:dyDescent="0.35">
      <c r="A95" s="29">
        <v>46184</v>
      </c>
      <c r="B95" s="8"/>
      <c r="C95" s="8"/>
      <c r="D95" s="9" t="s">
        <v>153</v>
      </c>
      <c r="E95" s="8" t="s">
        <v>16</v>
      </c>
      <c r="F95" s="99" t="s">
        <v>629</v>
      </c>
      <c r="G95" s="13">
        <v>2300</v>
      </c>
      <c r="H95" s="8"/>
      <c r="I95" s="8"/>
      <c r="J95" s="9">
        <f>+J94+Table23453591011[[#This Row],[AMOUNT]]-Table23453591011[[#This Row],[AMOUNT2]]-Table23453591011[[#This Row],[AMOUNT3]]</f>
        <v>10455</v>
      </c>
      <c r="K95" s="79"/>
    </row>
    <row r="96" spans="1:11" x14ac:dyDescent="0.35">
      <c r="A96" s="29">
        <v>46184</v>
      </c>
      <c r="B96" s="8"/>
      <c r="C96" s="8"/>
      <c r="D96" s="9" t="s">
        <v>153</v>
      </c>
      <c r="E96" s="8" t="s">
        <v>55</v>
      </c>
      <c r="F96" s="9" t="s">
        <v>641</v>
      </c>
      <c r="G96" s="13">
        <v>140</v>
      </c>
      <c r="H96" s="8"/>
      <c r="I96" s="8"/>
      <c r="J96" s="9">
        <f>+J95+Table23453591011[[#This Row],[AMOUNT]]-Table23453591011[[#This Row],[AMOUNT2]]-Table23453591011[[#This Row],[AMOUNT3]]</f>
        <v>10315</v>
      </c>
      <c r="K96" s="79"/>
    </row>
    <row r="97" spans="1:11" x14ac:dyDescent="0.35">
      <c r="A97" s="29">
        <v>46184</v>
      </c>
      <c r="B97" s="8"/>
      <c r="C97" s="8"/>
      <c r="D97" s="9" t="s">
        <v>153</v>
      </c>
      <c r="E97" s="8" t="s">
        <v>55</v>
      </c>
      <c r="F97" s="9" t="s">
        <v>641</v>
      </c>
      <c r="G97" s="13">
        <v>130</v>
      </c>
      <c r="H97" s="8"/>
      <c r="I97" s="8"/>
      <c r="J97" s="9">
        <f>+J96+Table23453591011[[#This Row],[AMOUNT]]-Table23453591011[[#This Row],[AMOUNT2]]-Table23453591011[[#This Row],[AMOUNT3]]</f>
        <v>10185</v>
      </c>
      <c r="K97" s="79"/>
    </row>
    <row r="98" spans="1:11" x14ac:dyDescent="0.35">
      <c r="A98" s="29">
        <v>46184</v>
      </c>
      <c r="B98" s="8"/>
      <c r="C98" s="8"/>
      <c r="D98" s="9" t="s">
        <v>153</v>
      </c>
      <c r="E98" s="8" t="s">
        <v>55</v>
      </c>
      <c r="F98" s="9" t="s">
        <v>641</v>
      </c>
      <c r="G98" s="13">
        <v>100</v>
      </c>
      <c r="H98" s="8"/>
      <c r="I98" s="8"/>
      <c r="J98" s="9">
        <f>+J97+Table23453591011[[#This Row],[AMOUNT]]-Table23453591011[[#This Row],[AMOUNT2]]-Table23453591011[[#This Row],[AMOUNT3]]</f>
        <v>10085</v>
      </c>
      <c r="K98" s="79"/>
    </row>
    <row r="99" spans="1:11" x14ac:dyDescent="0.35">
      <c r="A99" s="29">
        <v>46185</v>
      </c>
      <c r="B99" s="8" t="s">
        <v>18</v>
      </c>
      <c r="C99" s="23">
        <v>10000</v>
      </c>
      <c r="D99" s="9" t="s">
        <v>153</v>
      </c>
      <c r="E99" s="8" t="s">
        <v>68</v>
      </c>
      <c r="F99" s="99" t="s">
        <v>630</v>
      </c>
      <c r="G99" s="13">
        <v>2250</v>
      </c>
      <c r="H99" s="8"/>
      <c r="I99" s="8"/>
      <c r="J99" s="9">
        <f>+J98+Table23453591011[[#This Row],[AMOUNT]]-Table23453591011[[#This Row],[AMOUNT2]]-Table23453591011[[#This Row],[AMOUNT3]]</f>
        <v>17835</v>
      </c>
      <c r="K99" s="79"/>
    </row>
    <row r="100" spans="1:11" x14ac:dyDescent="0.35">
      <c r="A100" s="29">
        <v>46185</v>
      </c>
      <c r="B100" s="8"/>
      <c r="C100" s="8"/>
      <c r="D100" s="9" t="s">
        <v>153</v>
      </c>
      <c r="E100" s="8" t="s">
        <v>68</v>
      </c>
      <c r="F100" s="99" t="s">
        <v>632</v>
      </c>
      <c r="G100" s="13">
        <v>1200</v>
      </c>
      <c r="H100" s="8"/>
      <c r="I100" s="8"/>
      <c r="J100" s="9">
        <f>+J99+Table23453591011[[#This Row],[AMOUNT]]-Table23453591011[[#This Row],[AMOUNT2]]-Table23453591011[[#This Row],[AMOUNT3]]</f>
        <v>16635</v>
      </c>
      <c r="K100" s="79"/>
    </row>
    <row r="101" spans="1:11" x14ac:dyDescent="0.35">
      <c r="A101" s="29">
        <v>46185</v>
      </c>
      <c r="B101" s="8"/>
      <c r="C101" s="8"/>
      <c r="D101" s="9" t="s">
        <v>153</v>
      </c>
      <c r="E101" s="8" t="s">
        <v>55</v>
      </c>
      <c r="F101" s="9" t="s">
        <v>641</v>
      </c>
      <c r="G101" s="13">
        <v>140</v>
      </c>
      <c r="H101" s="8"/>
      <c r="I101" s="8"/>
      <c r="J101" s="9">
        <f>+J100+Table23453591011[[#This Row],[AMOUNT]]-Table23453591011[[#This Row],[AMOUNT2]]-Table23453591011[[#This Row],[AMOUNT3]]</f>
        <v>16495</v>
      </c>
      <c r="K101" s="79"/>
    </row>
    <row r="102" spans="1:11" x14ac:dyDescent="0.35">
      <c r="A102" s="29">
        <v>46185</v>
      </c>
      <c r="B102" s="8"/>
      <c r="C102" s="8"/>
      <c r="D102" s="9" t="s">
        <v>153</v>
      </c>
      <c r="E102" s="8" t="s">
        <v>55</v>
      </c>
      <c r="F102" s="9" t="s">
        <v>641</v>
      </c>
      <c r="G102" s="13">
        <v>280</v>
      </c>
      <c r="H102" s="8"/>
      <c r="I102" s="8"/>
      <c r="J102" s="9">
        <f>+J101+Table23453591011[[#This Row],[AMOUNT]]-Table23453591011[[#This Row],[AMOUNT2]]-Table23453591011[[#This Row],[AMOUNT3]]</f>
        <v>16215</v>
      </c>
      <c r="K102" s="79"/>
    </row>
    <row r="103" spans="1:11" x14ac:dyDescent="0.35">
      <c r="A103" s="29">
        <v>46185</v>
      </c>
      <c r="B103" s="8"/>
      <c r="C103" s="8"/>
      <c r="D103" s="9" t="s">
        <v>153</v>
      </c>
      <c r="E103" s="8" t="s">
        <v>55</v>
      </c>
      <c r="F103" s="9" t="s">
        <v>641</v>
      </c>
      <c r="G103" s="13">
        <v>200</v>
      </c>
      <c r="H103" s="8"/>
      <c r="I103" s="8"/>
      <c r="J103" s="9">
        <f>+J102+Table23453591011[[#This Row],[AMOUNT]]-Table23453591011[[#This Row],[AMOUNT2]]-Table23453591011[[#This Row],[AMOUNT3]]</f>
        <v>16015</v>
      </c>
      <c r="K103" s="79"/>
    </row>
    <row r="104" spans="1:11" x14ac:dyDescent="0.35">
      <c r="A104" s="29">
        <v>46185</v>
      </c>
      <c r="B104" s="8"/>
      <c r="C104" s="8"/>
      <c r="D104" s="9" t="s">
        <v>153</v>
      </c>
      <c r="E104" s="8" t="s">
        <v>16</v>
      </c>
      <c r="F104" s="99" t="s">
        <v>629</v>
      </c>
      <c r="G104" s="13">
        <v>2300</v>
      </c>
      <c r="H104" s="8"/>
      <c r="I104" s="8"/>
      <c r="J104" s="9">
        <f>+J103+Table23453591011[[#This Row],[AMOUNT]]-Table23453591011[[#This Row],[AMOUNT2]]-Table23453591011[[#This Row],[AMOUNT3]]</f>
        <v>13715</v>
      </c>
      <c r="K104" s="79"/>
    </row>
    <row r="105" spans="1:11" x14ac:dyDescent="0.35">
      <c r="A105" s="29">
        <v>46186</v>
      </c>
      <c r="B105" s="8" t="s">
        <v>18</v>
      </c>
      <c r="C105" s="23">
        <v>6000</v>
      </c>
      <c r="D105" s="9" t="s">
        <v>153</v>
      </c>
      <c r="E105" s="8" t="s">
        <v>68</v>
      </c>
      <c r="F105" s="9" t="s">
        <v>630</v>
      </c>
      <c r="G105" s="13">
        <v>2250</v>
      </c>
      <c r="H105" s="8"/>
      <c r="I105" s="8"/>
      <c r="J105" s="9">
        <f>+J104+Table23453591011[[#This Row],[AMOUNT]]-Table23453591011[[#This Row],[AMOUNT2]]-Table23453591011[[#This Row],[AMOUNT3]]</f>
        <v>17465</v>
      </c>
      <c r="K105" s="79"/>
    </row>
    <row r="106" spans="1:11" x14ac:dyDescent="0.35">
      <c r="A106" s="29">
        <v>46186</v>
      </c>
      <c r="B106" s="8"/>
      <c r="C106" s="8"/>
      <c r="D106" s="9" t="s">
        <v>153</v>
      </c>
      <c r="E106" s="8" t="s">
        <v>68</v>
      </c>
      <c r="F106" s="9" t="s">
        <v>632</v>
      </c>
      <c r="G106" s="13">
        <v>1200</v>
      </c>
      <c r="H106" s="8"/>
      <c r="I106" s="8"/>
      <c r="J106" s="9">
        <f>+J105+Table23453591011[[#This Row],[AMOUNT]]-Table23453591011[[#This Row],[AMOUNT2]]-Table23453591011[[#This Row],[AMOUNT3]]</f>
        <v>16265</v>
      </c>
      <c r="K106" s="79"/>
    </row>
    <row r="107" spans="1:11" x14ac:dyDescent="0.35">
      <c r="A107" s="29">
        <v>46186</v>
      </c>
      <c r="B107" s="8"/>
      <c r="C107" s="8"/>
      <c r="D107" s="9" t="s">
        <v>153</v>
      </c>
      <c r="E107" s="8" t="s">
        <v>16</v>
      </c>
      <c r="F107" s="9" t="s">
        <v>629</v>
      </c>
      <c r="G107" s="13">
        <v>2300</v>
      </c>
      <c r="H107" s="8"/>
      <c r="I107" s="8"/>
      <c r="J107" s="9">
        <f>+J106+Table23453591011[[#This Row],[AMOUNT]]-Table23453591011[[#This Row],[AMOUNT2]]-Table23453591011[[#This Row],[AMOUNT3]]</f>
        <v>13965</v>
      </c>
      <c r="K107" s="79"/>
    </row>
    <row r="108" spans="1:11" x14ac:dyDescent="0.35">
      <c r="A108" s="29">
        <v>46186</v>
      </c>
      <c r="B108" s="8"/>
      <c r="C108" s="8"/>
      <c r="D108" s="9" t="s">
        <v>153</v>
      </c>
      <c r="E108" s="8" t="s">
        <v>55</v>
      </c>
      <c r="F108" s="9" t="s">
        <v>641</v>
      </c>
      <c r="G108" s="13">
        <v>40</v>
      </c>
      <c r="H108" s="8"/>
      <c r="I108" s="8"/>
      <c r="J108" s="9">
        <f>+J107+Table23453591011[[#This Row],[AMOUNT]]-Table23453591011[[#This Row],[AMOUNT2]]-Table23453591011[[#This Row],[AMOUNT3]]</f>
        <v>13925</v>
      </c>
      <c r="K108" s="79"/>
    </row>
    <row r="109" spans="1:11" x14ac:dyDescent="0.35">
      <c r="A109" s="29">
        <v>46186</v>
      </c>
      <c r="B109" s="8"/>
      <c r="C109" s="8"/>
      <c r="D109" s="9" t="s">
        <v>153</v>
      </c>
      <c r="E109" s="8" t="s">
        <v>55</v>
      </c>
      <c r="F109" s="9" t="s">
        <v>641</v>
      </c>
      <c r="G109" s="13">
        <v>140</v>
      </c>
      <c r="H109" s="8"/>
      <c r="I109" s="8"/>
      <c r="J109" s="9">
        <f>+J108+Table23453591011[[#This Row],[AMOUNT]]-Table23453591011[[#This Row],[AMOUNT2]]-Table23453591011[[#This Row],[AMOUNT3]]</f>
        <v>13785</v>
      </c>
      <c r="K109" s="79"/>
    </row>
    <row r="110" spans="1:11" x14ac:dyDescent="0.35">
      <c r="A110" s="29">
        <v>46187</v>
      </c>
      <c r="B110" s="8"/>
      <c r="C110" s="8"/>
      <c r="D110" s="9" t="s">
        <v>153</v>
      </c>
      <c r="E110" s="8" t="s">
        <v>68</v>
      </c>
      <c r="F110" s="99" t="s">
        <v>630</v>
      </c>
      <c r="G110" s="13">
        <v>2250</v>
      </c>
      <c r="H110" s="8"/>
      <c r="I110" s="8"/>
      <c r="J110" s="9">
        <f>+J109+Table23453591011[[#This Row],[AMOUNT]]-Table23453591011[[#This Row],[AMOUNT2]]-Table23453591011[[#This Row],[AMOUNT3]]</f>
        <v>11535</v>
      </c>
      <c r="K110" s="79"/>
    </row>
    <row r="111" spans="1:11" x14ac:dyDescent="0.35">
      <c r="A111" s="29">
        <v>46187</v>
      </c>
      <c r="B111" s="8"/>
      <c r="C111" s="8"/>
      <c r="D111" s="9" t="s">
        <v>153</v>
      </c>
      <c r="E111" s="8" t="s">
        <v>68</v>
      </c>
      <c r="F111" s="9" t="s">
        <v>632</v>
      </c>
      <c r="G111" s="13">
        <v>1200</v>
      </c>
      <c r="H111" s="8"/>
      <c r="I111" s="8"/>
      <c r="J111" s="9">
        <f>+J110+Table23453591011[[#This Row],[AMOUNT]]-Table23453591011[[#This Row],[AMOUNT2]]-Table23453591011[[#This Row],[AMOUNT3]]</f>
        <v>10335</v>
      </c>
      <c r="K111" s="79"/>
    </row>
    <row r="112" spans="1:11" x14ac:dyDescent="0.35">
      <c r="A112" s="29">
        <v>46187</v>
      </c>
      <c r="B112" s="8"/>
      <c r="C112" s="8"/>
      <c r="D112" s="9" t="s">
        <v>153</v>
      </c>
      <c r="E112" s="8" t="s">
        <v>16</v>
      </c>
      <c r="F112" s="99" t="s">
        <v>629</v>
      </c>
      <c r="G112" s="13">
        <v>2300</v>
      </c>
      <c r="H112" s="8"/>
      <c r="I112" s="8"/>
      <c r="J112" s="9">
        <f>+J111+Table23453591011[[#This Row],[AMOUNT]]-Table23453591011[[#This Row],[AMOUNT2]]-Table23453591011[[#This Row],[AMOUNT3]]</f>
        <v>8035</v>
      </c>
      <c r="K112" s="79"/>
    </row>
    <row r="113" spans="1:11" x14ac:dyDescent="0.35">
      <c r="A113" s="29">
        <v>46187</v>
      </c>
      <c r="B113" s="8"/>
      <c r="C113" s="8"/>
      <c r="D113" s="9" t="s">
        <v>153</v>
      </c>
      <c r="E113" s="8" t="s">
        <v>55</v>
      </c>
      <c r="F113" s="9" t="s">
        <v>641</v>
      </c>
      <c r="G113" s="13">
        <v>100</v>
      </c>
      <c r="H113" s="8"/>
      <c r="I113" s="8"/>
      <c r="J113" s="9">
        <f>+J112+Table23453591011[[#This Row],[AMOUNT]]-Table23453591011[[#This Row],[AMOUNT2]]-Table23453591011[[#This Row],[AMOUNT3]]</f>
        <v>7935</v>
      </c>
      <c r="K113" s="79"/>
    </row>
    <row r="114" spans="1:11" x14ac:dyDescent="0.35">
      <c r="A114" s="29">
        <v>46187</v>
      </c>
      <c r="B114" s="8"/>
      <c r="C114" s="8"/>
      <c r="D114" s="9" t="s">
        <v>153</v>
      </c>
      <c r="E114" s="8" t="s">
        <v>55</v>
      </c>
      <c r="F114" s="9" t="s">
        <v>641</v>
      </c>
      <c r="G114" s="13">
        <v>150</v>
      </c>
      <c r="H114" s="8"/>
      <c r="I114" s="8"/>
      <c r="J114" s="9">
        <f>+J113+Table23453591011[[#This Row],[AMOUNT]]-Table23453591011[[#This Row],[AMOUNT2]]-Table23453591011[[#This Row],[AMOUNT3]]</f>
        <v>7785</v>
      </c>
      <c r="K114" s="79"/>
    </row>
    <row r="115" spans="1:11" x14ac:dyDescent="0.35">
      <c r="A115" s="29">
        <v>46187</v>
      </c>
      <c r="B115" s="8"/>
      <c r="C115" s="8"/>
      <c r="D115" s="9" t="s">
        <v>153</v>
      </c>
      <c r="E115" s="8" t="s">
        <v>55</v>
      </c>
      <c r="F115" s="9" t="s">
        <v>641</v>
      </c>
      <c r="G115" s="13">
        <v>140</v>
      </c>
      <c r="H115" s="8"/>
      <c r="I115" s="8"/>
      <c r="J115" s="9">
        <f>+J114+Table23453591011[[#This Row],[AMOUNT]]-Table23453591011[[#This Row],[AMOUNT2]]-Table23453591011[[#This Row],[AMOUNT3]]</f>
        <v>7645</v>
      </c>
      <c r="K115" s="79"/>
    </row>
    <row r="116" spans="1:11" x14ac:dyDescent="0.35">
      <c r="A116" s="29">
        <v>46188</v>
      </c>
      <c r="B116" s="8"/>
      <c r="C116" s="8"/>
      <c r="D116" s="9" t="s">
        <v>153</v>
      </c>
      <c r="E116" s="8" t="s">
        <v>68</v>
      </c>
      <c r="F116" s="9" t="s">
        <v>630</v>
      </c>
      <c r="G116" s="13">
        <v>2250</v>
      </c>
      <c r="H116" s="8"/>
      <c r="I116" s="8"/>
      <c r="J116" s="9">
        <f>+J115+Table23453591011[[#This Row],[AMOUNT]]-Table23453591011[[#This Row],[AMOUNT2]]-Table23453591011[[#This Row],[AMOUNT3]]</f>
        <v>5395</v>
      </c>
      <c r="K116" s="79"/>
    </row>
    <row r="117" spans="1:11" x14ac:dyDescent="0.35">
      <c r="A117" s="29">
        <v>46188</v>
      </c>
      <c r="B117" s="8"/>
      <c r="C117" s="8"/>
      <c r="D117" s="9" t="s">
        <v>153</v>
      </c>
      <c r="E117" s="8" t="s">
        <v>16</v>
      </c>
      <c r="F117" s="9" t="s">
        <v>629</v>
      </c>
      <c r="G117" s="13">
        <v>2300</v>
      </c>
      <c r="H117" s="8"/>
      <c r="I117" s="8"/>
      <c r="J117" s="9">
        <f>+J116+Table23453591011[[#This Row],[AMOUNT]]-Table23453591011[[#This Row],[AMOUNT2]]-Table23453591011[[#This Row],[AMOUNT3]]</f>
        <v>3095</v>
      </c>
      <c r="K117" s="79"/>
    </row>
    <row r="118" spans="1:11" x14ac:dyDescent="0.35">
      <c r="A118" s="29">
        <v>46188</v>
      </c>
      <c r="B118" s="8"/>
      <c r="C118" s="8"/>
      <c r="D118" s="9" t="s">
        <v>153</v>
      </c>
      <c r="E118" s="8" t="s">
        <v>55</v>
      </c>
      <c r="F118" s="9" t="s">
        <v>641</v>
      </c>
      <c r="G118" s="13">
        <v>100</v>
      </c>
      <c r="H118" s="8"/>
      <c r="I118" s="8"/>
      <c r="J118" s="9">
        <f>+J117+Table23453591011[[#This Row],[AMOUNT]]-Table23453591011[[#This Row],[AMOUNT2]]-Table23453591011[[#This Row],[AMOUNT3]]</f>
        <v>2995</v>
      </c>
      <c r="K118" s="79"/>
    </row>
    <row r="119" spans="1:11" x14ac:dyDescent="0.35">
      <c r="A119" s="29">
        <v>46188</v>
      </c>
      <c r="B119" s="8"/>
      <c r="C119" s="8"/>
      <c r="D119" s="9" t="s">
        <v>153</v>
      </c>
      <c r="E119" s="8" t="s">
        <v>55</v>
      </c>
      <c r="F119" s="9" t="s">
        <v>641</v>
      </c>
      <c r="G119" s="13">
        <v>150</v>
      </c>
      <c r="H119" s="8"/>
      <c r="I119" s="8"/>
      <c r="J119" s="9">
        <f>+J118+Table23453591011[[#This Row],[AMOUNT]]-Table23453591011[[#This Row],[AMOUNT2]]-Table23453591011[[#This Row],[AMOUNT3]]</f>
        <v>2845</v>
      </c>
      <c r="K119" s="79"/>
    </row>
    <row r="120" spans="1:11" x14ac:dyDescent="0.35">
      <c r="A120" s="29">
        <v>46189</v>
      </c>
      <c r="B120" s="8" t="s">
        <v>18</v>
      </c>
      <c r="C120" s="23">
        <v>10000</v>
      </c>
      <c r="D120" s="9" t="s">
        <v>153</v>
      </c>
      <c r="E120" s="8" t="s">
        <v>68</v>
      </c>
      <c r="F120" s="9" t="s">
        <v>630</v>
      </c>
      <c r="G120" s="13">
        <v>2250</v>
      </c>
      <c r="H120" s="8"/>
      <c r="I120" s="8"/>
      <c r="J120" s="9">
        <f>+J119+Table23453591011[[#This Row],[AMOUNT]]-Table23453591011[[#This Row],[AMOUNT2]]-Table23453591011[[#This Row],[AMOUNT3]]</f>
        <v>10595</v>
      </c>
      <c r="K120" s="79"/>
    </row>
    <row r="121" spans="1:11" x14ac:dyDescent="0.35">
      <c r="A121" s="29">
        <v>46189</v>
      </c>
      <c r="B121" s="8"/>
      <c r="C121" s="8"/>
      <c r="D121" s="9" t="s">
        <v>153</v>
      </c>
      <c r="E121" s="8" t="s">
        <v>16</v>
      </c>
      <c r="F121" s="9" t="s">
        <v>629</v>
      </c>
      <c r="G121" s="13">
        <v>2300</v>
      </c>
      <c r="H121" s="8"/>
      <c r="I121" s="8"/>
      <c r="J121" s="9">
        <f>+J120+Table23453591011[[#This Row],[AMOUNT]]-Table23453591011[[#This Row],[AMOUNT2]]-Table23453591011[[#This Row],[AMOUNT3]]</f>
        <v>8295</v>
      </c>
      <c r="K121" s="79"/>
    </row>
    <row r="122" spans="1:11" x14ac:dyDescent="0.35">
      <c r="A122" s="29">
        <v>46189</v>
      </c>
      <c r="B122" s="8"/>
      <c r="C122" s="8"/>
      <c r="D122" s="9" t="s">
        <v>153</v>
      </c>
      <c r="E122" s="8" t="s">
        <v>55</v>
      </c>
      <c r="F122" s="9" t="s">
        <v>641</v>
      </c>
      <c r="G122" s="13">
        <v>100</v>
      </c>
      <c r="H122" s="8"/>
      <c r="I122" s="8"/>
      <c r="J122" s="9">
        <f>+J121+Table23453591011[[#This Row],[AMOUNT]]-Table23453591011[[#This Row],[AMOUNT2]]-Table23453591011[[#This Row],[AMOUNT3]]</f>
        <v>8195</v>
      </c>
      <c r="K122" s="79"/>
    </row>
    <row r="123" spans="1:11" x14ac:dyDescent="0.35">
      <c r="A123" s="29">
        <v>46189</v>
      </c>
      <c r="B123" s="8"/>
      <c r="C123" s="8"/>
      <c r="D123" s="9" t="s">
        <v>153</v>
      </c>
      <c r="E123" s="18" t="s">
        <v>17</v>
      </c>
      <c r="F123" s="17" t="s">
        <v>719</v>
      </c>
      <c r="G123" s="93">
        <v>500</v>
      </c>
      <c r="H123" s="8"/>
      <c r="I123" s="8"/>
      <c r="J123" s="9">
        <f>+J122+Table23453591011[[#This Row],[AMOUNT]]-Table23453591011[[#This Row],[AMOUNT2]]-Table23453591011[[#This Row],[AMOUNT3]]</f>
        <v>7695</v>
      </c>
      <c r="K123" s="79"/>
    </row>
    <row r="124" spans="1:11" x14ac:dyDescent="0.35">
      <c r="A124" s="29">
        <v>46189</v>
      </c>
      <c r="B124" s="8"/>
      <c r="C124" s="8"/>
      <c r="D124" s="9" t="s">
        <v>153</v>
      </c>
      <c r="E124" s="8" t="s">
        <v>55</v>
      </c>
      <c r="F124" s="9" t="s">
        <v>641</v>
      </c>
      <c r="G124" s="13">
        <v>200</v>
      </c>
      <c r="H124" s="8"/>
      <c r="I124" s="8"/>
      <c r="J124" s="9">
        <f>+J123+Table23453591011[[#This Row],[AMOUNT]]-Table23453591011[[#This Row],[AMOUNT2]]-Table23453591011[[#This Row],[AMOUNT3]]</f>
        <v>7495</v>
      </c>
      <c r="K124" s="79"/>
    </row>
    <row r="125" spans="1:11" x14ac:dyDescent="0.35">
      <c r="A125" s="29">
        <v>46190</v>
      </c>
      <c r="B125" s="8"/>
      <c r="C125" s="8"/>
      <c r="D125" s="9" t="s">
        <v>153</v>
      </c>
      <c r="E125" s="8" t="s">
        <v>68</v>
      </c>
      <c r="F125" s="9" t="s">
        <v>221</v>
      </c>
      <c r="G125" s="13">
        <v>3000</v>
      </c>
      <c r="H125" s="8"/>
      <c r="I125" s="8"/>
      <c r="J125" s="9">
        <f>+J124+Table23453591011[[#This Row],[AMOUNT]]-Table23453591011[[#This Row],[AMOUNT2]]-Table23453591011[[#This Row],[AMOUNT3]]</f>
        <v>4495</v>
      </c>
      <c r="K125" s="79"/>
    </row>
    <row r="126" spans="1:11" x14ac:dyDescent="0.35">
      <c r="A126" s="29">
        <v>46190</v>
      </c>
      <c r="B126" s="8"/>
      <c r="C126" s="8"/>
      <c r="D126" s="9" t="s">
        <v>153</v>
      </c>
      <c r="E126" s="8" t="s">
        <v>68</v>
      </c>
      <c r="F126" s="9" t="s">
        <v>717</v>
      </c>
      <c r="G126" s="13">
        <v>600</v>
      </c>
      <c r="H126" s="8"/>
      <c r="I126" s="8"/>
      <c r="J126" s="9">
        <f>+J125+Table23453591011[[#This Row],[AMOUNT]]-Table23453591011[[#This Row],[AMOUNT2]]-Table23453591011[[#This Row],[AMOUNT3]]</f>
        <v>3895</v>
      </c>
      <c r="K126" s="79"/>
    </row>
    <row r="127" spans="1:11" x14ac:dyDescent="0.35">
      <c r="A127" s="29">
        <v>46190</v>
      </c>
      <c r="B127" s="8"/>
      <c r="C127" s="8"/>
      <c r="D127" s="9" t="s">
        <v>153</v>
      </c>
      <c r="E127" s="8" t="s">
        <v>16</v>
      </c>
      <c r="F127" s="9" t="s">
        <v>629</v>
      </c>
      <c r="G127" s="13">
        <v>2300</v>
      </c>
      <c r="H127" s="8"/>
      <c r="I127" s="8"/>
      <c r="J127" s="9">
        <f>+J126+Table23453591011[[#This Row],[AMOUNT]]-Table23453591011[[#This Row],[AMOUNT2]]-Table23453591011[[#This Row],[AMOUNT3]]</f>
        <v>1595</v>
      </c>
      <c r="K127" s="79"/>
    </row>
    <row r="128" spans="1:11" x14ac:dyDescent="0.35">
      <c r="A128" s="29">
        <v>46190</v>
      </c>
      <c r="B128" s="8"/>
      <c r="C128" s="8"/>
      <c r="D128" s="9" t="s">
        <v>153</v>
      </c>
      <c r="E128" s="8" t="s">
        <v>55</v>
      </c>
      <c r="F128" s="9" t="s">
        <v>641</v>
      </c>
      <c r="G128" s="13">
        <v>140</v>
      </c>
      <c r="H128" s="8"/>
      <c r="I128" s="8"/>
      <c r="J128" s="9">
        <f>+J127+Table23453591011[[#This Row],[AMOUNT]]-Table23453591011[[#This Row],[AMOUNT2]]-Table23453591011[[#This Row],[AMOUNT3]]</f>
        <v>1455</v>
      </c>
      <c r="K128" s="79"/>
    </row>
    <row r="129" spans="1:11" x14ac:dyDescent="0.35">
      <c r="A129" s="29">
        <v>46190</v>
      </c>
      <c r="B129" s="8"/>
      <c r="C129" s="8"/>
      <c r="D129" s="9" t="s">
        <v>153</v>
      </c>
      <c r="E129" s="8" t="s">
        <v>55</v>
      </c>
      <c r="F129" s="9" t="s">
        <v>641</v>
      </c>
      <c r="G129" s="13">
        <v>100</v>
      </c>
      <c r="H129" s="8"/>
      <c r="I129" s="8"/>
      <c r="J129" s="9">
        <f>+J128+Table23453591011[[#This Row],[AMOUNT]]-Table23453591011[[#This Row],[AMOUNT2]]-Table23453591011[[#This Row],[AMOUNT3]]</f>
        <v>1355</v>
      </c>
      <c r="K129" s="79"/>
    </row>
    <row r="130" spans="1:11" x14ac:dyDescent="0.35">
      <c r="A130" s="29">
        <v>46191</v>
      </c>
      <c r="B130" s="8" t="s">
        <v>18</v>
      </c>
      <c r="C130" s="23">
        <v>10800</v>
      </c>
      <c r="D130" s="9" t="s">
        <v>153</v>
      </c>
      <c r="E130" s="8" t="s">
        <v>68</v>
      </c>
      <c r="F130" s="9" t="s">
        <v>630</v>
      </c>
      <c r="G130" s="13">
        <v>2250</v>
      </c>
      <c r="H130" s="8"/>
      <c r="I130" s="8"/>
      <c r="J130" s="9">
        <f>+J129+Table23453591011[[#This Row],[AMOUNT]]-Table23453591011[[#This Row],[AMOUNT2]]-Table23453591011[[#This Row],[AMOUNT3]]</f>
        <v>9905</v>
      </c>
      <c r="K130" s="79"/>
    </row>
    <row r="131" spans="1:11" x14ac:dyDescent="0.35">
      <c r="A131" s="29">
        <v>46191</v>
      </c>
      <c r="B131" s="8"/>
      <c r="C131" s="8"/>
      <c r="D131" s="9" t="s">
        <v>153</v>
      </c>
      <c r="E131" s="8" t="s">
        <v>68</v>
      </c>
      <c r="F131" s="9" t="s">
        <v>632</v>
      </c>
      <c r="G131" s="13">
        <v>1200</v>
      </c>
      <c r="H131" s="8"/>
      <c r="I131" s="8"/>
      <c r="J131" s="9">
        <f>+J130+Table23453591011[[#This Row],[AMOUNT]]-Table23453591011[[#This Row],[AMOUNT2]]-Table23453591011[[#This Row],[AMOUNT3]]</f>
        <v>8705</v>
      </c>
      <c r="K131" s="79"/>
    </row>
    <row r="132" spans="1:11" x14ac:dyDescent="0.35">
      <c r="A132" s="29">
        <v>46191</v>
      </c>
      <c r="B132" s="8"/>
      <c r="C132" s="8"/>
      <c r="D132" s="9" t="s">
        <v>153</v>
      </c>
      <c r="E132" s="8" t="s">
        <v>55</v>
      </c>
      <c r="F132" s="9" t="s">
        <v>641</v>
      </c>
      <c r="G132" s="13">
        <v>140</v>
      </c>
      <c r="H132" s="8"/>
      <c r="I132" s="8"/>
      <c r="J132" s="9">
        <f>+J131+Table23453591011[[#This Row],[AMOUNT]]-Table23453591011[[#This Row],[AMOUNT2]]-Table23453591011[[#This Row],[AMOUNT3]]</f>
        <v>8565</v>
      </c>
      <c r="K132" s="79"/>
    </row>
    <row r="133" spans="1:11" x14ac:dyDescent="0.35">
      <c r="A133" s="29">
        <v>46191</v>
      </c>
      <c r="B133" s="8"/>
      <c r="C133" s="8"/>
      <c r="D133" s="9" t="s">
        <v>153</v>
      </c>
      <c r="E133" s="8" t="s">
        <v>16</v>
      </c>
      <c r="F133" s="9" t="s">
        <v>629</v>
      </c>
      <c r="G133" s="13">
        <v>2300</v>
      </c>
      <c r="H133" s="8"/>
      <c r="I133" s="8"/>
      <c r="J133" s="9">
        <f>+J132+Table23453591011[[#This Row],[AMOUNT]]-Table23453591011[[#This Row],[AMOUNT2]]-Table23453591011[[#This Row],[AMOUNT3]]</f>
        <v>6265</v>
      </c>
      <c r="K133" s="79"/>
    </row>
    <row r="134" spans="1:11" x14ac:dyDescent="0.35">
      <c r="A134" s="29">
        <v>46191</v>
      </c>
      <c r="B134" s="8"/>
      <c r="C134" s="8"/>
      <c r="D134" s="9" t="s">
        <v>153</v>
      </c>
      <c r="E134" s="8" t="s">
        <v>734</v>
      </c>
      <c r="F134" s="9" t="s">
        <v>1</v>
      </c>
      <c r="G134" s="13">
        <v>250</v>
      </c>
      <c r="H134" s="8"/>
      <c r="I134" s="8"/>
      <c r="J134" s="9">
        <f>+J133+Table23453591011[[#This Row],[AMOUNT]]-Table23453591011[[#This Row],[AMOUNT2]]-Table23453591011[[#This Row],[AMOUNT3]]</f>
        <v>6015</v>
      </c>
      <c r="K134" s="79"/>
    </row>
    <row r="135" spans="1:11" x14ac:dyDescent="0.35">
      <c r="A135" s="29" t="s">
        <v>642</v>
      </c>
      <c r="B135" s="8" t="s">
        <v>18</v>
      </c>
      <c r="C135" s="23">
        <v>11000</v>
      </c>
      <c r="D135" s="9" t="s">
        <v>153</v>
      </c>
      <c r="E135" s="8" t="s">
        <v>68</v>
      </c>
      <c r="F135" s="9" t="s">
        <v>643</v>
      </c>
      <c r="G135" s="13">
        <v>1500</v>
      </c>
      <c r="H135" s="8"/>
      <c r="I135" s="8"/>
      <c r="J135" s="9">
        <f>+J134+Table23453591011[[#This Row],[AMOUNT]]-Table23453591011[[#This Row],[AMOUNT2]]-Table23453591011[[#This Row],[AMOUNT3]]</f>
        <v>15515</v>
      </c>
      <c r="K135" s="79"/>
    </row>
    <row r="136" spans="1:11" x14ac:dyDescent="0.35">
      <c r="A136" s="29" t="s">
        <v>642</v>
      </c>
      <c r="B136" s="8"/>
      <c r="C136" s="8"/>
      <c r="D136" s="9" t="s">
        <v>153</v>
      </c>
      <c r="E136" s="8" t="s">
        <v>16</v>
      </c>
      <c r="F136" s="9" t="s">
        <v>631</v>
      </c>
      <c r="G136" s="13">
        <v>1150</v>
      </c>
      <c r="H136" s="8"/>
      <c r="I136" s="8"/>
      <c r="J136" s="9">
        <f>+J135+Table23453591011[[#This Row],[AMOUNT]]-Table23453591011[[#This Row],[AMOUNT2]]-Table23453591011[[#This Row],[AMOUNT3]]</f>
        <v>14365</v>
      </c>
      <c r="K136" s="79"/>
    </row>
    <row r="137" spans="1:11" x14ac:dyDescent="0.35">
      <c r="A137" s="29" t="s">
        <v>642</v>
      </c>
      <c r="B137" s="8"/>
      <c r="C137" s="8"/>
      <c r="D137" s="9" t="s">
        <v>153</v>
      </c>
      <c r="E137" s="8" t="s">
        <v>734</v>
      </c>
      <c r="F137" s="9" t="s">
        <v>1</v>
      </c>
      <c r="G137" s="13">
        <v>100</v>
      </c>
      <c r="H137" s="8"/>
      <c r="I137" s="8"/>
      <c r="J137" s="9">
        <f>+J136+Table23453591011[[#This Row],[AMOUNT]]-Table23453591011[[#This Row],[AMOUNT2]]-Table23453591011[[#This Row],[AMOUNT3]]</f>
        <v>14265</v>
      </c>
      <c r="K137" s="79"/>
    </row>
    <row r="138" spans="1:11" x14ac:dyDescent="0.35">
      <c r="A138" s="29" t="s">
        <v>642</v>
      </c>
      <c r="B138" s="8"/>
      <c r="C138" s="8"/>
      <c r="D138" s="9" t="s">
        <v>153</v>
      </c>
      <c r="E138" s="8" t="s">
        <v>37</v>
      </c>
      <c r="F138" s="9" t="s">
        <v>415</v>
      </c>
      <c r="G138" s="13">
        <v>900</v>
      </c>
      <c r="H138" s="8"/>
      <c r="I138" s="8"/>
      <c r="J138" s="9">
        <f>+J137+Table23453591011[[#This Row],[AMOUNT]]-Table23453591011[[#This Row],[AMOUNT2]]-Table23453591011[[#This Row],[AMOUNT3]]</f>
        <v>13365</v>
      </c>
      <c r="K138" s="79"/>
    </row>
    <row r="139" spans="1:11" x14ac:dyDescent="0.35">
      <c r="A139" s="29" t="s">
        <v>642</v>
      </c>
      <c r="B139" s="8"/>
      <c r="C139" s="8"/>
      <c r="D139" s="9" t="s">
        <v>153</v>
      </c>
      <c r="E139" s="8" t="s">
        <v>55</v>
      </c>
      <c r="F139" s="9" t="s">
        <v>641</v>
      </c>
      <c r="G139" s="13">
        <v>60</v>
      </c>
      <c r="H139" s="8"/>
      <c r="I139" s="8"/>
      <c r="J139" s="9">
        <f>+J138+Table23453591011[[#This Row],[AMOUNT]]-Table23453591011[[#This Row],[AMOUNT2]]-Table23453591011[[#This Row],[AMOUNT3]]</f>
        <v>13305</v>
      </c>
      <c r="K139" s="79"/>
    </row>
    <row r="140" spans="1:11" x14ac:dyDescent="0.35">
      <c r="A140" s="29" t="s">
        <v>644</v>
      </c>
      <c r="B140" s="8"/>
      <c r="C140" s="8"/>
      <c r="D140" s="9" t="s">
        <v>153</v>
      </c>
      <c r="E140" s="8" t="s">
        <v>68</v>
      </c>
      <c r="F140" s="9" t="s">
        <v>643</v>
      </c>
      <c r="G140" s="13">
        <v>1500</v>
      </c>
      <c r="H140" s="8"/>
      <c r="I140" s="8"/>
      <c r="J140" s="9">
        <f>+J139+Table23453591011[[#This Row],[AMOUNT]]-Table23453591011[[#This Row],[AMOUNT2]]-Table23453591011[[#This Row],[AMOUNT3]]</f>
        <v>11805</v>
      </c>
      <c r="K140" s="79"/>
    </row>
    <row r="141" spans="1:11" x14ac:dyDescent="0.35">
      <c r="A141" s="29" t="s">
        <v>644</v>
      </c>
      <c r="B141" s="8"/>
      <c r="C141" s="8"/>
      <c r="D141" s="9" t="s">
        <v>153</v>
      </c>
      <c r="E141" s="8" t="s">
        <v>68</v>
      </c>
      <c r="F141" s="9" t="s">
        <v>285</v>
      </c>
      <c r="G141" s="13">
        <v>1600</v>
      </c>
      <c r="H141" s="8"/>
      <c r="I141" s="8"/>
      <c r="J141" s="9">
        <f>+J140+Table23453591011[[#This Row],[AMOUNT]]-Table23453591011[[#This Row],[AMOUNT2]]-Table23453591011[[#This Row],[AMOUNT3]]</f>
        <v>10205</v>
      </c>
      <c r="K141" s="79"/>
    </row>
    <row r="142" spans="1:11" x14ac:dyDescent="0.35">
      <c r="A142" s="29" t="s">
        <v>644</v>
      </c>
      <c r="B142" s="8"/>
      <c r="C142" s="8"/>
      <c r="D142" s="9" t="s">
        <v>153</v>
      </c>
      <c r="E142" s="8" t="s">
        <v>17</v>
      </c>
      <c r="F142" s="9" t="s">
        <v>645</v>
      </c>
      <c r="G142" s="13">
        <v>30</v>
      </c>
      <c r="H142" s="8"/>
      <c r="I142" s="8"/>
      <c r="J142" s="9">
        <f>+J141+Table23453591011[[#This Row],[AMOUNT]]-Table23453591011[[#This Row],[AMOUNT2]]-Table23453591011[[#This Row],[AMOUNT3]]</f>
        <v>10175</v>
      </c>
      <c r="K142" s="79"/>
    </row>
    <row r="143" spans="1:11" x14ac:dyDescent="0.35">
      <c r="A143" s="29" t="s">
        <v>644</v>
      </c>
      <c r="B143" s="8"/>
      <c r="C143" s="8"/>
      <c r="D143" s="9" t="s">
        <v>153</v>
      </c>
      <c r="E143" s="8" t="s">
        <v>16</v>
      </c>
      <c r="F143" s="9" t="s">
        <v>646</v>
      </c>
      <c r="G143" s="13">
        <v>1200</v>
      </c>
      <c r="H143" s="8"/>
      <c r="I143" s="8"/>
      <c r="J143" s="9">
        <f>+J142+Table23453591011[[#This Row],[AMOUNT]]-Table23453591011[[#This Row],[AMOUNT2]]-Table23453591011[[#This Row],[AMOUNT3]]</f>
        <v>8975</v>
      </c>
      <c r="K143" s="79"/>
    </row>
    <row r="144" spans="1:11" x14ac:dyDescent="0.35">
      <c r="A144" s="29" t="s">
        <v>644</v>
      </c>
      <c r="B144" s="8"/>
      <c r="C144" s="8"/>
      <c r="D144" s="9" t="s">
        <v>153</v>
      </c>
      <c r="E144" s="8" t="s">
        <v>16</v>
      </c>
      <c r="F144" s="9" t="s">
        <v>631</v>
      </c>
      <c r="G144" s="13">
        <v>1150</v>
      </c>
      <c r="H144" s="8"/>
      <c r="I144" s="8"/>
      <c r="J144" s="9">
        <f>+J143+Table23453591011[[#This Row],[AMOUNT]]-Table23453591011[[#This Row],[AMOUNT2]]-Table23453591011[[#This Row],[AMOUNT3]]</f>
        <v>7825</v>
      </c>
      <c r="K144" s="79"/>
    </row>
    <row r="145" spans="1:11" x14ac:dyDescent="0.35">
      <c r="A145" s="29" t="s">
        <v>644</v>
      </c>
      <c r="B145" s="8"/>
      <c r="C145" s="8"/>
      <c r="D145" s="9" t="s">
        <v>153</v>
      </c>
      <c r="E145" s="8" t="s">
        <v>734</v>
      </c>
      <c r="F145" s="9" t="s">
        <v>1</v>
      </c>
      <c r="G145" s="13">
        <v>100</v>
      </c>
      <c r="H145" s="8"/>
      <c r="I145" s="8"/>
      <c r="J145" s="9">
        <f>+J144+Table23453591011[[#This Row],[AMOUNT]]-Table23453591011[[#This Row],[AMOUNT2]]-Table23453591011[[#This Row],[AMOUNT3]]</f>
        <v>7725</v>
      </c>
      <c r="K145" s="79"/>
    </row>
    <row r="146" spans="1:11" x14ac:dyDescent="0.35">
      <c r="A146" s="29" t="s">
        <v>644</v>
      </c>
      <c r="B146" s="8"/>
      <c r="C146" s="8"/>
      <c r="D146" s="9" t="s">
        <v>153</v>
      </c>
      <c r="E146" s="8" t="s">
        <v>37</v>
      </c>
      <c r="F146" s="9" t="s">
        <v>647</v>
      </c>
      <c r="G146" s="13">
        <v>350</v>
      </c>
      <c r="H146" s="8"/>
      <c r="I146" s="8"/>
      <c r="J146" s="9">
        <f>+J145+Table23453591011[[#This Row],[AMOUNT]]-Table23453591011[[#This Row],[AMOUNT2]]-Table23453591011[[#This Row],[AMOUNT3]]</f>
        <v>7375</v>
      </c>
      <c r="K146" s="79"/>
    </row>
    <row r="147" spans="1:11" x14ac:dyDescent="0.35">
      <c r="A147" s="29" t="s">
        <v>644</v>
      </c>
      <c r="B147" s="8"/>
      <c r="C147" s="8"/>
      <c r="D147" s="9" t="s">
        <v>153</v>
      </c>
      <c r="E147" s="8" t="s">
        <v>17</v>
      </c>
      <c r="F147" s="9" t="s">
        <v>648</v>
      </c>
      <c r="G147" s="13">
        <v>140</v>
      </c>
      <c r="H147" s="8"/>
      <c r="I147" s="8"/>
      <c r="J147" s="9">
        <f>+J146+Table23453591011[[#This Row],[AMOUNT]]-Table23453591011[[#This Row],[AMOUNT2]]-Table23453591011[[#This Row],[AMOUNT3]]</f>
        <v>7235</v>
      </c>
      <c r="K147" s="79"/>
    </row>
    <row r="148" spans="1:11" x14ac:dyDescent="0.35">
      <c r="A148" s="29" t="s">
        <v>644</v>
      </c>
      <c r="B148" s="8"/>
      <c r="C148" s="8"/>
      <c r="D148" s="9" t="s">
        <v>153</v>
      </c>
      <c r="E148" s="8" t="s">
        <v>55</v>
      </c>
      <c r="F148" s="9" t="s">
        <v>641</v>
      </c>
      <c r="G148" s="13">
        <v>60</v>
      </c>
      <c r="H148" s="8"/>
      <c r="I148" s="8"/>
      <c r="J148" s="9">
        <f>+J147+Table23453591011[[#This Row],[AMOUNT]]-Table23453591011[[#This Row],[AMOUNT2]]-Table23453591011[[#This Row],[AMOUNT3]]</f>
        <v>7175</v>
      </c>
      <c r="K148" s="79"/>
    </row>
    <row r="149" spans="1:11" x14ac:dyDescent="0.35">
      <c r="A149" s="29" t="s">
        <v>649</v>
      </c>
      <c r="B149" s="8"/>
      <c r="C149" s="8"/>
      <c r="D149" s="9" t="s">
        <v>420</v>
      </c>
      <c r="E149" s="8" t="s">
        <v>68</v>
      </c>
      <c r="F149" s="9" t="s">
        <v>643</v>
      </c>
      <c r="G149" s="13">
        <v>1500</v>
      </c>
      <c r="H149" s="8"/>
      <c r="I149" s="8"/>
      <c r="J149" s="9">
        <f>+J148+Table23453591011[[#This Row],[AMOUNT]]-Table23453591011[[#This Row],[AMOUNT2]]-Table23453591011[[#This Row],[AMOUNT3]]</f>
        <v>5675</v>
      </c>
      <c r="K149" s="79"/>
    </row>
    <row r="150" spans="1:11" x14ac:dyDescent="0.35">
      <c r="A150" s="29" t="s">
        <v>649</v>
      </c>
      <c r="B150" s="8"/>
      <c r="C150" s="8"/>
      <c r="D150" s="9" t="s">
        <v>420</v>
      </c>
      <c r="E150" s="8" t="s">
        <v>68</v>
      </c>
      <c r="F150" s="9" t="s">
        <v>632</v>
      </c>
      <c r="G150" s="13">
        <v>1200</v>
      </c>
      <c r="H150" s="8"/>
      <c r="I150" s="8"/>
      <c r="J150" s="9">
        <f>+J149+Table23453591011[[#This Row],[AMOUNT]]-Table23453591011[[#This Row],[AMOUNT2]]-Table23453591011[[#This Row],[AMOUNT3]]</f>
        <v>4475</v>
      </c>
      <c r="K150" s="79"/>
    </row>
    <row r="151" spans="1:11" x14ac:dyDescent="0.35">
      <c r="A151" s="29" t="s">
        <v>649</v>
      </c>
      <c r="B151" s="8"/>
      <c r="C151" s="8"/>
      <c r="D151" s="9" t="s">
        <v>420</v>
      </c>
      <c r="E151" s="8" t="s">
        <v>16</v>
      </c>
      <c r="F151" s="9" t="s">
        <v>646</v>
      </c>
      <c r="G151" s="13">
        <v>1200</v>
      </c>
      <c r="H151" s="8"/>
      <c r="I151" s="8"/>
      <c r="J151" s="9">
        <f>+J150+Table23453591011[[#This Row],[AMOUNT]]-Table23453591011[[#This Row],[AMOUNT2]]-Table23453591011[[#This Row],[AMOUNT3]]</f>
        <v>3275</v>
      </c>
      <c r="K151" s="79"/>
    </row>
    <row r="152" spans="1:11" x14ac:dyDescent="0.35">
      <c r="A152" s="29" t="s">
        <v>649</v>
      </c>
      <c r="B152" s="8"/>
      <c r="C152" s="8"/>
      <c r="D152" s="9" t="s">
        <v>420</v>
      </c>
      <c r="E152" s="8" t="s">
        <v>16</v>
      </c>
      <c r="F152" s="9" t="s">
        <v>631</v>
      </c>
      <c r="G152" s="13">
        <v>1150</v>
      </c>
      <c r="H152" s="8"/>
      <c r="I152" s="8"/>
      <c r="J152" s="9">
        <f>+J151+Table23453591011[[#This Row],[AMOUNT]]-Table23453591011[[#This Row],[AMOUNT2]]-Table23453591011[[#This Row],[AMOUNT3]]</f>
        <v>2125</v>
      </c>
      <c r="K152" s="79"/>
    </row>
    <row r="153" spans="1:11" x14ac:dyDescent="0.35">
      <c r="A153" s="29" t="s">
        <v>649</v>
      </c>
      <c r="B153" s="8"/>
      <c r="C153" s="8"/>
      <c r="D153" s="9" t="s">
        <v>420</v>
      </c>
      <c r="E153" s="8" t="s">
        <v>734</v>
      </c>
      <c r="F153" s="9" t="s">
        <v>1</v>
      </c>
      <c r="G153" s="13">
        <v>100</v>
      </c>
      <c r="H153" s="8"/>
      <c r="I153" s="8"/>
      <c r="J153" s="9">
        <f>+J152+Table23453591011[[#This Row],[AMOUNT]]-Table23453591011[[#This Row],[AMOUNT2]]-Table23453591011[[#This Row],[AMOUNT3]]</f>
        <v>2025</v>
      </c>
      <c r="K153" s="79"/>
    </row>
    <row r="154" spans="1:11" x14ac:dyDescent="0.35">
      <c r="A154" s="29" t="s">
        <v>649</v>
      </c>
      <c r="B154" s="8"/>
      <c r="C154" s="8"/>
      <c r="D154" s="9" t="s">
        <v>420</v>
      </c>
      <c r="E154" s="8" t="s">
        <v>55</v>
      </c>
      <c r="F154" s="9" t="s">
        <v>736</v>
      </c>
      <c r="G154" s="13">
        <v>120</v>
      </c>
      <c r="H154" s="8"/>
      <c r="I154" s="8"/>
      <c r="J154" s="9">
        <f>+J153+Table23453591011[[#This Row],[AMOUNT]]-Table23453591011[[#This Row],[AMOUNT2]]-Table23453591011[[#This Row],[AMOUNT3]]</f>
        <v>1905</v>
      </c>
      <c r="K154" s="79"/>
    </row>
    <row r="155" spans="1:11" x14ac:dyDescent="0.35">
      <c r="A155" s="29" t="s">
        <v>649</v>
      </c>
      <c r="B155" s="8"/>
      <c r="C155" s="8"/>
      <c r="D155" s="9" t="s">
        <v>420</v>
      </c>
      <c r="E155" s="8" t="s">
        <v>55</v>
      </c>
      <c r="F155" s="9" t="s">
        <v>650</v>
      </c>
      <c r="G155" s="13">
        <v>120</v>
      </c>
      <c r="H155" s="8"/>
      <c r="I155" s="8"/>
      <c r="J155" s="9">
        <f>+J154+Table23453591011[[#This Row],[AMOUNT]]-Table23453591011[[#This Row],[AMOUNT2]]-Table23453591011[[#This Row],[AMOUNT3]]</f>
        <v>1785</v>
      </c>
      <c r="K155" s="79"/>
    </row>
    <row r="156" spans="1:11" x14ac:dyDescent="0.35">
      <c r="A156" s="29" t="s">
        <v>651</v>
      </c>
      <c r="B156" s="8" t="s">
        <v>18</v>
      </c>
      <c r="C156" s="23">
        <v>10000</v>
      </c>
      <c r="D156" s="9" t="s">
        <v>153</v>
      </c>
      <c r="E156" s="8" t="s">
        <v>16</v>
      </c>
      <c r="F156" s="9" t="s">
        <v>646</v>
      </c>
      <c r="G156" s="13">
        <v>1200</v>
      </c>
      <c r="H156" s="8"/>
      <c r="I156" s="8"/>
      <c r="J156" s="9">
        <f>+J155+Table23453591011[[#This Row],[AMOUNT]]-Table23453591011[[#This Row],[AMOUNT2]]-Table23453591011[[#This Row],[AMOUNT3]]</f>
        <v>10585</v>
      </c>
      <c r="K156" s="79"/>
    </row>
    <row r="157" spans="1:11" x14ac:dyDescent="0.35">
      <c r="A157" s="29" t="s">
        <v>651</v>
      </c>
      <c r="B157" s="8"/>
      <c r="C157" s="8"/>
      <c r="D157" s="9" t="s">
        <v>153</v>
      </c>
      <c r="E157" s="8" t="s">
        <v>16</v>
      </c>
      <c r="F157" s="9" t="s">
        <v>631</v>
      </c>
      <c r="G157" s="13">
        <v>1150</v>
      </c>
      <c r="H157" s="8"/>
      <c r="I157" s="8"/>
      <c r="J157" s="9">
        <f>+J156+Table23453591011[[#This Row],[AMOUNT]]-Table23453591011[[#This Row],[AMOUNT2]]-Table23453591011[[#This Row],[AMOUNT3]]</f>
        <v>9435</v>
      </c>
      <c r="K157" s="79"/>
    </row>
    <row r="158" spans="1:11" x14ac:dyDescent="0.35">
      <c r="A158" s="29" t="s">
        <v>651</v>
      </c>
      <c r="B158" s="8"/>
      <c r="C158" s="8"/>
      <c r="D158" s="9" t="s">
        <v>153</v>
      </c>
      <c r="E158" s="8" t="s">
        <v>68</v>
      </c>
      <c r="F158" s="9" t="s">
        <v>643</v>
      </c>
      <c r="G158" s="13">
        <v>1500</v>
      </c>
      <c r="H158" s="8"/>
      <c r="I158" s="8"/>
      <c r="J158" s="9">
        <f>+J157+Table23453591011[[#This Row],[AMOUNT]]-Table23453591011[[#This Row],[AMOUNT2]]-Table23453591011[[#This Row],[AMOUNT3]]</f>
        <v>7935</v>
      </c>
      <c r="K158" s="79"/>
    </row>
    <row r="159" spans="1:11" x14ac:dyDescent="0.35">
      <c r="A159" s="29" t="s">
        <v>651</v>
      </c>
      <c r="B159" s="8"/>
      <c r="C159" s="8"/>
      <c r="D159" s="9" t="s">
        <v>153</v>
      </c>
      <c r="E159" s="8" t="s">
        <v>68</v>
      </c>
      <c r="F159" s="9" t="s">
        <v>717</v>
      </c>
      <c r="G159" s="13">
        <v>1200</v>
      </c>
      <c r="H159" s="8"/>
      <c r="I159" s="8"/>
      <c r="J159" s="9">
        <f>+J158+Table23453591011[[#This Row],[AMOUNT]]-Table23453591011[[#This Row],[AMOUNT2]]-Table23453591011[[#This Row],[AMOUNT3]]</f>
        <v>6735</v>
      </c>
      <c r="K159" s="79"/>
    </row>
    <row r="160" spans="1:11" x14ac:dyDescent="0.35">
      <c r="A160" s="29" t="s">
        <v>651</v>
      </c>
      <c r="B160" s="8"/>
      <c r="C160" s="8"/>
      <c r="D160" s="9" t="s">
        <v>153</v>
      </c>
      <c r="E160" s="8" t="s">
        <v>734</v>
      </c>
      <c r="F160" s="9" t="s">
        <v>1</v>
      </c>
      <c r="G160" s="13">
        <v>200</v>
      </c>
      <c r="H160" s="8"/>
      <c r="I160" s="8"/>
      <c r="J160" s="9">
        <f>+J159+Table23453591011[[#This Row],[AMOUNT]]-Table23453591011[[#This Row],[AMOUNT2]]-Table23453591011[[#This Row],[AMOUNT3]]</f>
        <v>6535</v>
      </c>
      <c r="K160" s="79"/>
    </row>
    <row r="161" spans="1:11" x14ac:dyDescent="0.35">
      <c r="A161" s="29" t="s">
        <v>651</v>
      </c>
      <c r="B161" s="8"/>
      <c r="C161" s="8"/>
      <c r="D161" s="9" t="s">
        <v>153</v>
      </c>
      <c r="E161" s="8" t="s">
        <v>55</v>
      </c>
      <c r="F161" s="9" t="s">
        <v>641</v>
      </c>
      <c r="G161" s="13">
        <v>120</v>
      </c>
      <c r="H161" s="8"/>
      <c r="I161" s="8"/>
      <c r="J161" s="9">
        <f>+J160+Table23453591011[[#This Row],[AMOUNT]]-Table23453591011[[#This Row],[AMOUNT2]]-Table23453591011[[#This Row],[AMOUNT3]]</f>
        <v>6415</v>
      </c>
      <c r="K161" s="79"/>
    </row>
    <row r="162" spans="1:11" x14ac:dyDescent="0.35">
      <c r="A162" s="29" t="s">
        <v>652</v>
      </c>
      <c r="B162" s="8"/>
      <c r="C162" s="8"/>
      <c r="D162" s="9" t="s">
        <v>153</v>
      </c>
      <c r="E162" s="8" t="s">
        <v>68</v>
      </c>
      <c r="F162" s="9" t="s">
        <v>653</v>
      </c>
      <c r="G162" s="13">
        <v>750</v>
      </c>
      <c r="H162" s="8"/>
      <c r="I162" s="8"/>
      <c r="J162" s="9">
        <f>+J161+Table23453591011[[#This Row],[AMOUNT]]-Table23453591011[[#This Row],[AMOUNT2]]-Table23453591011[[#This Row],[AMOUNT3]]</f>
        <v>5665</v>
      </c>
      <c r="K162" s="79"/>
    </row>
    <row r="163" spans="1:11" x14ac:dyDescent="0.35">
      <c r="A163" s="29" t="s">
        <v>652</v>
      </c>
      <c r="B163" s="8"/>
      <c r="C163" s="8"/>
      <c r="D163" s="9" t="s">
        <v>153</v>
      </c>
      <c r="E163" s="8" t="s">
        <v>68</v>
      </c>
      <c r="F163" s="9" t="s">
        <v>717</v>
      </c>
      <c r="G163" s="13">
        <v>600</v>
      </c>
      <c r="H163" s="8"/>
      <c r="I163" s="8"/>
      <c r="J163" s="9">
        <f>+J162+Table23453591011[[#This Row],[AMOUNT]]-Table23453591011[[#This Row],[AMOUNT2]]-Table23453591011[[#This Row],[AMOUNT3]]</f>
        <v>5065</v>
      </c>
      <c r="K163" s="79"/>
    </row>
    <row r="164" spans="1:11" x14ac:dyDescent="0.35">
      <c r="A164" s="29" t="s">
        <v>652</v>
      </c>
      <c r="B164" s="8"/>
      <c r="C164" s="8"/>
      <c r="D164" s="9" t="s">
        <v>153</v>
      </c>
      <c r="E164" s="8" t="s">
        <v>16</v>
      </c>
      <c r="F164" s="9" t="s">
        <v>629</v>
      </c>
      <c r="G164" s="13">
        <v>2300</v>
      </c>
      <c r="H164" s="8"/>
      <c r="I164" s="8"/>
      <c r="J164" s="9">
        <f>+J163+Table23453591011[[#This Row],[AMOUNT]]-Table23453591011[[#This Row],[AMOUNT2]]-Table23453591011[[#This Row],[AMOUNT3]]</f>
        <v>2765</v>
      </c>
      <c r="K164" s="79"/>
    </row>
    <row r="165" spans="1:11" x14ac:dyDescent="0.35">
      <c r="A165" s="29" t="s">
        <v>652</v>
      </c>
      <c r="B165" s="8"/>
      <c r="C165" s="8"/>
      <c r="D165" s="9" t="s">
        <v>153</v>
      </c>
      <c r="E165" s="8" t="s">
        <v>734</v>
      </c>
      <c r="F165" s="9" t="s">
        <v>1</v>
      </c>
      <c r="G165" s="13">
        <v>150</v>
      </c>
      <c r="H165" s="8"/>
      <c r="I165" s="8"/>
      <c r="J165" s="9">
        <f>+J164+Table23453591011[[#This Row],[AMOUNT]]-Table23453591011[[#This Row],[AMOUNT2]]-Table23453591011[[#This Row],[AMOUNT3]]</f>
        <v>2615</v>
      </c>
      <c r="K165" s="79"/>
    </row>
    <row r="166" spans="1:11" x14ac:dyDescent="0.35">
      <c r="A166" s="29" t="s">
        <v>652</v>
      </c>
      <c r="B166" s="8"/>
      <c r="C166" s="8"/>
      <c r="D166" s="9" t="s">
        <v>153</v>
      </c>
      <c r="E166" s="8" t="s">
        <v>55</v>
      </c>
      <c r="F166" s="9" t="s">
        <v>641</v>
      </c>
      <c r="G166" s="13">
        <v>80</v>
      </c>
      <c r="H166" s="8"/>
      <c r="I166" s="8"/>
      <c r="J166" s="9">
        <f>+J165+Table23453591011[[#This Row],[AMOUNT]]-Table23453591011[[#This Row],[AMOUNT2]]-Table23453591011[[#This Row],[AMOUNT3]]</f>
        <v>2535</v>
      </c>
      <c r="K166" s="79"/>
    </row>
    <row r="167" spans="1:11" x14ac:dyDescent="0.35">
      <c r="A167" s="29" t="s">
        <v>652</v>
      </c>
      <c r="B167" s="8"/>
      <c r="C167" s="8"/>
      <c r="D167" s="9" t="s">
        <v>153</v>
      </c>
      <c r="E167" s="8" t="s">
        <v>17</v>
      </c>
      <c r="F167" s="17" t="s">
        <v>737</v>
      </c>
      <c r="G167" s="93">
        <v>180</v>
      </c>
      <c r="H167" s="8"/>
      <c r="I167" s="8"/>
      <c r="J167" s="17">
        <f>+J166+Table23453591011[[#This Row],[AMOUNT]]-Table23453591011[[#This Row],[AMOUNT2]]-Table23453591011[[#This Row],[AMOUNT3]]</f>
        <v>2355</v>
      </c>
      <c r="K167" s="81" t="s">
        <v>658</v>
      </c>
    </row>
    <row r="168" spans="1:11" x14ac:dyDescent="0.35">
      <c r="A168" s="29" t="s">
        <v>654</v>
      </c>
      <c r="B168" s="8" t="s">
        <v>18</v>
      </c>
      <c r="C168" s="23">
        <v>10000</v>
      </c>
      <c r="D168" s="9" t="s">
        <v>153</v>
      </c>
      <c r="E168" s="8" t="s">
        <v>68</v>
      </c>
      <c r="F168" s="9" t="s">
        <v>643</v>
      </c>
      <c r="G168" s="13">
        <v>1500</v>
      </c>
      <c r="H168" s="8"/>
      <c r="I168" s="8"/>
      <c r="J168" s="9">
        <f>+J167+Table23453591011[[#This Row],[AMOUNT]]-Table23453591011[[#This Row],[AMOUNT2]]-Table23453591011[[#This Row],[AMOUNT3]]</f>
        <v>10855</v>
      </c>
      <c r="K168" s="79"/>
    </row>
    <row r="169" spans="1:11" x14ac:dyDescent="0.35">
      <c r="A169" s="29" t="s">
        <v>654</v>
      </c>
      <c r="B169" s="8"/>
      <c r="C169" s="8"/>
      <c r="D169" s="9" t="s">
        <v>153</v>
      </c>
      <c r="E169" s="8" t="s">
        <v>68</v>
      </c>
      <c r="F169" s="9" t="s">
        <v>717</v>
      </c>
      <c r="G169" s="13">
        <v>600</v>
      </c>
      <c r="H169" s="8"/>
      <c r="I169" s="8"/>
      <c r="J169" s="9">
        <f>+J168+Table23453591011[[#This Row],[AMOUNT]]-Table23453591011[[#This Row],[AMOUNT2]]-Table23453591011[[#This Row],[AMOUNT3]]</f>
        <v>10255</v>
      </c>
      <c r="K169" s="79"/>
    </row>
    <row r="170" spans="1:11" x14ac:dyDescent="0.35">
      <c r="A170" s="29" t="s">
        <v>654</v>
      </c>
      <c r="B170" s="8"/>
      <c r="C170" s="8"/>
      <c r="D170" s="9" t="s">
        <v>153</v>
      </c>
      <c r="E170" s="8" t="s">
        <v>16</v>
      </c>
      <c r="F170" s="9" t="s">
        <v>629</v>
      </c>
      <c r="G170" s="13">
        <v>2300</v>
      </c>
      <c r="H170" s="8"/>
      <c r="I170" s="8"/>
      <c r="J170" s="9">
        <f>+J169+Table23453591011[[#This Row],[AMOUNT]]-Table23453591011[[#This Row],[AMOUNT2]]-Table23453591011[[#This Row],[AMOUNT3]]</f>
        <v>7955</v>
      </c>
      <c r="K170" s="79"/>
    </row>
    <row r="171" spans="1:11" x14ac:dyDescent="0.35">
      <c r="A171" s="29" t="s">
        <v>654</v>
      </c>
      <c r="B171" s="8"/>
      <c r="C171" s="8"/>
      <c r="D171" s="9" t="s">
        <v>153</v>
      </c>
      <c r="E171" s="8" t="s">
        <v>55</v>
      </c>
      <c r="F171" s="9" t="s">
        <v>641</v>
      </c>
      <c r="G171" s="13">
        <v>100</v>
      </c>
      <c r="H171" s="8"/>
      <c r="I171" s="8"/>
      <c r="J171" s="9">
        <f>+J170+Table23453591011[[#This Row],[AMOUNT]]-Table23453591011[[#This Row],[AMOUNT2]]-Table23453591011[[#This Row],[AMOUNT3]]</f>
        <v>7855</v>
      </c>
      <c r="K171" s="79"/>
    </row>
    <row r="172" spans="1:11" x14ac:dyDescent="0.35">
      <c r="A172" s="29" t="s">
        <v>654</v>
      </c>
      <c r="B172" s="8"/>
      <c r="C172" s="8"/>
      <c r="D172" s="9" t="s">
        <v>153</v>
      </c>
      <c r="E172" s="8" t="s">
        <v>734</v>
      </c>
      <c r="F172" s="9" t="s">
        <v>1</v>
      </c>
      <c r="G172" s="13">
        <v>100</v>
      </c>
      <c r="H172" s="8"/>
      <c r="I172" s="8"/>
      <c r="J172" s="9">
        <f>+J171+Table23453591011[[#This Row],[AMOUNT]]-Table23453591011[[#This Row],[AMOUNT2]]-Table23453591011[[#This Row],[AMOUNT3]]</f>
        <v>7755</v>
      </c>
      <c r="K172" s="79"/>
    </row>
    <row r="173" spans="1:11" x14ac:dyDescent="0.35">
      <c r="A173" s="29" t="s">
        <v>655</v>
      </c>
      <c r="B173" s="8"/>
      <c r="C173" s="8"/>
      <c r="D173" s="9" t="s">
        <v>153</v>
      </c>
      <c r="E173" s="8" t="s">
        <v>16</v>
      </c>
      <c r="F173" s="9" t="s">
        <v>631</v>
      </c>
      <c r="G173" s="13">
        <v>1150</v>
      </c>
      <c r="H173" s="8"/>
      <c r="I173" s="8"/>
      <c r="J173" s="9">
        <f>+J172+Table23453591011[[#This Row],[AMOUNT]]-Table23453591011[[#This Row],[AMOUNT2]]-Table23453591011[[#This Row],[AMOUNT3]]</f>
        <v>6605</v>
      </c>
      <c r="K173" s="79"/>
    </row>
    <row r="174" spans="1:11" x14ac:dyDescent="0.35">
      <c r="A174" s="29" t="s">
        <v>655</v>
      </c>
      <c r="B174" s="8"/>
      <c r="C174" s="8"/>
      <c r="D174" s="9" t="s">
        <v>153</v>
      </c>
      <c r="E174" s="8" t="s">
        <v>68</v>
      </c>
      <c r="F174" s="9" t="s">
        <v>643</v>
      </c>
      <c r="G174" s="13">
        <v>1500</v>
      </c>
      <c r="H174" s="8"/>
      <c r="I174" s="8"/>
      <c r="J174" s="9">
        <f>+J173+Table23453591011[[#This Row],[AMOUNT]]-Table23453591011[[#This Row],[AMOUNT2]]-Table23453591011[[#This Row],[AMOUNT3]]</f>
        <v>5105</v>
      </c>
      <c r="K174" s="79"/>
    </row>
    <row r="175" spans="1:11" x14ac:dyDescent="0.35">
      <c r="A175" s="29" t="s">
        <v>655</v>
      </c>
      <c r="B175" s="8"/>
      <c r="C175" s="8"/>
      <c r="D175" s="9" t="s">
        <v>153</v>
      </c>
      <c r="E175" s="8" t="s">
        <v>16</v>
      </c>
      <c r="F175" s="9" t="s">
        <v>631</v>
      </c>
      <c r="G175" s="13">
        <v>1150</v>
      </c>
      <c r="H175" s="8"/>
      <c r="I175" s="8"/>
      <c r="J175" s="9">
        <f>+J174+Table23453591011[[#This Row],[AMOUNT]]-Table23453591011[[#This Row],[AMOUNT2]]-Table23453591011[[#This Row],[AMOUNT3]]</f>
        <v>3955</v>
      </c>
      <c r="K175" s="79"/>
    </row>
    <row r="176" spans="1:11" x14ac:dyDescent="0.35">
      <c r="A176" s="29" t="s">
        <v>655</v>
      </c>
      <c r="B176" s="8"/>
      <c r="C176" s="8"/>
      <c r="D176" s="9" t="s">
        <v>153</v>
      </c>
      <c r="E176" s="8" t="s">
        <v>55</v>
      </c>
      <c r="F176" s="9" t="s">
        <v>641</v>
      </c>
      <c r="G176" s="13">
        <v>80</v>
      </c>
      <c r="H176" s="8"/>
      <c r="I176" s="8"/>
      <c r="J176" s="9">
        <f>+J175+Table23453591011[[#This Row],[AMOUNT]]-Table23453591011[[#This Row],[AMOUNT2]]-Table23453591011[[#This Row],[AMOUNT3]]</f>
        <v>3875</v>
      </c>
      <c r="K176" s="79"/>
    </row>
    <row r="177" spans="1:11" x14ac:dyDescent="0.35">
      <c r="A177" s="29" t="s">
        <v>655</v>
      </c>
      <c r="B177" s="8"/>
      <c r="C177" s="8"/>
      <c r="D177" s="9" t="s">
        <v>153</v>
      </c>
      <c r="E177" s="8" t="s">
        <v>734</v>
      </c>
      <c r="F177" s="9" t="s">
        <v>1</v>
      </c>
      <c r="G177" s="13">
        <v>200</v>
      </c>
      <c r="H177" s="8"/>
      <c r="I177" s="8"/>
      <c r="J177" s="9">
        <f>+J176+Table23453591011[[#This Row],[AMOUNT]]-Table23453591011[[#This Row],[AMOUNT2]]-Table23453591011[[#This Row],[AMOUNT3]]</f>
        <v>3675</v>
      </c>
      <c r="K177" s="79"/>
    </row>
    <row r="178" spans="1:11" x14ac:dyDescent="0.35">
      <c r="A178" s="29" t="s">
        <v>655</v>
      </c>
      <c r="B178" s="8"/>
      <c r="C178" s="8"/>
      <c r="D178" s="9" t="s">
        <v>153</v>
      </c>
      <c r="E178" s="8" t="s">
        <v>734</v>
      </c>
      <c r="F178" s="9" t="s">
        <v>633</v>
      </c>
      <c r="G178" s="13">
        <v>400</v>
      </c>
      <c r="H178" s="8"/>
      <c r="I178" s="8"/>
      <c r="J178" s="9">
        <f>+J177+Table23453591011[[#This Row],[AMOUNT]]-Table23453591011[[#This Row],[AMOUNT2]]-Table23453591011[[#This Row],[AMOUNT3]]</f>
        <v>3275</v>
      </c>
      <c r="K178" s="79"/>
    </row>
    <row r="179" spans="1:11" x14ac:dyDescent="0.35">
      <c r="A179" s="29" t="s">
        <v>656</v>
      </c>
      <c r="B179" s="8" t="s">
        <v>18</v>
      </c>
      <c r="C179" s="23">
        <v>10000</v>
      </c>
      <c r="D179" s="9" t="s">
        <v>153</v>
      </c>
      <c r="E179" s="8" t="s">
        <v>68</v>
      </c>
      <c r="F179" s="9" t="s">
        <v>630</v>
      </c>
      <c r="G179" s="13">
        <v>2250</v>
      </c>
      <c r="H179" s="8"/>
      <c r="I179" s="8"/>
      <c r="J179" s="9">
        <f>+J178+Table23453591011[[#This Row],[AMOUNT]]-Table23453591011[[#This Row],[AMOUNT2]]-Table23453591011[[#This Row],[AMOUNT3]]</f>
        <v>11025</v>
      </c>
      <c r="K179" s="79"/>
    </row>
    <row r="180" spans="1:11" x14ac:dyDescent="0.35">
      <c r="A180" s="29" t="s">
        <v>656</v>
      </c>
      <c r="B180" s="8"/>
      <c r="C180" s="8"/>
      <c r="D180" s="9" t="s">
        <v>153</v>
      </c>
      <c r="E180" s="8" t="s">
        <v>55</v>
      </c>
      <c r="F180" s="9" t="s">
        <v>641</v>
      </c>
      <c r="G180" s="13">
        <v>120</v>
      </c>
      <c r="H180" s="8"/>
      <c r="I180" s="8"/>
      <c r="J180" s="9">
        <f>+J179+Table23453591011[[#This Row],[AMOUNT]]-Table23453591011[[#This Row],[AMOUNT2]]-Table23453591011[[#This Row],[AMOUNT3]]</f>
        <v>10905</v>
      </c>
      <c r="K180" s="79"/>
    </row>
    <row r="181" spans="1:11" x14ac:dyDescent="0.35">
      <c r="A181" s="29" t="s">
        <v>656</v>
      </c>
      <c r="B181" s="8"/>
      <c r="C181" s="8"/>
      <c r="D181" s="9" t="s">
        <v>153</v>
      </c>
      <c r="E181" s="8" t="s">
        <v>16</v>
      </c>
      <c r="F181" s="9" t="s">
        <v>657</v>
      </c>
      <c r="G181" s="13">
        <v>3450</v>
      </c>
      <c r="H181" s="8"/>
      <c r="I181" s="8"/>
      <c r="J181" s="9">
        <f>+J180+Table23453591011[[#This Row],[AMOUNT]]-Table23453591011[[#This Row],[AMOUNT2]]-Table23453591011[[#This Row],[AMOUNT3]]</f>
        <v>7455</v>
      </c>
      <c r="K181" s="79"/>
    </row>
    <row r="182" spans="1:11" x14ac:dyDescent="0.35">
      <c r="A182" s="29" t="s">
        <v>656</v>
      </c>
      <c r="B182" s="8"/>
      <c r="C182" s="8"/>
      <c r="D182" s="9" t="s">
        <v>153</v>
      </c>
      <c r="E182" s="8" t="s">
        <v>734</v>
      </c>
      <c r="F182" s="9" t="s">
        <v>1</v>
      </c>
      <c r="G182" s="13">
        <v>100</v>
      </c>
      <c r="H182" s="8"/>
      <c r="I182" s="8"/>
      <c r="J182" s="9">
        <f>+J181+Table23453591011[[#This Row],[AMOUNT]]-Table23453591011[[#This Row],[AMOUNT2]]-Table23453591011[[#This Row],[AMOUNT3]]</f>
        <v>7355</v>
      </c>
      <c r="K182" s="79"/>
    </row>
    <row r="183" spans="1:11" x14ac:dyDescent="0.35">
      <c r="A183" s="29" t="s">
        <v>659</v>
      </c>
      <c r="B183" s="8"/>
      <c r="C183" s="8"/>
      <c r="D183" s="9" t="s">
        <v>153</v>
      </c>
      <c r="E183" s="8" t="s">
        <v>55</v>
      </c>
      <c r="F183" s="9" t="s">
        <v>718</v>
      </c>
      <c r="G183" s="13">
        <v>70</v>
      </c>
      <c r="H183" s="8"/>
      <c r="I183" s="8"/>
      <c r="J183" s="9">
        <f>+J182+Table23453591011[[#This Row],[AMOUNT]]-Table23453591011[[#This Row],[AMOUNT2]]-Table23453591011[[#This Row],[AMOUNT3]]</f>
        <v>7285</v>
      </c>
      <c r="K183" s="79"/>
    </row>
    <row r="184" spans="1:11" x14ac:dyDescent="0.35">
      <c r="A184" s="29" t="s">
        <v>659</v>
      </c>
      <c r="B184" s="8"/>
      <c r="C184" s="8"/>
      <c r="D184" s="9" t="s">
        <v>153</v>
      </c>
      <c r="E184" s="8" t="s">
        <v>734</v>
      </c>
      <c r="F184" s="9" t="s">
        <v>1</v>
      </c>
      <c r="G184" s="13">
        <v>100</v>
      </c>
      <c r="H184" s="8"/>
      <c r="I184" s="8"/>
      <c r="J184" s="9">
        <f>+J183+Table23453591011[[#This Row],[AMOUNT]]-Table23453591011[[#This Row],[AMOUNT2]]-Table23453591011[[#This Row],[AMOUNT3]]</f>
        <v>7185</v>
      </c>
      <c r="K184" s="79"/>
    </row>
    <row r="185" spans="1:11" x14ac:dyDescent="0.35">
      <c r="A185" s="29" t="s">
        <v>700</v>
      </c>
      <c r="B185" s="8"/>
      <c r="C185" s="8"/>
      <c r="D185" s="9"/>
      <c r="E185" s="8" t="s">
        <v>823</v>
      </c>
      <c r="F185" s="9" t="s">
        <v>979</v>
      </c>
      <c r="G185" s="13">
        <v>7185</v>
      </c>
      <c r="H185" s="8"/>
      <c r="I185" s="8"/>
      <c r="J185" s="9">
        <f>+J184+Table23453591011[[#This Row],[AMOUNT]]-Table23453591011[[#This Row],[AMOUNT2]]-Table23453591011[[#This Row],[AMOUNT3]]</f>
        <v>0</v>
      </c>
      <c r="K185" s="79"/>
    </row>
    <row r="186" spans="1:11" x14ac:dyDescent="0.35">
      <c r="A186" s="29" t="s">
        <v>968</v>
      </c>
      <c r="B186" s="8" t="s">
        <v>18</v>
      </c>
      <c r="C186" s="8">
        <v>5400</v>
      </c>
      <c r="D186" s="9" t="s">
        <v>984</v>
      </c>
      <c r="E186" s="8" t="s">
        <v>55</v>
      </c>
      <c r="F186" s="9" t="s">
        <v>980</v>
      </c>
      <c r="G186" s="13">
        <v>190</v>
      </c>
      <c r="H186" s="8"/>
      <c r="I186" s="8"/>
      <c r="J186" s="9">
        <f>+J185+Table23453591011[[#This Row],[AMOUNT]]-Table23453591011[[#This Row],[AMOUNT2]]-Table23453591011[[#This Row],[AMOUNT3]]</f>
        <v>5210</v>
      </c>
      <c r="K186" s="79"/>
    </row>
    <row r="187" spans="1:11" x14ac:dyDescent="0.35">
      <c r="A187" s="29" t="s">
        <v>968</v>
      </c>
      <c r="B187" s="8"/>
      <c r="C187" s="8"/>
      <c r="D187" s="9" t="s">
        <v>984</v>
      </c>
      <c r="E187" s="8" t="s">
        <v>55</v>
      </c>
      <c r="F187" s="9" t="s">
        <v>981</v>
      </c>
      <c r="G187" s="13">
        <v>100</v>
      </c>
      <c r="H187" s="8"/>
      <c r="I187" s="8"/>
      <c r="J187" s="9">
        <f>+J186+Table23453591011[[#This Row],[AMOUNT]]-Table23453591011[[#This Row],[AMOUNT2]]-Table23453591011[[#This Row],[AMOUNT3]]</f>
        <v>5110</v>
      </c>
      <c r="K187" s="79"/>
    </row>
    <row r="188" spans="1:11" x14ac:dyDescent="0.35">
      <c r="A188" s="29" t="s">
        <v>968</v>
      </c>
      <c r="B188" s="8"/>
      <c r="C188" s="8"/>
      <c r="D188" s="9" t="s">
        <v>984</v>
      </c>
      <c r="E188" s="8" t="s">
        <v>55</v>
      </c>
      <c r="F188" s="9" t="s">
        <v>983</v>
      </c>
      <c r="G188" s="13">
        <v>140</v>
      </c>
      <c r="H188" s="8"/>
      <c r="I188" s="8"/>
      <c r="J188" s="9">
        <f>+J187+Table23453591011[[#This Row],[AMOUNT]]-Table23453591011[[#This Row],[AMOUNT2]]-Table23453591011[[#This Row],[AMOUNT3]]</f>
        <v>4970</v>
      </c>
      <c r="K188" s="79"/>
    </row>
    <row r="189" spans="1:11" x14ac:dyDescent="0.35">
      <c r="A189" s="29" t="s">
        <v>968</v>
      </c>
      <c r="B189" s="8"/>
      <c r="C189" s="8"/>
      <c r="D189" s="9" t="s">
        <v>984</v>
      </c>
      <c r="E189" s="8" t="s">
        <v>55</v>
      </c>
      <c r="F189" s="9" t="s">
        <v>982</v>
      </c>
      <c r="G189" s="13">
        <v>120</v>
      </c>
      <c r="H189" s="8"/>
      <c r="I189" s="8"/>
      <c r="J189" s="9">
        <f>+J188+Table23453591011[[#This Row],[AMOUNT]]-Table23453591011[[#This Row],[AMOUNT2]]-Table23453591011[[#This Row],[AMOUNT3]]</f>
        <v>4850</v>
      </c>
      <c r="K189" s="79"/>
    </row>
    <row r="190" spans="1:11" x14ac:dyDescent="0.35">
      <c r="A190" s="29" t="s">
        <v>1035</v>
      </c>
      <c r="B190" s="8"/>
      <c r="C190" s="8"/>
      <c r="D190" s="9" t="s">
        <v>1047</v>
      </c>
      <c r="E190" s="8" t="s">
        <v>55</v>
      </c>
      <c r="F190" s="9" t="s">
        <v>1048</v>
      </c>
      <c r="G190" s="13">
        <v>280</v>
      </c>
      <c r="H190" s="8"/>
      <c r="I190" s="8"/>
      <c r="J190" s="9">
        <f>+J189+Table23453591011[[#This Row],[AMOUNT]]-Table23453591011[[#This Row],[AMOUNT2]]-Table23453591011[[#This Row],[AMOUNT3]]</f>
        <v>4570</v>
      </c>
      <c r="K190" s="79"/>
    </row>
    <row r="191" spans="1:11" x14ac:dyDescent="0.35">
      <c r="A191" s="29" t="s">
        <v>1017</v>
      </c>
      <c r="B191" s="8"/>
      <c r="C191" s="8"/>
      <c r="D191" s="9" t="s">
        <v>1047</v>
      </c>
      <c r="E191" s="8" t="s">
        <v>55</v>
      </c>
      <c r="F191" s="9" t="s">
        <v>1048</v>
      </c>
      <c r="G191" s="13">
        <v>280</v>
      </c>
      <c r="H191" s="8"/>
      <c r="I191" s="8"/>
      <c r="J191" s="9">
        <f>+J190+Table23453591011[[#This Row],[AMOUNT]]-Table23453591011[[#This Row],[AMOUNT2]]-Table23453591011[[#This Row],[AMOUNT3]]</f>
        <v>4290</v>
      </c>
      <c r="K191" s="79"/>
    </row>
    <row r="192" spans="1:11" x14ac:dyDescent="0.35">
      <c r="A192" s="29" t="s">
        <v>1020</v>
      </c>
      <c r="B192" s="8"/>
      <c r="C192" s="8"/>
      <c r="D192" s="9" t="s">
        <v>1047</v>
      </c>
      <c r="E192" s="8" t="s">
        <v>55</v>
      </c>
      <c r="F192" s="9" t="s">
        <v>1048</v>
      </c>
      <c r="G192" s="13">
        <v>280</v>
      </c>
      <c r="H192" s="8"/>
      <c r="I192" s="8"/>
      <c r="J192" s="9">
        <f>+J191+Table23453591011[[#This Row],[AMOUNT]]-Table23453591011[[#This Row],[AMOUNT2]]-Table23453591011[[#This Row],[AMOUNT3]]</f>
        <v>4010</v>
      </c>
      <c r="K192" s="79"/>
    </row>
    <row r="193" spans="1:11" x14ac:dyDescent="0.35">
      <c r="A193" s="29" t="s">
        <v>1040</v>
      </c>
      <c r="B193" s="8" t="s">
        <v>18</v>
      </c>
      <c r="C193" s="8">
        <v>2000</v>
      </c>
      <c r="D193" s="9"/>
      <c r="E193" s="8"/>
      <c r="F193" s="9"/>
      <c r="G193" s="13"/>
      <c r="H193" s="8"/>
      <c r="I193" s="8"/>
      <c r="J193" s="9">
        <f>+J192+Table23453591011[[#This Row],[AMOUNT]]-Table23453591011[[#This Row],[AMOUNT2]]-Table23453591011[[#This Row],[AMOUNT3]]</f>
        <v>6010</v>
      </c>
      <c r="K193" s="79"/>
    </row>
    <row r="194" spans="1:11" x14ac:dyDescent="0.35">
      <c r="A194" s="29" t="s">
        <v>1025</v>
      </c>
      <c r="B194" s="8"/>
      <c r="C194" s="8"/>
      <c r="D194" s="9" t="s">
        <v>1047</v>
      </c>
      <c r="E194" s="8" t="s">
        <v>55</v>
      </c>
      <c r="F194" s="9" t="s">
        <v>1100</v>
      </c>
      <c r="G194" s="13">
        <v>160</v>
      </c>
      <c r="H194" s="8"/>
      <c r="I194" s="8"/>
      <c r="J194" s="9">
        <f>+J193+Table23453591011[[#This Row],[AMOUNT]]-Table23453591011[[#This Row],[AMOUNT2]]-Table23453591011[[#This Row],[AMOUNT3]]</f>
        <v>5850</v>
      </c>
      <c r="K194" s="79"/>
    </row>
    <row r="195" spans="1:11" x14ac:dyDescent="0.35">
      <c r="A195" s="29" t="s">
        <v>1030</v>
      </c>
      <c r="B195" s="8"/>
      <c r="C195" s="8"/>
      <c r="D195" s="9" t="s">
        <v>1047</v>
      </c>
      <c r="E195" s="8" t="s">
        <v>55</v>
      </c>
      <c r="F195" s="9" t="s">
        <v>1100</v>
      </c>
      <c r="G195" s="13">
        <v>160</v>
      </c>
      <c r="H195" s="8"/>
      <c r="I195" s="8"/>
      <c r="J195" s="9">
        <f>+J194+Table23453591011[[#This Row],[AMOUNT]]-Table23453591011[[#This Row],[AMOUNT2]]-Table23453591011[[#This Row],[AMOUNT3]]</f>
        <v>5690</v>
      </c>
      <c r="K195" s="79"/>
    </row>
    <row r="196" spans="1:11" x14ac:dyDescent="0.35">
      <c r="A196" s="29" t="s">
        <v>1030</v>
      </c>
      <c r="B196" s="8"/>
      <c r="C196" s="8"/>
      <c r="D196" s="9" t="s">
        <v>1047</v>
      </c>
      <c r="E196" s="8" t="s">
        <v>37</v>
      </c>
      <c r="F196" s="9" t="s">
        <v>69</v>
      </c>
      <c r="G196" s="13">
        <v>349</v>
      </c>
      <c r="H196" s="8"/>
      <c r="I196" s="8"/>
      <c r="J196" s="9">
        <f>+J195+Table23453591011[[#This Row],[AMOUNT]]-Table23453591011[[#This Row],[AMOUNT2]]-Table23453591011[[#This Row],[AMOUNT3]]</f>
        <v>5341</v>
      </c>
      <c r="K196" s="79"/>
    </row>
    <row r="197" spans="1:11" x14ac:dyDescent="0.35">
      <c r="A197" s="29" t="s">
        <v>1042</v>
      </c>
      <c r="B197" s="8"/>
      <c r="C197" s="8"/>
      <c r="D197" s="9" t="s">
        <v>1047</v>
      </c>
      <c r="E197" s="8" t="s">
        <v>55</v>
      </c>
      <c r="F197" s="9" t="s">
        <v>1100</v>
      </c>
      <c r="G197" s="13">
        <v>160</v>
      </c>
      <c r="H197" s="8"/>
      <c r="I197" s="8"/>
      <c r="J197" s="9">
        <f>+J196+Table23453591011[[#This Row],[AMOUNT]]-Table23453591011[[#This Row],[AMOUNT2]]-Table23453591011[[#This Row],[AMOUNT3]]</f>
        <v>5181</v>
      </c>
      <c r="K197" s="79"/>
    </row>
    <row r="198" spans="1:11" x14ac:dyDescent="0.35">
      <c r="A198" s="29" t="s">
        <v>1052</v>
      </c>
      <c r="B198" s="8"/>
      <c r="C198" s="8"/>
      <c r="D198" s="9" t="s">
        <v>96</v>
      </c>
      <c r="E198" s="8" t="s">
        <v>55</v>
      </c>
      <c r="F198" s="9" t="s">
        <v>1101</v>
      </c>
      <c r="G198" s="13">
        <v>190</v>
      </c>
      <c r="H198" s="8"/>
      <c r="I198" s="8"/>
      <c r="J198" s="9">
        <f>+J197+Table23453591011[[#This Row],[AMOUNT]]-Table23453591011[[#This Row],[AMOUNT2]]-Table23453591011[[#This Row],[AMOUNT3]]</f>
        <v>4991</v>
      </c>
      <c r="K198" s="79"/>
    </row>
    <row r="199" spans="1:11" x14ac:dyDescent="0.35">
      <c r="A199" s="29" t="s">
        <v>1052</v>
      </c>
      <c r="B199" s="8"/>
      <c r="C199" s="8"/>
      <c r="D199" s="9" t="s">
        <v>96</v>
      </c>
      <c r="E199" s="8" t="s">
        <v>55</v>
      </c>
      <c r="F199" s="9" t="s">
        <v>1102</v>
      </c>
      <c r="G199" s="13">
        <v>120</v>
      </c>
      <c r="H199" s="8"/>
      <c r="I199" s="8"/>
      <c r="J199" s="9">
        <f>+J198+Table23453591011[[#This Row],[AMOUNT]]-Table23453591011[[#This Row],[AMOUNT2]]-Table23453591011[[#This Row],[AMOUNT3]]</f>
        <v>4871</v>
      </c>
      <c r="K199" s="79"/>
    </row>
    <row r="200" spans="1:11" x14ac:dyDescent="0.35">
      <c r="A200" s="29" t="s">
        <v>1080</v>
      </c>
      <c r="B200" s="8"/>
      <c r="C200" s="8"/>
      <c r="D200" s="9" t="s">
        <v>96</v>
      </c>
      <c r="E200" s="8" t="s">
        <v>55</v>
      </c>
      <c r="F200" s="9" t="s">
        <v>1101</v>
      </c>
      <c r="G200" s="13">
        <v>210</v>
      </c>
      <c r="H200" s="8"/>
      <c r="I200" s="8"/>
      <c r="J200" s="9">
        <f>+J199+Table23453591011[[#This Row],[AMOUNT]]-Table23453591011[[#This Row],[AMOUNT2]]-Table23453591011[[#This Row],[AMOUNT3]]</f>
        <v>4661</v>
      </c>
      <c r="K200" s="79"/>
    </row>
    <row r="201" spans="1:11" x14ac:dyDescent="0.35">
      <c r="A201" s="29" t="s">
        <v>1082</v>
      </c>
      <c r="B201" s="8"/>
      <c r="C201" s="8"/>
      <c r="D201" s="9" t="s">
        <v>96</v>
      </c>
      <c r="E201" s="8" t="s">
        <v>20</v>
      </c>
      <c r="F201" s="9" t="s">
        <v>1124</v>
      </c>
      <c r="G201" s="13">
        <v>20</v>
      </c>
      <c r="H201" s="8"/>
      <c r="I201" s="8"/>
      <c r="J201" s="9">
        <f>+J200+Table23453591011[[#This Row],[AMOUNT]]-Table23453591011[[#This Row],[AMOUNT2]]-Table23453591011[[#This Row],[AMOUNT3]]</f>
        <v>4641</v>
      </c>
      <c r="K201" s="79"/>
    </row>
    <row r="202" spans="1:11" x14ac:dyDescent="0.35">
      <c r="A202" s="29" t="s">
        <v>1082</v>
      </c>
      <c r="B202" s="8"/>
      <c r="C202" s="8"/>
      <c r="D202" s="9" t="s">
        <v>96</v>
      </c>
      <c r="E202" s="8" t="s">
        <v>20</v>
      </c>
      <c r="F202" s="9" t="s">
        <v>1125</v>
      </c>
      <c r="G202" s="13">
        <v>50</v>
      </c>
      <c r="H202" s="8"/>
      <c r="I202" s="8"/>
      <c r="J202" s="9">
        <f>+J201+Table23453591011[[#This Row],[AMOUNT]]-Table23453591011[[#This Row],[AMOUNT2]]-Table23453591011[[#This Row],[AMOUNT3]]</f>
        <v>4591</v>
      </c>
      <c r="K202" s="79"/>
    </row>
    <row r="203" spans="1:11" x14ac:dyDescent="0.35">
      <c r="A203" s="29" t="s">
        <v>1093</v>
      </c>
      <c r="B203" s="8"/>
      <c r="C203" s="8"/>
      <c r="D203" s="9" t="s">
        <v>96</v>
      </c>
      <c r="E203" s="8" t="s">
        <v>20</v>
      </c>
      <c r="F203" s="9" t="s">
        <v>1124</v>
      </c>
      <c r="G203" s="13">
        <v>20</v>
      </c>
      <c r="H203" s="8"/>
      <c r="I203" s="8"/>
      <c r="J203" s="9">
        <f>+J202+Table23453591011[[#This Row],[AMOUNT]]-Table23453591011[[#This Row],[AMOUNT2]]-Table23453591011[[#This Row],[AMOUNT3]]</f>
        <v>4571</v>
      </c>
      <c r="K203" s="79"/>
    </row>
    <row r="204" spans="1:11" x14ac:dyDescent="0.35">
      <c r="A204" s="29" t="s">
        <v>1093</v>
      </c>
      <c r="B204" s="8"/>
      <c r="C204" s="8"/>
      <c r="D204" s="9" t="s">
        <v>96</v>
      </c>
      <c r="E204" s="8" t="s">
        <v>20</v>
      </c>
      <c r="F204" s="9" t="s">
        <v>1126</v>
      </c>
      <c r="G204" s="13">
        <v>40</v>
      </c>
      <c r="H204" s="8"/>
      <c r="I204" s="8"/>
      <c r="J204" s="9">
        <f>+J203+Table23453591011[[#This Row],[AMOUNT]]-Table23453591011[[#This Row],[AMOUNT2]]-Table23453591011[[#This Row],[AMOUNT3]]</f>
        <v>4531</v>
      </c>
      <c r="K204" s="79"/>
    </row>
    <row r="205" spans="1:11" x14ac:dyDescent="0.35">
      <c r="A205" s="29" t="s">
        <v>1165</v>
      </c>
      <c r="B205" s="8"/>
      <c r="C205" s="8"/>
      <c r="D205" s="9" t="s">
        <v>96</v>
      </c>
      <c r="E205" s="8" t="s">
        <v>55</v>
      </c>
      <c r="F205" s="9" t="s">
        <v>1204</v>
      </c>
      <c r="G205" s="13">
        <v>500</v>
      </c>
      <c r="H205" s="8"/>
      <c r="I205" s="8"/>
      <c r="J205" s="9">
        <f>+J204+Table23453591011[[#This Row],[AMOUNT]]-Table23453591011[[#This Row],[AMOUNT2]]-Table23453591011[[#This Row],[AMOUNT3]]</f>
        <v>4031</v>
      </c>
      <c r="K205" s="79"/>
    </row>
    <row r="206" spans="1:11" x14ac:dyDescent="0.35">
      <c r="A206" s="29" t="s">
        <v>1150</v>
      </c>
      <c r="B206" s="8" t="s">
        <v>18</v>
      </c>
      <c r="C206" s="8">
        <v>2000</v>
      </c>
      <c r="D206" s="9"/>
      <c r="E206" s="8"/>
      <c r="F206" s="9"/>
      <c r="G206" s="13"/>
      <c r="H206" s="8"/>
      <c r="I206" s="8"/>
      <c r="J206" s="9">
        <f>+J205+Table23453591011[[#This Row],[AMOUNT]]-Table23453591011[[#This Row],[AMOUNT2]]-Table23453591011[[#This Row],[AMOUNT3]]</f>
        <v>6031</v>
      </c>
      <c r="K206" s="79"/>
    </row>
    <row r="207" spans="1:11" x14ac:dyDescent="0.35">
      <c r="A207" s="29" t="s">
        <v>1153</v>
      </c>
      <c r="B207" s="8"/>
      <c r="C207" s="8"/>
      <c r="D207" s="9" t="s">
        <v>1205</v>
      </c>
      <c r="E207" s="8" t="s">
        <v>55</v>
      </c>
      <c r="F207" s="9" t="s">
        <v>1206</v>
      </c>
      <c r="G207" s="13">
        <v>520</v>
      </c>
      <c r="H207" s="8"/>
      <c r="I207" s="8"/>
      <c r="J207" s="9">
        <f>+J206+Table23453591011[[#This Row],[AMOUNT]]-Table23453591011[[#This Row],[AMOUNT2]]-Table23453591011[[#This Row],[AMOUNT3]]</f>
        <v>5511</v>
      </c>
      <c r="K207" s="79"/>
    </row>
    <row r="208" spans="1:11" x14ac:dyDescent="0.35">
      <c r="A208" s="29" t="s">
        <v>1153</v>
      </c>
      <c r="B208" s="8"/>
      <c r="C208" s="8"/>
      <c r="D208" s="9" t="s">
        <v>1205</v>
      </c>
      <c r="E208" s="8" t="s">
        <v>20</v>
      </c>
      <c r="F208" s="9" t="s">
        <v>1207</v>
      </c>
      <c r="G208" s="13">
        <v>70</v>
      </c>
      <c r="H208" s="8"/>
      <c r="I208" s="8"/>
      <c r="J208" s="9">
        <f>+J207+Table23453591011[[#This Row],[AMOUNT]]-Table23453591011[[#This Row],[AMOUNT2]]-Table23453591011[[#This Row],[AMOUNT3]]</f>
        <v>5441</v>
      </c>
      <c r="K208" s="79"/>
    </row>
    <row r="209" spans="1:11" x14ac:dyDescent="0.35">
      <c r="A209" s="29" t="s">
        <v>1158</v>
      </c>
      <c r="B209" s="8"/>
      <c r="C209" s="8"/>
      <c r="D209" s="9" t="s">
        <v>153</v>
      </c>
      <c r="E209" s="8" t="s">
        <v>55</v>
      </c>
      <c r="F209" s="9" t="s">
        <v>1210</v>
      </c>
      <c r="G209" s="13">
        <v>100</v>
      </c>
      <c r="H209" s="8"/>
      <c r="I209" s="8"/>
      <c r="J209" s="9">
        <f>+J208+Table23453591011[[#This Row],[AMOUNT]]-Table23453591011[[#This Row],[AMOUNT2]]-Table23453591011[[#This Row],[AMOUNT3]]</f>
        <v>5341</v>
      </c>
      <c r="K209" s="79"/>
    </row>
    <row r="210" spans="1:11" x14ac:dyDescent="0.35">
      <c r="A210" s="29" t="s">
        <v>1158</v>
      </c>
      <c r="B210" s="8"/>
      <c r="C210" s="8"/>
      <c r="D210" s="9" t="s">
        <v>153</v>
      </c>
      <c r="E210" s="8" t="s">
        <v>734</v>
      </c>
      <c r="F210" s="9" t="s">
        <v>1</v>
      </c>
      <c r="G210" s="13">
        <v>150</v>
      </c>
      <c r="H210" s="8"/>
      <c r="I210" s="8"/>
      <c r="J210" s="9">
        <f>+J209+Table23453591011[[#This Row],[AMOUNT]]-Table23453591011[[#This Row],[AMOUNT2]]-Table23453591011[[#This Row],[AMOUNT3]]</f>
        <v>5191</v>
      </c>
      <c r="K210" s="79"/>
    </row>
    <row r="211" spans="1:11" x14ac:dyDescent="0.35">
      <c r="A211" s="29" t="s">
        <v>1166</v>
      </c>
      <c r="B211" s="8"/>
      <c r="C211" s="8"/>
      <c r="D211" s="9" t="s">
        <v>1208</v>
      </c>
      <c r="E211" s="8" t="s">
        <v>55</v>
      </c>
      <c r="F211" s="9" t="s">
        <v>1209</v>
      </c>
      <c r="G211" s="13">
        <v>120</v>
      </c>
      <c r="H211" s="8"/>
      <c r="I211" s="8"/>
      <c r="J211" s="9">
        <f>+J210+Table23453591011[[#This Row],[AMOUNT]]-Table23453591011[[#This Row],[AMOUNT2]]-Table23453591011[[#This Row],[AMOUNT3]]</f>
        <v>5071</v>
      </c>
      <c r="K211" s="79"/>
    </row>
    <row r="212" spans="1:11" x14ac:dyDescent="0.35">
      <c r="A212" s="29" t="s">
        <v>1167</v>
      </c>
      <c r="B212" s="8"/>
      <c r="C212" s="8"/>
      <c r="D212" s="9" t="s">
        <v>1208</v>
      </c>
      <c r="E212" s="8" t="s">
        <v>55</v>
      </c>
      <c r="F212" s="9" t="s">
        <v>1209</v>
      </c>
      <c r="G212" s="13">
        <v>120</v>
      </c>
      <c r="H212" s="8"/>
      <c r="I212" s="8"/>
      <c r="J212" s="9">
        <f>+J211+Table23453591011[[#This Row],[AMOUNT]]-Table23453591011[[#This Row],[AMOUNT2]]-Table23453591011[[#This Row],[AMOUNT3]]</f>
        <v>4951</v>
      </c>
      <c r="K212" s="79"/>
    </row>
    <row r="213" spans="1:11" x14ac:dyDescent="0.35">
      <c r="A213" s="29" t="s">
        <v>1167</v>
      </c>
      <c r="B213" s="8"/>
      <c r="C213" s="8"/>
      <c r="D213" s="9" t="s">
        <v>1208</v>
      </c>
      <c r="E213" s="8" t="s">
        <v>37</v>
      </c>
      <c r="F213" s="9" t="s">
        <v>415</v>
      </c>
      <c r="G213" s="13">
        <v>810</v>
      </c>
      <c r="H213" s="8"/>
      <c r="I213" s="8"/>
      <c r="J213" s="9">
        <f>+J212+Table23453591011[[#This Row],[AMOUNT]]-Table23453591011[[#This Row],[AMOUNT2]]-Table23453591011[[#This Row],[AMOUNT3]]</f>
        <v>4141</v>
      </c>
      <c r="K213" s="79"/>
    </row>
    <row r="214" spans="1:11" x14ac:dyDescent="0.35">
      <c r="A214" s="29" t="s">
        <v>1168</v>
      </c>
      <c r="B214" s="8"/>
      <c r="C214" s="8"/>
      <c r="D214" s="9" t="s">
        <v>1208</v>
      </c>
      <c r="E214" s="8" t="s">
        <v>55</v>
      </c>
      <c r="F214" s="9" t="s">
        <v>1209</v>
      </c>
      <c r="G214" s="13">
        <v>90</v>
      </c>
      <c r="H214" s="8"/>
      <c r="I214" s="8"/>
      <c r="J214" s="9">
        <f>+J213+Table23453591011[[#This Row],[AMOUNT]]-Table23453591011[[#This Row],[AMOUNT2]]-Table23453591011[[#This Row],[AMOUNT3]]</f>
        <v>4051</v>
      </c>
      <c r="K214" s="79"/>
    </row>
    <row r="215" spans="1:11" x14ac:dyDescent="0.35">
      <c r="A215" s="29" t="s">
        <v>1172</v>
      </c>
      <c r="B215" s="8" t="s">
        <v>18</v>
      </c>
      <c r="C215" s="8">
        <v>2000</v>
      </c>
      <c r="D215" s="9" t="s">
        <v>1208</v>
      </c>
      <c r="E215" s="8" t="s">
        <v>55</v>
      </c>
      <c r="F215" s="9" t="s">
        <v>1209</v>
      </c>
      <c r="G215" s="13">
        <v>120</v>
      </c>
      <c r="H215" s="8"/>
      <c r="I215" s="8"/>
      <c r="J215" s="9">
        <f>+J214+Table23453591011[[#This Row],[AMOUNT]]-Table23453591011[[#This Row],[AMOUNT2]]-Table23453591011[[#This Row],[AMOUNT3]]</f>
        <v>5931</v>
      </c>
      <c r="K215" s="79"/>
    </row>
    <row r="216" spans="1:11" x14ac:dyDescent="0.35">
      <c r="A216" s="29" t="s">
        <v>1194</v>
      </c>
      <c r="B216" s="8"/>
      <c r="C216" s="8"/>
      <c r="D216" s="9" t="s">
        <v>1208</v>
      </c>
      <c r="E216" s="8" t="s">
        <v>55</v>
      </c>
      <c r="F216" s="9" t="s">
        <v>1209</v>
      </c>
      <c r="G216" s="13">
        <v>120</v>
      </c>
      <c r="H216" s="8"/>
      <c r="I216" s="8"/>
      <c r="J216" s="9">
        <f>+J215+Table23453591011[[#This Row],[AMOUNT]]-Table23453591011[[#This Row],[AMOUNT2]]-Table23453591011[[#This Row],[AMOUNT3]]</f>
        <v>5811</v>
      </c>
      <c r="K216" s="79"/>
    </row>
    <row r="217" spans="1:11" x14ac:dyDescent="0.35">
      <c r="A217" s="29" t="s">
        <v>1196</v>
      </c>
      <c r="B217" s="8"/>
      <c r="C217" s="8"/>
      <c r="D217" s="9" t="s">
        <v>1208</v>
      </c>
      <c r="E217" s="8" t="s">
        <v>55</v>
      </c>
      <c r="F217" s="9" t="s">
        <v>1211</v>
      </c>
      <c r="G217" s="13">
        <v>280</v>
      </c>
      <c r="H217" s="8"/>
      <c r="I217" s="8"/>
      <c r="J217" s="9">
        <f>+J216+Table23453591011[[#This Row],[AMOUNT]]-Table23453591011[[#This Row],[AMOUNT2]]-Table23453591011[[#This Row],[AMOUNT3]]</f>
        <v>5531</v>
      </c>
      <c r="K217" s="79"/>
    </row>
    <row r="218" spans="1:11" x14ac:dyDescent="0.35">
      <c r="A218" s="29" t="s">
        <v>1201</v>
      </c>
      <c r="B218" s="8"/>
      <c r="C218" s="8"/>
      <c r="D218" s="9" t="s">
        <v>1208</v>
      </c>
      <c r="E218" s="8" t="s">
        <v>55</v>
      </c>
      <c r="F218" s="9" t="s">
        <v>1209</v>
      </c>
      <c r="G218" s="13">
        <v>120</v>
      </c>
      <c r="H218" s="8"/>
      <c r="I218" s="8"/>
      <c r="J218" s="9">
        <f>+J217+Table23453591011[[#This Row],[AMOUNT]]-Table23453591011[[#This Row],[AMOUNT2]]-Table23453591011[[#This Row],[AMOUNT3]]</f>
        <v>5411</v>
      </c>
      <c r="K218" s="79"/>
    </row>
    <row r="219" spans="1:11" x14ac:dyDescent="0.35">
      <c r="A219" s="29" t="s">
        <v>1202</v>
      </c>
      <c r="B219" s="8"/>
      <c r="C219" s="8"/>
      <c r="D219" s="9" t="s">
        <v>420</v>
      </c>
      <c r="E219" s="8" t="s">
        <v>55</v>
      </c>
      <c r="F219" s="9" t="s">
        <v>1212</v>
      </c>
      <c r="G219" s="13">
        <v>200</v>
      </c>
      <c r="H219" s="8"/>
      <c r="I219" s="8"/>
      <c r="J219" s="9">
        <f>+J218+Table23453591011[[#This Row],[AMOUNT]]-Table23453591011[[#This Row],[AMOUNT2]]-Table23453591011[[#This Row],[AMOUNT3]]</f>
        <v>5211</v>
      </c>
      <c r="K219" s="79"/>
    </row>
    <row r="220" spans="1:11" x14ac:dyDescent="0.35">
      <c r="A220" s="29" t="s">
        <v>1242</v>
      </c>
      <c r="B220" s="8"/>
      <c r="C220" s="8"/>
      <c r="D220" s="9" t="s">
        <v>420</v>
      </c>
      <c r="E220" s="8" t="s">
        <v>20</v>
      </c>
      <c r="F220" s="9" t="s">
        <v>1278</v>
      </c>
      <c r="G220" s="13">
        <v>100</v>
      </c>
      <c r="H220" s="8"/>
      <c r="I220" s="8"/>
      <c r="J220" s="9">
        <f>+J219+Table23453591011[[#This Row],[AMOUNT]]-Table23453591011[[#This Row],[AMOUNT2]]-Table23453591011[[#This Row],[AMOUNT3]]</f>
        <v>5111</v>
      </c>
      <c r="K220" s="79"/>
    </row>
    <row r="221" spans="1:11" x14ac:dyDescent="0.35">
      <c r="A221" s="29" t="s">
        <v>1242</v>
      </c>
      <c r="B221" s="8"/>
      <c r="C221" s="8"/>
      <c r="D221" s="9" t="s">
        <v>420</v>
      </c>
      <c r="E221" s="8" t="s">
        <v>55</v>
      </c>
      <c r="F221" s="9" t="s">
        <v>1279</v>
      </c>
      <c r="G221" s="13">
        <v>200</v>
      </c>
      <c r="H221" s="8"/>
      <c r="I221" s="8"/>
      <c r="J221" s="9">
        <f>+J220+Table23453591011[[#This Row],[AMOUNT]]-Table23453591011[[#This Row],[AMOUNT2]]-Table23453591011[[#This Row],[AMOUNT3]]</f>
        <v>4911</v>
      </c>
      <c r="K221" s="79"/>
    </row>
    <row r="222" spans="1:11" x14ac:dyDescent="0.35">
      <c r="A222" s="29" t="s">
        <v>1245</v>
      </c>
      <c r="B222" s="8" t="s">
        <v>18</v>
      </c>
      <c r="C222" s="8">
        <v>2000</v>
      </c>
      <c r="D222" s="9" t="s">
        <v>420</v>
      </c>
      <c r="E222" s="8" t="s">
        <v>55</v>
      </c>
      <c r="F222" s="9" t="s">
        <v>1279</v>
      </c>
      <c r="G222" s="13">
        <v>200</v>
      </c>
      <c r="H222" s="8"/>
      <c r="I222" s="8"/>
      <c r="J222" s="9">
        <f>+J221+Table23453591011[[#This Row],[AMOUNT]]-Table23453591011[[#This Row],[AMOUNT2]]-Table23453591011[[#This Row],[AMOUNT3]]</f>
        <v>6711</v>
      </c>
      <c r="K222" s="79"/>
    </row>
    <row r="223" spans="1:11" x14ac:dyDescent="0.35">
      <c r="A223" s="29" t="s">
        <v>1245</v>
      </c>
      <c r="B223" s="8"/>
      <c r="C223" s="8"/>
      <c r="D223" s="9" t="s">
        <v>420</v>
      </c>
      <c r="E223" s="8" t="s">
        <v>734</v>
      </c>
      <c r="F223" s="9" t="s">
        <v>1</v>
      </c>
      <c r="G223" s="13">
        <v>200</v>
      </c>
      <c r="H223" s="8"/>
      <c r="I223" s="8"/>
      <c r="J223" s="9">
        <f>+J222+Table23453591011[[#This Row],[AMOUNT]]-Table23453591011[[#This Row],[AMOUNT2]]-Table23453591011[[#This Row],[AMOUNT3]]</f>
        <v>6511</v>
      </c>
      <c r="K223" s="79"/>
    </row>
    <row r="224" spans="1:11" x14ac:dyDescent="0.35">
      <c r="A224" s="29" t="s">
        <v>1256</v>
      </c>
      <c r="B224" s="8"/>
      <c r="C224" s="8"/>
      <c r="D224" s="9" t="s">
        <v>420</v>
      </c>
      <c r="E224" s="8" t="s">
        <v>55</v>
      </c>
      <c r="F224" s="9" t="s">
        <v>1280</v>
      </c>
      <c r="G224" s="13">
        <v>100</v>
      </c>
      <c r="H224" s="8"/>
      <c r="I224" s="8"/>
      <c r="J224" s="9">
        <f>+J223+Table23453591011[[#This Row],[AMOUNT]]-Table23453591011[[#This Row],[AMOUNT2]]-Table23453591011[[#This Row],[AMOUNT3]]</f>
        <v>6411</v>
      </c>
      <c r="K224" s="79"/>
    </row>
    <row r="225" spans="1:11" x14ac:dyDescent="0.35">
      <c r="A225" s="29" t="s">
        <v>1256</v>
      </c>
      <c r="B225" s="8"/>
      <c r="C225" s="8"/>
      <c r="D225" s="9" t="s">
        <v>420</v>
      </c>
      <c r="E225" s="8" t="s">
        <v>55</v>
      </c>
      <c r="F225" s="9" t="s">
        <v>1281</v>
      </c>
      <c r="G225" s="13">
        <v>50</v>
      </c>
      <c r="H225" s="8"/>
      <c r="I225" s="8"/>
      <c r="J225" s="9">
        <f>+J224+Table23453591011[[#This Row],[AMOUNT]]-Table23453591011[[#This Row],[AMOUNT2]]-Table23453591011[[#This Row],[AMOUNT3]]</f>
        <v>6361</v>
      </c>
      <c r="K225" s="79"/>
    </row>
    <row r="226" spans="1:11" x14ac:dyDescent="0.35">
      <c r="A226" s="29" t="s">
        <v>1261</v>
      </c>
      <c r="B226" s="8"/>
      <c r="C226" s="8"/>
      <c r="D226" s="9" t="s">
        <v>420</v>
      </c>
      <c r="E226" s="8" t="s">
        <v>55</v>
      </c>
      <c r="F226" s="9" t="s">
        <v>1279</v>
      </c>
      <c r="G226" s="13">
        <v>200</v>
      </c>
      <c r="H226" s="8"/>
      <c r="I226" s="8"/>
      <c r="J226" s="9">
        <f>+J225+Table23453591011[[#This Row],[AMOUNT]]-Table23453591011[[#This Row],[AMOUNT2]]-Table23453591011[[#This Row],[AMOUNT3]]</f>
        <v>6161</v>
      </c>
      <c r="K226" s="79"/>
    </row>
    <row r="227" spans="1:11" x14ac:dyDescent="0.35">
      <c r="A227" s="29" t="s">
        <v>1264</v>
      </c>
      <c r="B227" s="8"/>
      <c r="C227" s="8"/>
      <c r="D227" s="9" t="s">
        <v>420</v>
      </c>
      <c r="E227" s="8" t="s">
        <v>55</v>
      </c>
      <c r="F227" s="9" t="s">
        <v>1279</v>
      </c>
      <c r="G227" s="13">
        <v>200</v>
      </c>
      <c r="H227" s="8"/>
      <c r="I227" s="8"/>
      <c r="J227" s="9">
        <f>+J226+Table23453591011[[#This Row],[AMOUNT]]-Table23453591011[[#This Row],[AMOUNT2]]-Table23453591011[[#This Row],[AMOUNT3]]</f>
        <v>5961</v>
      </c>
      <c r="K227" s="79"/>
    </row>
    <row r="228" spans="1:11" x14ac:dyDescent="0.35">
      <c r="A228" s="29" t="s">
        <v>1266</v>
      </c>
      <c r="B228" s="8"/>
      <c r="C228" s="8"/>
      <c r="D228" s="9" t="s">
        <v>39</v>
      </c>
      <c r="E228" s="8" t="s">
        <v>734</v>
      </c>
      <c r="F228" s="9" t="s">
        <v>1</v>
      </c>
      <c r="G228" s="13">
        <v>100</v>
      </c>
      <c r="H228" s="8"/>
      <c r="I228" s="8"/>
      <c r="J228" s="9">
        <f>+J227+Table23453591011[[#This Row],[AMOUNT]]-Table23453591011[[#This Row],[AMOUNT2]]-Table23453591011[[#This Row],[AMOUNT3]]</f>
        <v>5861</v>
      </c>
      <c r="K228" s="79"/>
    </row>
    <row r="229" spans="1:11" x14ac:dyDescent="0.35">
      <c r="A229" s="29" t="s">
        <v>1267</v>
      </c>
      <c r="B229" s="8"/>
      <c r="C229" s="8"/>
      <c r="D229" s="9" t="s">
        <v>39</v>
      </c>
      <c r="E229" s="8" t="s">
        <v>734</v>
      </c>
      <c r="F229" s="9" t="s">
        <v>1</v>
      </c>
      <c r="G229" s="13">
        <v>100</v>
      </c>
      <c r="H229" s="8"/>
      <c r="I229" s="8"/>
      <c r="J229" s="9">
        <f>+J228+Table23453591011[[#This Row],[AMOUNT]]-Table23453591011[[#This Row],[AMOUNT2]]-Table23453591011[[#This Row],[AMOUNT3]]</f>
        <v>5761</v>
      </c>
      <c r="K229" s="79"/>
    </row>
    <row r="230" spans="1:11" x14ac:dyDescent="0.35">
      <c r="A230" s="29" t="s">
        <v>1282</v>
      </c>
      <c r="B230" s="8" t="s">
        <v>18</v>
      </c>
      <c r="C230" s="8">
        <v>2000</v>
      </c>
      <c r="D230" s="9" t="s">
        <v>39</v>
      </c>
      <c r="E230" s="8" t="s">
        <v>734</v>
      </c>
      <c r="F230" s="9" t="s">
        <v>1</v>
      </c>
      <c r="G230" s="13">
        <v>100</v>
      </c>
      <c r="H230" s="8"/>
      <c r="I230" s="8"/>
      <c r="J230" s="9">
        <f>+J229+Table23453591011[[#This Row],[AMOUNT]]-Table23453591011[[#This Row],[AMOUNT2]]-Table23453591011[[#This Row],[AMOUNT3]]</f>
        <v>7661</v>
      </c>
      <c r="K230" s="79"/>
    </row>
    <row r="231" spans="1:11" x14ac:dyDescent="0.35">
      <c r="A231" s="29"/>
      <c r="B231" s="8"/>
      <c r="C231" s="8"/>
      <c r="D231" s="9"/>
      <c r="E231" s="8"/>
      <c r="F231" s="9"/>
      <c r="G231" s="13"/>
      <c r="H231" s="8"/>
      <c r="I231" s="8"/>
      <c r="J231" s="9">
        <f>+J230+Table23453591011[[#This Row],[AMOUNT]]-Table23453591011[[#This Row],[AMOUNT2]]-Table23453591011[[#This Row],[AMOUNT3]]</f>
        <v>7661</v>
      </c>
      <c r="K231" s="79"/>
    </row>
    <row r="232" spans="1:11" x14ac:dyDescent="0.35">
      <c r="A232" s="29"/>
      <c r="B232" s="8"/>
      <c r="C232" s="8"/>
      <c r="D232" s="9"/>
      <c r="E232" s="8"/>
      <c r="F232" s="9"/>
      <c r="G232" s="13"/>
      <c r="H232" s="8"/>
      <c r="I232" s="8"/>
      <c r="J232" s="9">
        <f>+J231+Table23453591011[[#This Row],[AMOUNT]]-Table23453591011[[#This Row],[AMOUNT2]]-Table23453591011[[#This Row],[AMOUNT3]]</f>
        <v>7661</v>
      </c>
      <c r="K232" s="79"/>
    </row>
    <row r="233" spans="1:11" x14ac:dyDescent="0.35">
      <c r="A233" s="29"/>
      <c r="B233" s="8"/>
      <c r="C233" s="8"/>
      <c r="D233" s="9"/>
      <c r="E233" s="8"/>
      <c r="F233" s="9"/>
      <c r="G233" s="13"/>
      <c r="H233" s="8"/>
      <c r="I233" s="8"/>
      <c r="J233" s="9">
        <f>+J232+Table23453591011[[#This Row],[AMOUNT]]-Table23453591011[[#This Row],[AMOUNT2]]-Table23453591011[[#This Row],[AMOUNT3]]</f>
        <v>7661</v>
      </c>
      <c r="K233" s="79"/>
    </row>
    <row r="234" spans="1:11" x14ac:dyDescent="0.35">
      <c r="A234" s="29"/>
      <c r="B234" s="8"/>
      <c r="C234" s="8"/>
      <c r="D234" s="9"/>
      <c r="E234" s="8"/>
      <c r="F234" s="9"/>
      <c r="G234" s="13"/>
      <c r="H234" s="8"/>
      <c r="I234" s="8"/>
      <c r="J234" s="9">
        <f>+J233+Table23453591011[[#This Row],[AMOUNT]]-Table23453591011[[#This Row],[AMOUNT2]]-Table23453591011[[#This Row],[AMOUNT3]]</f>
        <v>7661</v>
      </c>
      <c r="K234" s="79"/>
    </row>
    <row r="235" spans="1:11" x14ac:dyDescent="0.35">
      <c r="A235" s="29"/>
      <c r="B235" s="8"/>
      <c r="C235" s="8"/>
      <c r="D235" s="9"/>
      <c r="E235" s="8"/>
      <c r="F235" s="9"/>
      <c r="G235" s="13"/>
      <c r="H235" s="8"/>
      <c r="I235" s="8"/>
      <c r="J235" s="9">
        <f>+J234+Table23453591011[[#This Row],[AMOUNT]]-Table23453591011[[#This Row],[AMOUNT2]]-Table23453591011[[#This Row],[AMOUNT3]]</f>
        <v>7661</v>
      </c>
      <c r="K235" s="79"/>
    </row>
    <row r="236" spans="1:11" x14ac:dyDescent="0.35">
      <c r="A236" s="29"/>
      <c r="B236" s="8"/>
      <c r="C236" s="8"/>
      <c r="D236" s="9"/>
      <c r="E236" s="8"/>
      <c r="F236" s="9"/>
      <c r="G236" s="13"/>
      <c r="H236" s="8"/>
      <c r="I236" s="8"/>
      <c r="J236" s="9">
        <f>+J235+Table23453591011[[#This Row],[AMOUNT]]-Table23453591011[[#This Row],[AMOUNT2]]-Table23453591011[[#This Row],[AMOUNT3]]</f>
        <v>7661</v>
      </c>
      <c r="K236" s="79"/>
    </row>
    <row r="237" spans="1:11" x14ac:dyDescent="0.35">
      <c r="A237" s="29"/>
      <c r="B237" s="8"/>
      <c r="C237" s="8"/>
      <c r="D237" s="9"/>
      <c r="E237" s="8"/>
      <c r="F237" s="9"/>
      <c r="G237" s="13"/>
      <c r="H237" s="8"/>
      <c r="I237" s="8"/>
      <c r="J237" s="9">
        <f>+J236+Table23453591011[[#This Row],[AMOUNT]]-Table23453591011[[#This Row],[AMOUNT2]]-Table23453591011[[#This Row],[AMOUNT3]]</f>
        <v>7661</v>
      </c>
      <c r="K237" s="79"/>
    </row>
    <row r="238" spans="1:11" x14ac:dyDescent="0.35">
      <c r="A238" s="29"/>
      <c r="B238" s="8"/>
      <c r="C238" s="8"/>
      <c r="D238" s="9"/>
      <c r="E238" s="8"/>
      <c r="F238" s="9"/>
      <c r="G238" s="13"/>
      <c r="H238" s="8"/>
      <c r="I238" s="8"/>
      <c r="J238" s="9">
        <f>+J237+Table23453591011[[#This Row],[AMOUNT]]-Table23453591011[[#This Row],[AMOUNT2]]-Table23453591011[[#This Row],[AMOUNT3]]</f>
        <v>7661</v>
      </c>
      <c r="K238" s="79"/>
    </row>
    <row r="239" spans="1:11" x14ac:dyDescent="0.35">
      <c r="A239" s="29"/>
      <c r="B239" s="8"/>
      <c r="C239" s="8"/>
      <c r="D239" s="9"/>
      <c r="E239" s="8"/>
      <c r="F239" s="9"/>
      <c r="G239" s="13"/>
      <c r="H239" s="8"/>
      <c r="I239" s="8"/>
      <c r="J239" s="9">
        <f>+J238+Table23453591011[[#This Row],[AMOUNT]]-Table23453591011[[#This Row],[AMOUNT2]]-Table23453591011[[#This Row],[AMOUNT3]]</f>
        <v>7661</v>
      </c>
      <c r="K239" s="79"/>
    </row>
    <row r="240" spans="1:11" x14ac:dyDescent="0.35">
      <c r="A240" s="29"/>
      <c r="B240" s="8"/>
      <c r="C240" s="8"/>
      <c r="D240" s="9"/>
      <c r="E240" s="8"/>
      <c r="F240" s="9"/>
      <c r="G240" s="13"/>
      <c r="H240" s="8"/>
      <c r="I240" s="8"/>
      <c r="J240" s="9">
        <f>+J239+Table23453591011[[#This Row],[AMOUNT]]-Table23453591011[[#This Row],[AMOUNT2]]-Table23453591011[[#This Row],[AMOUNT3]]</f>
        <v>7661</v>
      </c>
      <c r="K240" s="79"/>
    </row>
    <row r="241" spans="1:11" x14ac:dyDescent="0.35">
      <c r="A241" s="29"/>
      <c r="B241" s="8"/>
      <c r="C241" s="8"/>
      <c r="D241" s="9"/>
      <c r="E241" s="8"/>
      <c r="F241" s="9"/>
      <c r="G241" s="13"/>
      <c r="H241" s="8"/>
      <c r="I241" s="8"/>
      <c r="J241" s="9">
        <f>+J240+Table23453591011[[#This Row],[AMOUNT]]-Table23453591011[[#This Row],[AMOUNT2]]-Table23453591011[[#This Row],[AMOUNT3]]</f>
        <v>7661</v>
      </c>
      <c r="K241" s="79"/>
    </row>
    <row r="242" spans="1:11" x14ac:dyDescent="0.35">
      <c r="A242" s="29"/>
      <c r="B242" s="8"/>
      <c r="C242" s="8"/>
      <c r="D242" s="9"/>
      <c r="E242" s="8"/>
      <c r="F242" s="9"/>
      <c r="G242" s="13"/>
      <c r="H242" s="8"/>
      <c r="I242" s="8"/>
      <c r="J242" s="9">
        <f>+J241+Table23453591011[[#This Row],[AMOUNT]]-Table23453591011[[#This Row],[AMOUNT2]]-Table23453591011[[#This Row],[AMOUNT3]]</f>
        <v>7661</v>
      </c>
      <c r="K242" s="79"/>
    </row>
    <row r="243" spans="1:11" x14ac:dyDescent="0.35">
      <c r="A243" s="29"/>
      <c r="B243" s="8"/>
      <c r="C243" s="8"/>
      <c r="D243" s="9"/>
      <c r="E243" s="8"/>
      <c r="F243" s="9"/>
      <c r="G243" s="13"/>
      <c r="H243" s="8"/>
      <c r="I243" s="8"/>
      <c r="J243" s="9">
        <f>+J242+Table23453591011[[#This Row],[AMOUNT]]-Table23453591011[[#This Row],[AMOUNT2]]-Table23453591011[[#This Row],[AMOUNT3]]</f>
        <v>7661</v>
      </c>
      <c r="K243" s="79"/>
    </row>
    <row r="244" spans="1:11" x14ac:dyDescent="0.35">
      <c r="A244" s="29"/>
      <c r="B244" s="8"/>
      <c r="C244" s="8"/>
      <c r="D244" s="9"/>
      <c r="E244" s="8"/>
      <c r="F244" s="9"/>
      <c r="G244" s="13"/>
      <c r="H244" s="8"/>
      <c r="I244" s="8"/>
      <c r="J244" s="9">
        <f>+J243+Table23453591011[[#This Row],[AMOUNT]]-Table23453591011[[#This Row],[AMOUNT2]]-Table23453591011[[#This Row],[AMOUNT3]]</f>
        <v>7661</v>
      </c>
      <c r="K244" s="79"/>
    </row>
    <row r="245" spans="1:11" x14ac:dyDescent="0.35">
      <c r="A245" s="29"/>
      <c r="B245" s="8"/>
      <c r="C245" s="8"/>
      <c r="D245" s="9"/>
      <c r="E245" s="8"/>
      <c r="F245" s="9"/>
      <c r="G245" s="13"/>
      <c r="H245" s="8"/>
      <c r="I245" s="8"/>
      <c r="J245" s="9">
        <f>+J244+Table23453591011[[#This Row],[AMOUNT]]-Table23453591011[[#This Row],[AMOUNT2]]-Table23453591011[[#This Row],[AMOUNT3]]</f>
        <v>7661</v>
      </c>
      <c r="K245" s="79"/>
    </row>
    <row r="246" spans="1:11" x14ac:dyDescent="0.35">
      <c r="A246" s="29"/>
      <c r="B246" s="8"/>
      <c r="C246" s="8"/>
      <c r="D246" s="9"/>
      <c r="E246" s="8"/>
      <c r="F246" s="9"/>
      <c r="G246" s="13"/>
      <c r="H246" s="8"/>
      <c r="I246" s="8"/>
      <c r="J246" s="9">
        <f>+J245+Table23453591011[[#This Row],[AMOUNT]]-Table23453591011[[#This Row],[AMOUNT2]]-Table23453591011[[#This Row],[AMOUNT3]]</f>
        <v>7661</v>
      </c>
      <c r="K246" s="79"/>
    </row>
    <row r="247" spans="1:11" x14ac:dyDescent="0.35">
      <c r="A247" s="29"/>
      <c r="B247" s="8"/>
      <c r="C247" s="8"/>
      <c r="D247" s="9"/>
      <c r="E247" s="8"/>
      <c r="F247" s="9"/>
      <c r="G247" s="13"/>
      <c r="H247" s="8"/>
      <c r="I247" s="8"/>
      <c r="J247" s="9">
        <f>+J246+Table23453591011[[#This Row],[AMOUNT]]-Table23453591011[[#This Row],[AMOUNT2]]-Table23453591011[[#This Row],[AMOUNT3]]</f>
        <v>7661</v>
      </c>
      <c r="K247" s="79"/>
    </row>
    <row r="248" spans="1:11" x14ac:dyDescent="0.35">
      <c r="A248" s="29"/>
      <c r="B248" s="8"/>
      <c r="C248" s="8"/>
      <c r="D248" s="9"/>
      <c r="E248" s="8"/>
      <c r="F248" s="9"/>
      <c r="G248" s="13"/>
      <c r="H248" s="8"/>
      <c r="I248" s="8"/>
      <c r="J248" s="9">
        <f>+J247+Table23453591011[[#This Row],[AMOUNT]]-Table23453591011[[#This Row],[AMOUNT2]]-Table23453591011[[#This Row],[AMOUNT3]]</f>
        <v>7661</v>
      </c>
      <c r="K248" s="79"/>
    </row>
    <row r="249" spans="1:11" x14ac:dyDescent="0.35">
      <c r="A249" s="29"/>
      <c r="B249" s="8"/>
      <c r="C249" s="8"/>
      <c r="D249" s="8"/>
      <c r="E249" s="8"/>
      <c r="F249" s="9"/>
      <c r="G249" s="13"/>
      <c r="H249" s="8"/>
      <c r="I249" s="8"/>
      <c r="J249" s="9">
        <f>+J248+Table23453591011[[#This Row],[AMOUNT]]-Table23453591011[[#This Row],[AMOUNT2]]-Table23453591011[[#This Row],[AMOUNT3]]</f>
        <v>7661</v>
      </c>
      <c r="K249" s="79"/>
    </row>
    <row r="250" spans="1:11" x14ac:dyDescent="0.35">
      <c r="A250" s="29"/>
      <c r="B250" s="8"/>
      <c r="C250" s="8"/>
      <c r="D250" s="8"/>
      <c r="E250" s="8"/>
      <c r="F250" s="9"/>
      <c r="G250" s="13"/>
      <c r="H250" s="8"/>
      <c r="I250" s="8"/>
      <c r="J250" s="9">
        <f>+J249+Table23453591011[[#This Row],[AMOUNT]]-Table23453591011[[#This Row],[AMOUNT2]]-Table23453591011[[#This Row],[AMOUNT3]]</f>
        <v>7661</v>
      </c>
      <c r="K250" s="79"/>
    </row>
    <row r="251" spans="1:11" x14ac:dyDescent="0.35">
      <c r="A251" s="29"/>
      <c r="B251" s="8"/>
      <c r="C251" s="8"/>
      <c r="D251" s="8"/>
      <c r="E251" s="8"/>
      <c r="F251" s="9"/>
      <c r="G251" s="13"/>
      <c r="H251" s="8"/>
      <c r="I251" s="8"/>
      <c r="J251" s="9">
        <f>+J250+Table23453591011[[#This Row],[AMOUNT]]-Table23453591011[[#This Row],[AMOUNT2]]-Table23453591011[[#This Row],[AMOUNT3]]</f>
        <v>7661</v>
      </c>
      <c r="K251" s="79"/>
    </row>
    <row r="252" spans="1:11" x14ac:dyDescent="0.35">
      <c r="A252" s="29"/>
      <c r="B252" s="8"/>
      <c r="C252" s="8"/>
      <c r="D252" s="8"/>
      <c r="E252" s="8"/>
      <c r="F252" s="9"/>
      <c r="G252" s="13"/>
      <c r="H252" s="8"/>
      <c r="I252" s="8"/>
      <c r="J252" s="9">
        <f>+J251+Table23453591011[[#This Row],[AMOUNT]]-Table23453591011[[#This Row],[AMOUNT2]]-Table23453591011[[#This Row],[AMOUNT3]]</f>
        <v>7661</v>
      </c>
      <c r="K252" s="79"/>
    </row>
    <row r="253" spans="1:11" x14ac:dyDescent="0.35">
      <c r="A253" s="29"/>
      <c r="B253" s="20"/>
      <c r="C253" s="20"/>
      <c r="D253" s="20"/>
      <c r="E253" s="20"/>
      <c r="F253" s="19"/>
      <c r="G253" s="21"/>
      <c r="H253" s="20"/>
      <c r="I253" s="20"/>
      <c r="J253" s="9">
        <f>+J252+Table23453591011[[#This Row],[AMOUNT]]-Table23453591011[[#This Row],[AMOUNT2]]-Table23453591011[[#This Row],[AMOUNT3]]</f>
        <v>7661</v>
      </c>
      <c r="K253" s="79"/>
    </row>
    <row r="254" spans="1:11" x14ac:dyDescent="0.35">
      <c r="A254" s="148" t="s">
        <v>15</v>
      </c>
      <c r="B254" s="150"/>
      <c r="C254" s="6">
        <f>SUM(C5:C253)</f>
        <v>146300</v>
      </c>
      <c r="D254" s="6"/>
      <c r="E254" s="6"/>
      <c r="F254" s="6"/>
      <c r="G254" s="6">
        <f>SUM(G5:G253)</f>
        <v>138639</v>
      </c>
      <c r="H254" s="6"/>
      <c r="I254" s="6">
        <f>SUM(I5:I253)</f>
        <v>0</v>
      </c>
      <c r="J254" s="6"/>
    </row>
  </sheetData>
  <mergeCells count="4">
    <mergeCell ref="A1:J2"/>
    <mergeCell ref="A3:C3"/>
    <mergeCell ref="G3:I3"/>
    <mergeCell ref="A254:B25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8"/>
  <sheetViews>
    <sheetView tabSelected="1" zoomScale="90" zoomScaleNormal="90" workbookViewId="0">
      <pane ySplit="4" topLeftCell="A226" activePane="bottomLeft" state="frozen"/>
      <selection pane="bottomLeft" activeCell="I296" sqref="I296"/>
    </sheetView>
  </sheetViews>
  <sheetFormatPr defaultRowHeight="15.5" x14ac:dyDescent="0.35"/>
  <cols>
    <col min="1" max="1" width="11.90625" style="14" bestFit="1" customWidth="1"/>
    <col min="2" max="2" width="8.54296875" style="15" customWidth="1"/>
    <col min="3" max="3" width="10.36328125" style="15" customWidth="1"/>
    <col min="4" max="4" width="13.6328125" style="14" bestFit="1" customWidth="1"/>
    <col min="5" max="5" width="17.90625" style="14" customWidth="1"/>
    <col min="6" max="6" width="36.54296875" style="14" customWidth="1"/>
    <col min="7" max="7" width="13.08984375" style="14" bestFit="1" customWidth="1"/>
    <col min="8" max="8" width="13.08984375" style="14" customWidth="1"/>
    <col min="9" max="9" width="39.54296875" style="14" bestFit="1" customWidth="1"/>
    <col min="10" max="10" width="13.08984375" style="14" bestFit="1" customWidth="1"/>
    <col min="11" max="11" width="12.36328125" style="14" customWidth="1"/>
    <col min="12" max="12" width="14.453125" customWidth="1"/>
    <col min="13" max="13" width="8.36328125" bestFit="1" customWidth="1"/>
    <col min="14" max="14" width="31.6328125" bestFit="1" customWidth="1"/>
    <col min="16" max="16" width="30.36328125" bestFit="1" customWidth="1"/>
  </cols>
  <sheetData>
    <row r="1" spans="1:13" ht="14.5" x14ac:dyDescent="0.35">
      <c r="A1" s="139" t="s">
        <v>87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3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4"/>
    </row>
    <row r="3" spans="1:13" x14ac:dyDescent="0.35">
      <c r="A3" s="145" t="s">
        <v>3</v>
      </c>
      <c r="B3" s="146"/>
      <c r="C3" s="147"/>
      <c r="D3" s="4">
        <v>-75478</v>
      </c>
      <c r="E3" s="4"/>
      <c r="F3" s="4"/>
      <c r="G3" s="145" t="s">
        <v>4</v>
      </c>
      <c r="H3" s="146"/>
      <c r="I3" s="146"/>
      <c r="J3" s="147"/>
      <c r="K3" s="4"/>
    </row>
    <row r="4" spans="1:13" x14ac:dyDescent="0.35">
      <c r="A4" s="5" t="s">
        <v>5</v>
      </c>
      <c r="B4" s="6" t="s">
        <v>6</v>
      </c>
      <c r="C4" s="6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825</v>
      </c>
      <c r="I4" s="5" t="s">
        <v>12</v>
      </c>
      <c r="J4" s="5" t="s">
        <v>13</v>
      </c>
      <c r="K4" s="5" t="s">
        <v>14</v>
      </c>
      <c r="L4" s="80" t="s">
        <v>554</v>
      </c>
    </row>
    <row r="5" spans="1:13" x14ac:dyDescent="0.35">
      <c r="A5" s="28"/>
      <c r="B5" s="7"/>
      <c r="C5" s="8"/>
      <c r="D5" s="7"/>
      <c r="E5" s="7"/>
      <c r="F5" s="9"/>
      <c r="G5" s="10">
        <v>0</v>
      </c>
      <c r="H5" s="10"/>
      <c r="I5" s="9"/>
      <c r="J5" s="8"/>
      <c r="K5" s="9">
        <f>+D3</f>
        <v>-75478</v>
      </c>
      <c r="L5" s="94"/>
    </row>
    <row r="6" spans="1:13" x14ac:dyDescent="0.35">
      <c r="A6" s="29">
        <v>46113</v>
      </c>
      <c r="B6" s="7"/>
      <c r="C6" s="8"/>
      <c r="D6" s="7" t="s">
        <v>48</v>
      </c>
      <c r="E6" s="7" t="s">
        <v>75</v>
      </c>
      <c r="F6" s="9" t="s">
        <v>127</v>
      </c>
      <c r="G6" s="48">
        <v>5000</v>
      </c>
      <c r="H6" s="13"/>
      <c r="I6" s="9"/>
      <c r="J6" s="8"/>
      <c r="K6" s="47">
        <f>+K5+Table234535612[[#This Row],[AMOUNT]]-Table234535612[[#This Row],[AMOUNT2]]-Table234535612[[#This Row],[AMOUNT3]]</f>
        <v>-80478</v>
      </c>
      <c r="L6" s="94"/>
    </row>
    <row r="7" spans="1:13" x14ac:dyDescent="0.35">
      <c r="A7" s="29">
        <v>46114</v>
      </c>
      <c r="B7" s="7" t="s">
        <v>63</v>
      </c>
      <c r="C7" s="35">
        <v>190000</v>
      </c>
      <c r="D7" s="7" t="s">
        <v>48</v>
      </c>
      <c r="E7" s="7" t="s">
        <v>19</v>
      </c>
      <c r="F7" s="9" t="s">
        <v>128</v>
      </c>
      <c r="G7" s="67">
        <v>10000</v>
      </c>
      <c r="H7" s="13"/>
      <c r="I7" s="9"/>
      <c r="J7" s="8"/>
      <c r="K7" s="47">
        <f>K6+Table234535612[[#This Row],[AMOUNT]]-Table234535612[[#This Row],[AMOUNT2]]-Table234535612[[#This Row],[AMOUNT3]]</f>
        <v>99522</v>
      </c>
      <c r="L7" s="94"/>
    </row>
    <row r="8" spans="1:13" x14ac:dyDescent="0.35">
      <c r="A8" s="29">
        <v>46114</v>
      </c>
      <c r="B8" s="7"/>
      <c r="C8" s="8"/>
      <c r="D8" s="7" t="s">
        <v>48</v>
      </c>
      <c r="E8" s="7" t="s">
        <v>1</v>
      </c>
      <c r="F8" s="9" t="s">
        <v>129</v>
      </c>
      <c r="G8" s="48">
        <v>300</v>
      </c>
      <c r="H8" s="13"/>
      <c r="I8" s="9"/>
      <c r="J8" s="8"/>
      <c r="K8" s="47">
        <f>K7+Table234535612[[#This Row],[AMOUNT]]-Table234535612[[#This Row],[AMOUNT2]]-Table234535612[[#This Row],[AMOUNT3]]</f>
        <v>99222</v>
      </c>
      <c r="L8" s="94"/>
    </row>
    <row r="9" spans="1:13" x14ac:dyDescent="0.35">
      <c r="A9" s="29">
        <v>46114</v>
      </c>
      <c r="B9" s="7"/>
      <c r="C9" s="8"/>
      <c r="D9" s="7" t="s">
        <v>48</v>
      </c>
      <c r="E9" s="7" t="s">
        <v>19</v>
      </c>
      <c r="F9" s="9" t="s">
        <v>130</v>
      </c>
      <c r="G9" s="48">
        <v>6000</v>
      </c>
      <c r="H9" s="13"/>
      <c r="I9" s="9"/>
      <c r="J9" s="8"/>
      <c r="K9" s="47">
        <f>K8+Table234535612[[#This Row],[AMOUNT]]-Table234535612[[#This Row],[AMOUNT2]]-Table234535612[[#This Row],[AMOUNT3]]</f>
        <v>93222</v>
      </c>
      <c r="L9" s="94"/>
      <c r="M9">
        <v>165000</v>
      </c>
    </row>
    <row r="10" spans="1:13" x14ac:dyDescent="0.35">
      <c r="A10" s="29">
        <v>46115</v>
      </c>
      <c r="B10" s="7"/>
      <c r="C10" s="8"/>
      <c r="D10" s="7" t="s">
        <v>48</v>
      </c>
      <c r="E10" s="7" t="s">
        <v>25</v>
      </c>
      <c r="F10" s="9" t="s">
        <v>131</v>
      </c>
      <c r="G10" s="48">
        <v>450</v>
      </c>
      <c r="H10" s="13"/>
      <c r="I10" s="9"/>
      <c r="J10" s="8"/>
      <c r="K10" s="47">
        <f>K9+Table234535612[[#This Row],[AMOUNT]]-Table234535612[[#This Row],[AMOUNT2]]-Table234535612[[#This Row],[AMOUNT3]]</f>
        <v>92772</v>
      </c>
      <c r="L10" s="94"/>
    </row>
    <row r="11" spans="1:13" x14ac:dyDescent="0.35">
      <c r="A11" s="29">
        <v>46116</v>
      </c>
      <c r="B11" s="7"/>
      <c r="C11" s="8"/>
      <c r="D11" s="7" t="s">
        <v>48</v>
      </c>
      <c r="E11" s="7" t="s">
        <v>25</v>
      </c>
      <c r="F11" s="9" t="s">
        <v>131</v>
      </c>
      <c r="G11" s="48">
        <v>450</v>
      </c>
      <c r="H11" s="13"/>
      <c r="I11" s="9"/>
      <c r="J11" s="8"/>
      <c r="K11" s="47">
        <f>K10+Table234535612[[#This Row],[AMOUNT]]-Table234535612[[#This Row],[AMOUNT2]]-Table234535612[[#This Row],[AMOUNT3]]</f>
        <v>92322</v>
      </c>
      <c r="L11" s="94"/>
    </row>
    <row r="12" spans="1:13" x14ac:dyDescent="0.35">
      <c r="A12" s="29">
        <v>46120</v>
      </c>
      <c r="B12" s="7"/>
      <c r="C12" s="8"/>
      <c r="D12" s="7" t="s">
        <v>48</v>
      </c>
      <c r="E12" s="7" t="s">
        <v>94</v>
      </c>
      <c r="F12" s="9" t="s">
        <v>132</v>
      </c>
      <c r="G12" s="48">
        <v>117867</v>
      </c>
      <c r="H12" s="13"/>
      <c r="I12" s="9"/>
      <c r="J12" s="8"/>
      <c r="K12" s="47">
        <f>K11+Table234535612[[#This Row],[AMOUNT]]-Table234535612[[#This Row],[AMOUNT2]]-Table234535612[[#This Row],[AMOUNT3]]</f>
        <v>-25545</v>
      </c>
      <c r="L12" s="94"/>
    </row>
    <row r="13" spans="1:13" x14ac:dyDescent="0.35">
      <c r="A13" s="29">
        <v>46120</v>
      </c>
      <c r="B13" s="7"/>
      <c r="C13" s="8"/>
      <c r="D13" s="7" t="s">
        <v>48</v>
      </c>
      <c r="E13" s="7" t="s">
        <v>88</v>
      </c>
      <c r="F13" s="9" t="s">
        <v>133</v>
      </c>
      <c r="G13" s="48">
        <v>10000</v>
      </c>
      <c r="H13" s="13"/>
      <c r="I13" s="9"/>
      <c r="J13" s="8"/>
      <c r="K13" s="47">
        <f>K12+Table234535612[[#This Row],[AMOUNT]]-Table234535612[[#This Row],[AMOUNT2]]-Table234535612[[#This Row],[AMOUNT3]]</f>
        <v>-35545</v>
      </c>
      <c r="L13" s="94"/>
    </row>
    <row r="14" spans="1:13" x14ac:dyDescent="0.35">
      <c r="A14" s="29">
        <v>46121</v>
      </c>
      <c r="B14" s="7"/>
      <c r="C14" s="8"/>
      <c r="D14" s="7" t="s">
        <v>48</v>
      </c>
      <c r="E14" s="7" t="s">
        <v>312</v>
      </c>
      <c r="F14" s="9" t="s">
        <v>134</v>
      </c>
      <c r="G14" s="48">
        <v>15000</v>
      </c>
      <c r="H14" s="13"/>
      <c r="I14" s="9"/>
      <c r="J14" s="8"/>
      <c r="K14" s="47">
        <f>K13+Table234535612[[#This Row],[AMOUNT]]-Table234535612[[#This Row],[AMOUNT2]]-Table234535612[[#This Row],[AMOUNT3]]</f>
        <v>-50545</v>
      </c>
      <c r="L14" s="94"/>
    </row>
    <row r="15" spans="1:13" x14ac:dyDescent="0.35">
      <c r="A15" s="29">
        <v>46121</v>
      </c>
      <c r="B15" s="7"/>
      <c r="C15" s="8"/>
      <c r="D15" s="7" t="s">
        <v>48</v>
      </c>
      <c r="E15" s="7" t="s">
        <v>312</v>
      </c>
      <c r="F15" s="9" t="s">
        <v>135</v>
      </c>
      <c r="G15" s="48">
        <v>3000</v>
      </c>
      <c r="H15" s="13"/>
      <c r="I15" s="9"/>
      <c r="J15" s="8"/>
      <c r="K15" s="47">
        <f>K14+Table234535612[[#This Row],[AMOUNT]]-Table234535612[[#This Row],[AMOUNT2]]-Table234535612[[#This Row],[AMOUNT3]]</f>
        <v>-53545</v>
      </c>
      <c r="L15" s="94"/>
    </row>
    <row r="16" spans="1:13" x14ac:dyDescent="0.35">
      <c r="A16" s="29">
        <v>46122</v>
      </c>
      <c r="B16" s="7" t="s">
        <v>63</v>
      </c>
      <c r="C16" s="35">
        <v>250000</v>
      </c>
      <c r="D16" s="7" t="s">
        <v>48</v>
      </c>
      <c r="E16" s="26" t="s">
        <v>75</v>
      </c>
      <c r="F16" s="9" t="s">
        <v>127</v>
      </c>
      <c r="G16" s="48">
        <v>4500</v>
      </c>
      <c r="H16" s="13"/>
      <c r="I16" s="9"/>
      <c r="J16" s="8"/>
      <c r="K16" s="47">
        <f>K15+Table234535612[[#This Row],[AMOUNT]]-Table234535612[[#This Row],[AMOUNT2]]-Table234535612[[#This Row],[AMOUNT3]]</f>
        <v>191955</v>
      </c>
      <c r="L16" s="94"/>
    </row>
    <row r="17" spans="1:12" x14ac:dyDescent="0.35">
      <c r="A17" s="29">
        <v>46122</v>
      </c>
      <c r="B17" s="7"/>
      <c r="C17" s="8"/>
      <c r="D17" s="7" t="s">
        <v>48</v>
      </c>
      <c r="E17" s="7" t="s">
        <v>88</v>
      </c>
      <c r="F17" s="9" t="s">
        <v>136</v>
      </c>
      <c r="G17" s="48">
        <v>50000</v>
      </c>
      <c r="H17" s="13"/>
      <c r="I17" s="9"/>
      <c r="J17" s="8"/>
      <c r="K17" s="47">
        <f>K16+Table234535612[[#This Row],[AMOUNT]]-Table234535612[[#This Row],[AMOUNT2]]-Table234535612[[#This Row],[AMOUNT3]]</f>
        <v>141955</v>
      </c>
      <c r="L17" s="94"/>
    </row>
    <row r="18" spans="1:12" x14ac:dyDescent="0.35">
      <c r="A18" s="29">
        <v>46122</v>
      </c>
      <c r="B18" s="7"/>
      <c r="C18" s="8"/>
      <c r="D18" s="7" t="s">
        <v>48</v>
      </c>
      <c r="E18" s="26" t="s">
        <v>75</v>
      </c>
      <c r="F18" s="9" t="s">
        <v>127</v>
      </c>
      <c r="G18" s="48">
        <v>2200</v>
      </c>
      <c r="H18" s="13"/>
      <c r="I18" s="9"/>
      <c r="J18" s="8"/>
      <c r="K18" s="47">
        <f>K17+Table234535612[[#This Row],[AMOUNT]]-Table234535612[[#This Row],[AMOUNT2]]-Table234535612[[#This Row],[AMOUNT3]]</f>
        <v>139755</v>
      </c>
      <c r="L18" s="94"/>
    </row>
    <row r="19" spans="1:12" x14ac:dyDescent="0.35">
      <c r="A19" s="29">
        <v>46123</v>
      </c>
      <c r="B19" s="7"/>
      <c r="C19" s="8"/>
      <c r="D19" s="7" t="s">
        <v>48</v>
      </c>
      <c r="E19" s="7" t="s">
        <v>312</v>
      </c>
      <c r="F19" s="9" t="s">
        <v>137</v>
      </c>
      <c r="G19" s="48">
        <v>6694</v>
      </c>
      <c r="H19" s="13"/>
      <c r="I19" s="9"/>
      <c r="J19" s="8"/>
      <c r="K19" s="47">
        <f>K18+Table234535612[[#This Row],[AMOUNT]]-Table234535612[[#This Row],[AMOUNT2]]-Table234535612[[#This Row],[AMOUNT3]]</f>
        <v>133061</v>
      </c>
      <c r="L19" s="94"/>
    </row>
    <row r="20" spans="1:12" x14ac:dyDescent="0.35">
      <c r="A20" s="29">
        <v>46123</v>
      </c>
      <c r="B20" s="7"/>
      <c r="C20" s="8"/>
      <c r="D20" s="7" t="s">
        <v>48</v>
      </c>
      <c r="E20" s="7" t="s">
        <v>24</v>
      </c>
      <c r="F20" s="9" t="s">
        <v>138</v>
      </c>
      <c r="G20" s="48">
        <v>3000</v>
      </c>
      <c r="H20" s="13"/>
      <c r="I20" s="9"/>
      <c r="J20" s="8"/>
      <c r="K20" s="47">
        <f>K19+Table234535612[[#This Row],[AMOUNT]]-Table234535612[[#This Row],[AMOUNT2]]-Table234535612[[#This Row],[AMOUNT3]]</f>
        <v>130061</v>
      </c>
      <c r="L20" s="94"/>
    </row>
    <row r="21" spans="1:12" x14ac:dyDescent="0.35">
      <c r="A21" s="29">
        <v>46123</v>
      </c>
      <c r="B21" s="7"/>
      <c r="C21" s="8"/>
      <c r="D21" s="7" t="s">
        <v>48</v>
      </c>
      <c r="E21" s="7" t="s">
        <v>312</v>
      </c>
      <c r="F21" s="9" t="s">
        <v>139</v>
      </c>
      <c r="G21" s="48">
        <v>7792</v>
      </c>
      <c r="H21" s="13"/>
      <c r="I21" s="9"/>
      <c r="J21" s="8"/>
      <c r="K21" s="47">
        <f>K20+Table234535612[[#This Row],[AMOUNT]]-Table234535612[[#This Row],[AMOUNT2]]-Table234535612[[#This Row],[AMOUNT3]]</f>
        <v>122269</v>
      </c>
      <c r="L21" s="94"/>
    </row>
    <row r="22" spans="1:12" x14ac:dyDescent="0.35">
      <c r="A22" s="29">
        <v>46123</v>
      </c>
      <c r="B22" s="7"/>
      <c r="C22" s="8"/>
      <c r="D22" s="7" t="s">
        <v>48</v>
      </c>
      <c r="E22" s="7" t="s">
        <v>19</v>
      </c>
      <c r="F22" s="9" t="s">
        <v>130</v>
      </c>
      <c r="G22" s="48">
        <v>10000</v>
      </c>
      <c r="H22" s="13"/>
      <c r="I22" s="9"/>
      <c r="J22" s="8"/>
      <c r="K22" s="47">
        <f>K21+Table234535612[[#This Row],[AMOUNT]]-Table234535612[[#This Row],[AMOUNT2]]-Table234535612[[#This Row],[AMOUNT3]]</f>
        <v>112269</v>
      </c>
      <c r="L22" s="94"/>
    </row>
    <row r="23" spans="1:12" x14ac:dyDescent="0.35">
      <c r="A23" s="29">
        <v>46123</v>
      </c>
      <c r="B23" s="7"/>
      <c r="C23" s="8"/>
      <c r="D23" s="7" t="s">
        <v>48</v>
      </c>
      <c r="E23" s="7" t="s">
        <v>17</v>
      </c>
      <c r="F23" s="9" t="s">
        <v>130</v>
      </c>
      <c r="G23" s="48">
        <v>7000</v>
      </c>
      <c r="H23" s="13"/>
      <c r="I23" s="9"/>
      <c r="J23" s="8"/>
      <c r="K23" s="47">
        <f>K22+Table234535612[[#This Row],[AMOUNT]]-Table234535612[[#This Row],[AMOUNT2]]-Table234535612[[#This Row],[AMOUNT3]]</f>
        <v>105269</v>
      </c>
      <c r="L23" s="94"/>
    </row>
    <row r="24" spans="1:12" x14ac:dyDescent="0.35">
      <c r="A24" s="29">
        <v>46124</v>
      </c>
      <c r="B24" s="7"/>
      <c r="C24" s="8"/>
      <c r="D24" s="7" t="s">
        <v>48</v>
      </c>
      <c r="E24" s="7" t="s">
        <v>312</v>
      </c>
      <c r="F24" s="9" t="s">
        <v>140</v>
      </c>
      <c r="G24" s="48">
        <v>8387</v>
      </c>
      <c r="H24" s="13"/>
      <c r="I24" s="9"/>
      <c r="J24" s="8"/>
      <c r="K24" s="47">
        <f>K23+Table234535612[[#This Row],[AMOUNT]]-Table234535612[[#This Row],[AMOUNT2]]-Table234535612[[#This Row],[AMOUNT3]]</f>
        <v>96882</v>
      </c>
      <c r="L24" s="94"/>
    </row>
    <row r="25" spans="1:12" x14ac:dyDescent="0.35">
      <c r="A25" s="29">
        <v>46124</v>
      </c>
      <c r="B25" s="7"/>
      <c r="C25" s="8"/>
      <c r="D25" s="7" t="s">
        <v>48</v>
      </c>
      <c r="E25" s="7" t="s">
        <v>88</v>
      </c>
      <c r="F25" s="9" t="s">
        <v>141</v>
      </c>
      <c r="G25" s="48">
        <v>5000</v>
      </c>
      <c r="H25" s="13"/>
      <c r="I25" s="9"/>
      <c r="J25" s="8"/>
      <c r="K25" s="47">
        <f>K24+Table234535612[[#This Row],[AMOUNT]]-Table234535612[[#This Row],[AMOUNT2]]-Table234535612[[#This Row],[AMOUNT3]]</f>
        <v>91882</v>
      </c>
      <c r="L25" s="94"/>
    </row>
    <row r="26" spans="1:12" x14ac:dyDescent="0.35">
      <c r="A26" s="29">
        <v>46125</v>
      </c>
      <c r="B26" s="7"/>
      <c r="C26" s="8"/>
      <c r="D26" s="7" t="s">
        <v>48</v>
      </c>
      <c r="E26" s="7" t="s">
        <v>20</v>
      </c>
      <c r="F26" s="9" t="s">
        <v>142</v>
      </c>
      <c r="G26" s="48">
        <v>85800</v>
      </c>
      <c r="H26" s="13"/>
      <c r="I26" s="9"/>
      <c r="J26" s="8"/>
      <c r="K26" s="47">
        <f>K25+Table234535612[[#This Row],[AMOUNT]]-Table234535612[[#This Row],[AMOUNT2]]-Table234535612[[#This Row],[AMOUNT3]]</f>
        <v>6082</v>
      </c>
      <c r="L26" s="94"/>
    </row>
    <row r="27" spans="1:12" x14ac:dyDescent="0.35">
      <c r="A27" s="29">
        <v>46125</v>
      </c>
      <c r="B27" s="7"/>
      <c r="C27" s="8"/>
      <c r="D27" s="7" t="s">
        <v>48</v>
      </c>
      <c r="E27" s="7" t="s">
        <v>19</v>
      </c>
      <c r="F27" s="9" t="s">
        <v>130</v>
      </c>
      <c r="G27" s="48">
        <v>12000</v>
      </c>
      <c r="H27" s="13"/>
      <c r="I27" s="9"/>
      <c r="J27" s="49"/>
      <c r="K27" s="47">
        <f>K26+Table234535612[[#This Row],[AMOUNT]]-Table234535612[[#This Row],[AMOUNT2]]-Table234535612[[#This Row],[AMOUNT3]]</f>
        <v>-5918</v>
      </c>
      <c r="L27" s="94"/>
    </row>
    <row r="28" spans="1:12" x14ac:dyDescent="0.35">
      <c r="A28" s="29">
        <v>46125</v>
      </c>
      <c r="B28" s="7"/>
      <c r="C28" s="8"/>
      <c r="D28" s="7" t="s">
        <v>48</v>
      </c>
      <c r="E28" s="26" t="s">
        <v>17</v>
      </c>
      <c r="F28" s="9" t="s">
        <v>143</v>
      </c>
      <c r="G28" s="48">
        <v>4200</v>
      </c>
      <c r="H28" s="13"/>
      <c r="I28" s="9"/>
      <c r="J28" s="8"/>
      <c r="K28" s="47">
        <f>K27+Table234535612[[#This Row],[AMOUNT]]-Table234535612[[#This Row],[AMOUNT2]]-Table234535612[[#This Row],[AMOUNT3]]</f>
        <v>-10118</v>
      </c>
      <c r="L28" s="94"/>
    </row>
    <row r="29" spans="1:12" x14ac:dyDescent="0.35">
      <c r="A29" s="29">
        <v>46125</v>
      </c>
      <c r="B29" s="7"/>
      <c r="C29" s="8"/>
      <c r="D29" s="7" t="s">
        <v>48</v>
      </c>
      <c r="E29" s="26" t="s">
        <v>30</v>
      </c>
      <c r="F29" s="9" t="s">
        <v>302</v>
      </c>
      <c r="G29" s="48">
        <v>20500</v>
      </c>
      <c r="H29" s="13"/>
      <c r="I29" s="9"/>
      <c r="J29" s="8"/>
      <c r="K29" s="47">
        <f>K28+Table234535612[[#This Row],[AMOUNT]]-Table234535612[[#This Row],[AMOUNT2]]-Table234535612[[#This Row],[AMOUNT3]]</f>
        <v>-30618</v>
      </c>
      <c r="L29" s="94"/>
    </row>
    <row r="30" spans="1:12" x14ac:dyDescent="0.35">
      <c r="A30" s="29">
        <v>46126</v>
      </c>
      <c r="B30" s="7"/>
      <c r="C30" s="8"/>
      <c r="D30" s="7" t="s">
        <v>48</v>
      </c>
      <c r="E30" s="26" t="s">
        <v>24</v>
      </c>
      <c r="F30" s="9" t="s">
        <v>144</v>
      </c>
      <c r="G30" s="48">
        <v>3300</v>
      </c>
      <c r="H30" s="13"/>
      <c r="I30" s="9"/>
      <c r="J30" s="8"/>
      <c r="K30" s="47">
        <f>K29+Table234535612[[#This Row],[AMOUNT]]-Table234535612[[#This Row],[AMOUNT2]]-Table234535612[[#This Row],[AMOUNT3]]</f>
        <v>-33918</v>
      </c>
      <c r="L30" s="94"/>
    </row>
    <row r="31" spans="1:12" x14ac:dyDescent="0.35">
      <c r="A31" s="29">
        <v>46127</v>
      </c>
      <c r="B31" s="7"/>
      <c r="C31" s="8"/>
      <c r="D31" s="7" t="s">
        <v>48</v>
      </c>
      <c r="E31" s="7" t="s">
        <v>19</v>
      </c>
      <c r="F31" s="9" t="s">
        <v>145</v>
      </c>
      <c r="G31" s="68">
        <v>400</v>
      </c>
      <c r="H31" s="13"/>
      <c r="I31" s="9"/>
      <c r="J31" s="8"/>
      <c r="K31" s="47">
        <f>K30+Table234535612[[#This Row],[AMOUNT]]-Table234535612[[#This Row],[AMOUNT2]]-Table234535612[[#This Row],[AMOUNT3]]</f>
        <v>-34318</v>
      </c>
      <c r="L31" s="94"/>
    </row>
    <row r="32" spans="1:12" x14ac:dyDescent="0.35">
      <c r="A32" s="29">
        <v>46127</v>
      </c>
      <c r="B32" s="7"/>
      <c r="C32" s="8"/>
      <c r="D32" s="7" t="s">
        <v>48</v>
      </c>
      <c r="E32" s="7" t="s">
        <v>75</v>
      </c>
      <c r="F32" s="9" t="s">
        <v>146</v>
      </c>
      <c r="G32" s="48">
        <v>2300</v>
      </c>
      <c r="H32" s="13"/>
      <c r="I32" s="9"/>
      <c r="J32" s="8"/>
      <c r="K32" s="47">
        <f>K31+Table234535612[[#This Row],[AMOUNT]]-Table234535612[[#This Row],[AMOUNT2]]-Table234535612[[#This Row],[AMOUNT3]]</f>
        <v>-36618</v>
      </c>
      <c r="L32" s="94"/>
    </row>
    <row r="33" spans="1:13" x14ac:dyDescent="0.35">
      <c r="A33" s="29">
        <v>46129</v>
      </c>
      <c r="B33" s="7"/>
      <c r="C33" s="8"/>
      <c r="D33" s="7" t="s">
        <v>48</v>
      </c>
      <c r="E33" s="26" t="s">
        <v>30</v>
      </c>
      <c r="F33" s="9" t="s">
        <v>303</v>
      </c>
      <c r="G33" s="13">
        <v>4000</v>
      </c>
      <c r="H33" s="13"/>
      <c r="I33" s="9"/>
      <c r="J33" s="49"/>
      <c r="K33" s="47">
        <f>K32+Table234535612[[#This Row],[AMOUNT]]-Table234535612[[#This Row],[AMOUNT2]]-Table234535612[[#This Row],[AMOUNT3]]</f>
        <v>-40618</v>
      </c>
      <c r="L33" s="94"/>
    </row>
    <row r="34" spans="1:13" x14ac:dyDescent="0.35">
      <c r="A34" s="29">
        <v>46118</v>
      </c>
      <c r="B34" s="7"/>
      <c r="C34" s="8"/>
      <c r="D34" s="7" t="s">
        <v>48</v>
      </c>
      <c r="E34" s="7" t="s">
        <v>1</v>
      </c>
      <c r="F34" s="9" t="s">
        <v>147</v>
      </c>
      <c r="G34" s="48">
        <v>1000</v>
      </c>
      <c r="H34" s="13"/>
      <c r="I34" s="9"/>
      <c r="J34" s="8"/>
      <c r="K34" s="47">
        <f>K33+Table234535612[[#This Row],[AMOUNT]]-Table234535612[[#This Row],[AMOUNT2]]-Table234535612[[#This Row],[AMOUNT3]]</f>
        <v>-41618</v>
      </c>
      <c r="L34" s="94"/>
    </row>
    <row r="35" spans="1:13" x14ac:dyDescent="0.35">
      <c r="A35" s="29">
        <v>46125</v>
      </c>
      <c r="B35" s="7"/>
      <c r="C35" s="8"/>
      <c r="D35" s="7" t="s">
        <v>48</v>
      </c>
      <c r="E35" s="26" t="s">
        <v>1</v>
      </c>
      <c r="F35" s="7" t="s">
        <v>148</v>
      </c>
      <c r="G35" s="48">
        <v>500</v>
      </c>
      <c r="H35" s="13"/>
      <c r="I35" s="9"/>
      <c r="J35" s="8"/>
      <c r="K35" s="47">
        <f>K34+Table234535612[[#This Row],[AMOUNT]]-Table234535612[[#This Row],[AMOUNT2]]-Table234535612[[#This Row],[AMOUNT3]]</f>
        <v>-42118</v>
      </c>
      <c r="L35" s="94"/>
    </row>
    <row r="36" spans="1:13" x14ac:dyDescent="0.35">
      <c r="A36" s="29">
        <v>46129</v>
      </c>
      <c r="B36" s="7"/>
      <c r="C36" s="8"/>
      <c r="D36" s="7" t="s">
        <v>48</v>
      </c>
      <c r="E36" s="26" t="s">
        <v>25</v>
      </c>
      <c r="F36" s="7" t="s">
        <v>149</v>
      </c>
      <c r="G36" s="48">
        <v>500</v>
      </c>
      <c r="H36" s="13"/>
      <c r="I36" s="9"/>
      <c r="J36" s="8"/>
      <c r="K36" s="47">
        <f>K35+Table234535612[[#This Row],[AMOUNT]]-Table234535612[[#This Row],[AMOUNT2]]-Table234535612[[#This Row],[AMOUNT3]]</f>
        <v>-42618</v>
      </c>
      <c r="L36" s="94"/>
    </row>
    <row r="37" spans="1:13" x14ac:dyDescent="0.35">
      <c r="A37" s="29">
        <v>46133</v>
      </c>
      <c r="B37" s="7"/>
      <c r="C37" s="8"/>
      <c r="D37" s="7" t="s">
        <v>48</v>
      </c>
      <c r="E37" s="7" t="s">
        <v>312</v>
      </c>
      <c r="F37" s="9" t="s">
        <v>240</v>
      </c>
      <c r="G37" s="48">
        <v>16355</v>
      </c>
      <c r="H37" s="13"/>
      <c r="I37" s="9"/>
      <c r="J37" s="8"/>
      <c r="K37" s="47">
        <f>K36+Table234535612[[#This Row],[AMOUNT]]-Table234535612[[#This Row],[AMOUNT2]]-Table234535612[[#This Row],[AMOUNT3]]</f>
        <v>-58973</v>
      </c>
      <c r="L37" s="94"/>
    </row>
    <row r="38" spans="1:13" x14ac:dyDescent="0.35">
      <c r="A38" s="29">
        <v>46133</v>
      </c>
      <c r="B38" s="7"/>
      <c r="C38" s="8"/>
      <c r="D38" s="7" t="s">
        <v>48</v>
      </c>
      <c r="E38" s="7" t="s">
        <v>312</v>
      </c>
      <c r="F38" s="9" t="s">
        <v>241</v>
      </c>
      <c r="G38" s="50">
        <v>1000</v>
      </c>
      <c r="H38" s="83"/>
      <c r="I38" s="9"/>
      <c r="J38" s="8"/>
      <c r="K38" s="47">
        <f>K37+Table234535612[[#This Row],[AMOUNT]]-Table234535612[[#This Row],[AMOUNT2]]-Table234535612[[#This Row],[AMOUNT3]]</f>
        <v>-59973</v>
      </c>
      <c r="L38" s="94"/>
    </row>
    <row r="39" spans="1:13" x14ac:dyDescent="0.35">
      <c r="A39" s="29">
        <v>46134</v>
      </c>
      <c r="B39" s="7" t="s">
        <v>63</v>
      </c>
      <c r="C39" s="35">
        <v>60000</v>
      </c>
      <c r="D39" s="7" t="s">
        <v>48</v>
      </c>
      <c r="E39" s="7" t="s">
        <v>19</v>
      </c>
      <c r="F39" s="9" t="s">
        <v>130</v>
      </c>
      <c r="G39" s="48">
        <v>2000</v>
      </c>
      <c r="H39" s="13"/>
      <c r="I39" s="9"/>
      <c r="J39" s="8"/>
      <c r="K39" s="47">
        <f>K38+Table234535612[[#This Row],[AMOUNT]]-Table234535612[[#This Row],[AMOUNT2]]-Table234535612[[#This Row],[AMOUNT3]]</f>
        <v>-1973</v>
      </c>
      <c r="L39" s="94"/>
    </row>
    <row r="40" spans="1:13" x14ac:dyDescent="0.35">
      <c r="A40" s="29">
        <v>46137</v>
      </c>
      <c r="B40" s="7"/>
      <c r="C40" s="46"/>
      <c r="D40" s="7" t="s">
        <v>48</v>
      </c>
      <c r="E40" s="7" t="s">
        <v>94</v>
      </c>
      <c r="F40" s="9" t="s">
        <v>246</v>
      </c>
      <c r="G40" s="48">
        <v>50000</v>
      </c>
      <c r="H40" s="13"/>
      <c r="I40" s="9"/>
      <c r="J40" s="8"/>
      <c r="K40" s="47">
        <f>K39+Table234535612[[#This Row],[AMOUNT]]-Table234535612[[#This Row],[AMOUNT2]]-Table234535612[[#This Row],[AMOUNT3]]</f>
        <v>-51973</v>
      </c>
      <c r="L40" s="94"/>
    </row>
    <row r="41" spans="1:13" x14ac:dyDescent="0.35">
      <c r="A41" s="29">
        <v>46137</v>
      </c>
      <c r="B41" s="7"/>
      <c r="C41" s="46"/>
      <c r="D41" s="7" t="s">
        <v>48</v>
      </c>
      <c r="E41" s="7" t="s">
        <v>19</v>
      </c>
      <c r="F41" s="9" t="s">
        <v>130</v>
      </c>
      <c r="G41" s="48">
        <v>4000</v>
      </c>
      <c r="H41" s="13"/>
      <c r="I41" s="9"/>
      <c r="J41" s="8"/>
      <c r="K41" s="47">
        <f>K40+Table234535612[[#This Row],[AMOUNT]]-Table234535612[[#This Row],[AMOUNT2]]-Table234535612[[#This Row],[AMOUNT3]]</f>
        <v>-55973</v>
      </c>
      <c r="L41" s="94"/>
    </row>
    <row r="42" spans="1:13" x14ac:dyDescent="0.35">
      <c r="A42" s="29">
        <v>46140</v>
      </c>
      <c r="B42" s="7" t="s">
        <v>63</v>
      </c>
      <c r="C42" s="35">
        <v>50000</v>
      </c>
      <c r="D42" s="7" t="s">
        <v>48</v>
      </c>
      <c r="E42" s="26" t="s">
        <v>24</v>
      </c>
      <c r="F42" s="9" t="s">
        <v>247</v>
      </c>
      <c r="G42" s="48">
        <v>1000</v>
      </c>
      <c r="H42" s="13"/>
      <c r="I42" s="9"/>
      <c r="J42" s="8"/>
      <c r="K42" s="47">
        <f>K41+Table234535612[[#This Row],[AMOUNT]]-Table234535612[[#This Row],[AMOUNT2]]-Table234535612[[#This Row],[AMOUNT3]]</f>
        <v>-6973</v>
      </c>
      <c r="L42" s="94"/>
    </row>
    <row r="43" spans="1:13" x14ac:dyDescent="0.35">
      <c r="A43" s="29">
        <v>46140</v>
      </c>
      <c r="B43" s="7"/>
      <c r="C43" s="8"/>
      <c r="D43" s="7" t="s">
        <v>48</v>
      </c>
      <c r="E43" s="7" t="s">
        <v>19</v>
      </c>
      <c r="F43" s="9" t="s">
        <v>130</v>
      </c>
      <c r="G43" s="48">
        <v>25000</v>
      </c>
      <c r="H43" s="13"/>
      <c r="I43" s="9"/>
      <c r="J43" s="8"/>
      <c r="K43" s="47">
        <f>K42+Table234535612[[#This Row],[AMOUNT]]-Table234535612[[#This Row],[AMOUNT2]]-Table234535612[[#This Row],[AMOUNT3]]</f>
        <v>-31973</v>
      </c>
      <c r="L43" s="94"/>
    </row>
    <row r="44" spans="1:13" x14ac:dyDescent="0.35">
      <c r="A44" s="29">
        <v>46140</v>
      </c>
      <c r="B44" s="7"/>
      <c r="C44" s="8"/>
      <c r="D44" s="7" t="s">
        <v>48</v>
      </c>
      <c r="E44" s="7" t="s">
        <v>19</v>
      </c>
      <c r="F44" s="9" t="s">
        <v>130</v>
      </c>
      <c r="G44" s="48">
        <v>5000</v>
      </c>
      <c r="H44" s="13"/>
      <c r="I44" s="9"/>
      <c r="J44" s="8"/>
      <c r="K44" s="47">
        <f>K43+Table234535612[[#This Row],[AMOUNT]]-Table234535612[[#This Row],[AMOUNT2]]-Table234535612[[#This Row],[AMOUNT3]]</f>
        <v>-36973</v>
      </c>
      <c r="L44" s="94"/>
    </row>
    <row r="45" spans="1:13" x14ac:dyDescent="0.35">
      <c r="A45" s="29">
        <v>46140</v>
      </c>
      <c r="B45" s="7"/>
      <c r="C45" s="8"/>
      <c r="D45" s="7" t="s">
        <v>48</v>
      </c>
      <c r="E45" s="26" t="s">
        <v>68</v>
      </c>
      <c r="F45" s="9" t="s">
        <v>248</v>
      </c>
      <c r="G45" s="13">
        <f>7*800+1*1000</f>
        <v>6600</v>
      </c>
      <c r="H45" s="13"/>
      <c r="I45" s="9"/>
      <c r="J45" s="8"/>
      <c r="K45" s="47">
        <f>K44+Table234535612[[#This Row],[AMOUNT]]-Table234535612[[#This Row],[AMOUNT2]]-Table234535612[[#This Row],[AMOUNT3]]</f>
        <v>-43573</v>
      </c>
      <c r="L45" s="94"/>
    </row>
    <row r="46" spans="1:13" x14ac:dyDescent="0.35">
      <c r="A46" s="29">
        <v>46140</v>
      </c>
      <c r="B46" s="7"/>
      <c r="C46" s="8"/>
      <c r="D46" s="7" t="s">
        <v>48</v>
      </c>
      <c r="E46" s="26" t="s">
        <v>0</v>
      </c>
      <c r="F46" s="9" t="s">
        <v>307</v>
      </c>
      <c r="G46" s="13">
        <v>250</v>
      </c>
      <c r="H46" s="13"/>
      <c r="I46" s="9"/>
      <c r="J46" s="8"/>
      <c r="K46" s="47">
        <f>K45+Table234535612[[#This Row],[AMOUNT]]-Table234535612[[#This Row],[AMOUNT2]]-Table234535612[[#This Row],[AMOUNT3]]</f>
        <v>-43823</v>
      </c>
      <c r="L46" s="94"/>
    </row>
    <row r="47" spans="1:13" x14ac:dyDescent="0.35">
      <c r="A47" s="29">
        <v>46140</v>
      </c>
      <c r="B47" s="7"/>
      <c r="C47" s="8"/>
      <c r="D47" s="7" t="s">
        <v>48</v>
      </c>
      <c r="E47" s="7" t="s">
        <v>312</v>
      </c>
      <c r="F47" s="9" t="s">
        <v>249</v>
      </c>
      <c r="G47" s="13">
        <v>5000</v>
      </c>
      <c r="H47" s="13"/>
      <c r="I47" s="9"/>
      <c r="J47" s="8"/>
      <c r="K47" s="47">
        <f>K46+Table234535612[[#This Row],[AMOUNT]]-Table234535612[[#This Row],[AMOUNT2]]-Table234535612[[#This Row],[AMOUNT3]]</f>
        <v>-48823</v>
      </c>
      <c r="L47" s="94"/>
    </row>
    <row r="48" spans="1:13" x14ac:dyDescent="0.35">
      <c r="A48" s="29">
        <v>46140</v>
      </c>
      <c r="B48" s="7"/>
      <c r="C48" s="8"/>
      <c r="D48" s="7" t="s">
        <v>48</v>
      </c>
      <c r="E48" s="7" t="s">
        <v>24</v>
      </c>
      <c r="F48" s="9" t="s">
        <v>250</v>
      </c>
      <c r="G48" s="13">
        <v>5500</v>
      </c>
      <c r="H48" s="13"/>
      <c r="I48" s="9"/>
      <c r="J48" s="8"/>
      <c r="K48" s="47">
        <f>K47+Table234535612[[#This Row],[AMOUNT]]-Table234535612[[#This Row],[AMOUNT2]]-Table234535612[[#This Row],[AMOUNT3]]</f>
        <v>-54323</v>
      </c>
      <c r="L48" s="94"/>
      <c r="M48">
        <f>7*800+1*1000</f>
        <v>6600</v>
      </c>
    </row>
    <row r="49" spans="1:16" x14ac:dyDescent="0.35">
      <c r="A49" s="29">
        <v>46141</v>
      </c>
      <c r="B49" s="7"/>
      <c r="C49" s="8"/>
      <c r="D49" s="7" t="s">
        <v>48</v>
      </c>
      <c r="E49" s="26" t="s">
        <v>68</v>
      </c>
      <c r="F49" s="9" t="s">
        <v>251</v>
      </c>
      <c r="G49" s="13">
        <f>4*800</f>
        <v>3200</v>
      </c>
      <c r="H49" s="13"/>
      <c r="I49" s="9"/>
      <c r="J49" s="8"/>
      <c r="K49" s="47">
        <f>K48+Table234535612[[#This Row],[AMOUNT]]-Table234535612[[#This Row],[AMOUNT2]]-Table234535612[[#This Row],[AMOUNT3]]</f>
        <v>-57523</v>
      </c>
      <c r="L49" s="94"/>
    </row>
    <row r="50" spans="1:16" x14ac:dyDescent="0.35">
      <c r="A50" s="29">
        <v>46142</v>
      </c>
      <c r="B50" s="7"/>
      <c r="C50" s="8"/>
      <c r="D50" s="7" t="s">
        <v>48</v>
      </c>
      <c r="E50" s="7" t="s">
        <v>24</v>
      </c>
      <c r="F50" s="9" t="s">
        <v>252</v>
      </c>
      <c r="G50" s="13">
        <v>10000</v>
      </c>
      <c r="H50" s="13"/>
      <c r="I50" s="9"/>
      <c r="J50" s="8"/>
      <c r="K50" s="47">
        <f>K49+Table234535612[[#This Row],[AMOUNT]]-Table234535612[[#This Row],[AMOUNT2]]-Table234535612[[#This Row],[AMOUNT3]]</f>
        <v>-67523</v>
      </c>
      <c r="L50" s="94"/>
    </row>
    <row r="51" spans="1:16" x14ac:dyDescent="0.35">
      <c r="A51" s="29">
        <v>46142</v>
      </c>
      <c r="B51" s="7"/>
      <c r="C51" s="8"/>
      <c r="D51" s="7" t="s">
        <v>48</v>
      </c>
      <c r="E51" s="7" t="s">
        <v>75</v>
      </c>
      <c r="F51" s="9" t="s">
        <v>257</v>
      </c>
      <c r="G51" s="13">
        <v>2500</v>
      </c>
      <c r="H51" s="13"/>
      <c r="I51" s="9"/>
      <c r="J51" s="8"/>
      <c r="K51" s="47">
        <f>K50+Table234535612[[#This Row],[AMOUNT]]-Table234535612[[#This Row],[AMOUNT2]]-Table234535612[[#This Row],[AMOUNT3]]</f>
        <v>-70023</v>
      </c>
      <c r="L51" s="94"/>
    </row>
    <row r="52" spans="1:16" x14ac:dyDescent="0.35">
      <c r="A52" s="29">
        <v>46142</v>
      </c>
      <c r="B52" s="7"/>
      <c r="C52" s="8"/>
      <c r="D52" s="7" t="s">
        <v>48</v>
      </c>
      <c r="E52" s="26" t="s">
        <v>68</v>
      </c>
      <c r="F52" s="9" t="s">
        <v>308</v>
      </c>
      <c r="G52" s="13">
        <f>7*900</f>
        <v>6300</v>
      </c>
      <c r="H52" s="13"/>
      <c r="I52" s="9"/>
      <c r="J52" s="8"/>
      <c r="K52" s="47">
        <f>K51+Table234535612[[#This Row],[AMOUNT]]-Table234535612[[#This Row],[AMOUNT2]]-Table234535612[[#This Row],[AMOUNT3]]</f>
        <v>-76323</v>
      </c>
      <c r="L52" s="94"/>
    </row>
    <row r="53" spans="1:16" x14ac:dyDescent="0.35">
      <c r="A53" s="29">
        <v>46142</v>
      </c>
      <c r="B53" s="7"/>
      <c r="C53" s="8"/>
      <c r="D53" s="7" t="s">
        <v>48</v>
      </c>
      <c r="E53" s="26" t="s">
        <v>0</v>
      </c>
      <c r="F53" s="9" t="s">
        <v>307</v>
      </c>
      <c r="G53" s="13">
        <v>500</v>
      </c>
      <c r="H53" s="13"/>
      <c r="I53" s="9"/>
      <c r="J53" s="8"/>
      <c r="K53" s="47">
        <f>K52+Table234535612[[#This Row],[AMOUNT]]-Table234535612[[#This Row],[AMOUNT2]]-Table234535612[[#This Row],[AMOUNT3]]</f>
        <v>-76823</v>
      </c>
      <c r="L53" s="94"/>
    </row>
    <row r="54" spans="1:16" x14ac:dyDescent="0.35">
      <c r="A54" s="29">
        <v>46142</v>
      </c>
      <c r="B54" s="7"/>
      <c r="C54" s="8"/>
      <c r="D54" s="7" t="s">
        <v>48</v>
      </c>
      <c r="E54" s="7" t="s">
        <v>75</v>
      </c>
      <c r="F54" s="9" t="s">
        <v>258</v>
      </c>
      <c r="G54" s="13">
        <v>2500</v>
      </c>
      <c r="H54" s="13"/>
      <c r="I54" s="9"/>
      <c r="J54" s="8"/>
      <c r="K54" s="47">
        <f>K53+Table234535612[[#This Row],[AMOUNT]]-Table234535612[[#This Row],[AMOUNT2]]-Table234535612[[#This Row],[AMOUNT3]]</f>
        <v>-79323</v>
      </c>
      <c r="L54" s="94"/>
    </row>
    <row r="55" spans="1:16" ht="18.5" x14ac:dyDescent="0.45">
      <c r="A55" s="29">
        <v>46137</v>
      </c>
      <c r="B55" s="7"/>
      <c r="C55" s="8"/>
      <c r="D55" s="7" t="s">
        <v>48</v>
      </c>
      <c r="E55" s="7" t="s">
        <v>25</v>
      </c>
      <c r="F55" s="9" t="s">
        <v>253</v>
      </c>
      <c r="G55" s="13">
        <v>1500</v>
      </c>
      <c r="H55" s="13"/>
      <c r="I55" s="9"/>
      <c r="J55" s="8"/>
      <c r="K55" s="47">
        <f>K54+Table234535612[[#This Row],[AMOUNT]]-Table234535612[[#This Row],[AMOUNT2]]-Table234535612[[#This Row],[AMOUNT3]]</f>
        <v>-80823</v>
      </c>
      <c r="L55" s="94"/>
      <c r="N55" s="162" t="s">
        <v>264</v>
      </c>
      <c r="O55" s="162"/>
      <c r="P55" s="162"/>
    </row>
    <row r="56" spans="1:16" x14ac:dyDescent="0.35">
      <c r="A56" s="29">
        <v>46136</v>
      </c>
      <c r="B56" s="7"/>
      <c r="C56" s="8"/>
      <c r="D56" s="7" t="s">
        <v>48</v>
      </c>
      <c r="E56" s="7"/>
      <c r="F56" s="9"/>
      <c r="G56" s="13"/>
      <c r="H56" s="13"/>
      <c r="I56" s="9"/>
      <c r="J56" s="8"/>
      <c r="K56" s="47">
        <f>K55+Table234535612[[#This Row],[AMOUNT]]-Table234535612[[#This Row],[AMOUNT2]]-Table234535612[[#This Row],[AMOUNT3]]</f>
        <v>-80823</v>
      </c>
      <c r="L56" s="94"/>
      <c r="N56" s="114" t="s">
        <v>254</v>
      </c>
      <c r="O56" s="77">
        <v>30000</v>
      </c>
      <c r="P56" s="115" t="s">
        <v>263</v>
      </c>
    </row>
    <row r="57" spans="1:16" x14ac:dyDescent="0.35">
      <c r="A57" s="29">
        <v>46137</v>
      </c>
      <c r="B57" s="7"/>
      <c r="C57" s="8"/>
      <c r="D57" s="7" t="s">
        <v>48</v>
      </c>
      <c r="E57" s="7"/>
      <c r="F57" s="9"/>
      <c r="G57" s="13"/>
      <c r="H57" s="13"/>
      <c r="I57" s="9"/>
      <c r="J57" s="8"/>
      <c r="K57" s="47">
        <f>K56+Table234535612[[#This Row],[AMOUNT]]-Table234535612[[#This Row],[AMOUNT2]]-Table234535612[[#This Row],[AMOUNT3]]</f>
        <v>-80823</v>
      </c>
      <c r="L57" s="94"/>
      <c r="N57" s="116" t="s">
        <v>254</v>
      </c>
      <c r="O57" s="117">
        <v>24000</v>
      </c>
      <c r="P57" s="115" t="s">
        <v>263</v>
      </c>
    </row>
    <row r="58" spans="1:16" x14ac:dyDescent="0.35">
      <c r="A58" s="29">
        <v>46139</v>
      </c>
      <c r="B58" s="7"/>
      <c r="C58" s="8"/>
      <c r="D58" s="7" t="s">
        <v>48</v>
      </c>
      <c r="E58" s="7" t="s">
        <v>19</v>
      </c>
      <c r="F58" s="9" t="s">
        <v>130</v>
      </c>
      <c r="G58" s="48">
        <v>1000</v>
      </c>
      <c r="H58" s="13"/>
      <c r="I58" s="9"/>
      <c r="J58" s="8"/>
      <c r="K58" s="47">
        <f>K57+Table234535612[[#This Row],[AMOUNT]]-Table234535612[[#This Row],[AMOUNT2]]-Table234535612[[#This Row],[AMOUNT3]]</f>
        <v>-81823</v>
      </c>
      <c r="L58" s="94"/>
      <c r="N58" s="56"/>
      <c r="O58" s="57"/>
    </row>
    <row r="59" spans="1:16" x14ac:dyDescent="0.35">
      <c r="A59" s="29">
        <v>46143</v>
      </c>
      <c r="B59" s="7" t="s">
        <v>63</v>
      </c>
      <c r="C59" s="35">
        <v>100000</v>
      </c>
      <c r="D59" s="7" t="s">
        <v>48</v>
      </c>
      <c r="E59" s="7" t="s">
        <v>19</v>
      </c>
      <c r="F59" s="9" t="s">
        <v>130</v>
      </c>
      <c r="G59" s="48">
        <v>25000</v>
      </c>
      <c r="H59" s="13"/>
      <c r="I59" s="9"/>
      <c r="J59" s="8"/>
      <c r="K59" s="47">
        <f>K58+Table234535612[[#This Row],[AMOUNT]]-Table234535612[[#This Row],[AMOUNT2]]-Table234535612[[#This Row],[AMOUNT3]]</f>
        <v>-6823</v>
      </c>
      <c r="L59" s="94"/>
    </row>
    <row r="60" spans="1:16" x14ac:dyDescent="0.35">
      <c r="A60" s="29">
        <v>46143</v>
      </c>
      <c r="B60" s="7"/>
      <c r="C60" s="8"/>
      <c r="D60" s="7" t="s">
        <v>48</v>
      </c>
      <c r="E60" s="7" t="s">
        <v>24</v>
      </c>
      <c r="F60" s="9" t="s">
        <v>259</v>
      </c>
      <c r="G60" s="13">
        <v>5000</v>
      </c>
      <c r="H60" s="13"/>
      <c r="I60" s="9"/>
      <c r="J60" s="8"/>
      <c r="K60" s="47">
        <f>K59+Table234535612[[#This Row],[AMOUNT]]-Table234535612[[#This Row],[AMOUNT2]]-Table234535612[[#This Row],[AMOUNT3]]</f>
        <v>-11823</v>
      </c>
      <c r="L60" s="94"/>
    </row>
    <row r="61" spans="1:16" x14ac:dyDescent="0.35">
      <c r="A61" s="29">
        <v>46143</v>
      </c>
      <c r="B61" s="24"/>
      <c r="C61" s="18"/>
      <c r="D61" s="7" t="s">
        <v>48</v>
      </c>
      <c r="E61" s="7" t="s">
        <v>24</v>
      </c>
      <c r="F61" s="9" t="s">
        <v>260</v>
      </c>
      <c r="G61" s="13">
        <v>16000</v>
      </c>
      <c r="H61" s="13"/>
      <c r="I61" s="17"/>
      <c r="J61" s="18"/>
      <c r="K61" s="47">
        <f>K60+Table234535612[[#This Row],[AMOUNT]]-Table234535612[[#This Row],[AMOUNT2]]-Table234535612[[#This Row],[AMOUNT3]]</f>
        <v>-27823</v>
      </c>
      <c r="L61" s="94"/>
    </row>
    <row r="62" spans="1:16" x14ac:dyDescent="0.35">
      <c r="A62" s="29">
        <v>46144</v>
      </c>
      <c r="B62" s="7"/>
      <c r="C62" s="8"/>
      <c r="D62" s="7" t="s">
        <v>48</v>
      </c>
      <c r="E62" s="7" t="s">
        <v>24</v>
      </c>
      <c r="F62" s="9" t="s">
        <v>261</v>
      </c>
      <c r="G62" s="13">
        <v>3000</v>
      </c>
      <c r="H62" s="13"/>
      <c r="I62" s="9"/>
      <c r="J62" s="8"/>
      <c r="K62" s="47">
        <f>K61+Table234535612[[#This Row],[AMOUNT]]-Table234535612[[#This Row],[AMOUNT2]]-Table234535612[[#This Row],[AMOUNT3]]</f>
        <v>-30823</v>
      </c>
      <c r="L62" s="94"/>
    </row>
    <row r="63" spans="1:16" x14ac:dyDescent="0.35">
      <c r="A63" s="29">
        <v>46144</v>
      </c>
      <c r="B63" s="7"/>
      <c r="C63" s="8"/>
      <c r="D63" s="7" t="s">
        <v>48</v>
      </c>
      <c r="E63" s="26" t="s">
        <v>68</v>
      </c>
      <c r="F63" s="9" t="s">
        <v>262</v>
      </c>
      <c r="G63" s="13">
        <f>3*800</f>
        <v>2400</v>
      </c>
      <c r="H63" s="13"/>
      <c r="I63" s="9"/>
      <c r="J63" s="8"/>
      <c r="K63" s="47">
        <f>K62+Table234535612[[#This Row],[AMOUNT]]-Table234535612[[#This Row],[AMOUNT2]]-Table234535612[[#This Row],[AMOUNT3]]</f>
        <v>-33223</v>
      </c>
      <c r="L63" s="94"/>
    </row>
    <row r="64" spans="1:16" x14ac:dyDescent="0.35">
      <c r="A64" s="29">
        <v>46146</v>
      </c>
      <c r="B64" s="7"/>
      <c r="C64" s="8"/>
      <c r="D64" s="7" t="s">
        <v>48</v>
      </c>
      <c r="E64" s="7" t="s">
        <v>24</v>
      </c>
      <c r="F64" s="9" t="s">
        <v>265</v>
      </c>
      <c r="G64" s="13">
        <v>2000</v>
      </c>
      <c r="H64" s="13"/>
      <c r="I64" s="9"/>
      <c r="J64" s="8"/>
      <c r="K64" s="47">
        <f>K63+Table234535612[[#This Row],[AMOUNT]]-Table234535612[[#This Row],[AMOUNT2]]-Table234535612[[#This Row],[AMOUNT3]]</f>
        <v>-35223</v>
      </c>
      <c r="L64" s="94"/>
    </row>
    <row r="65" spans="1:12" x14ac:dyDescent="0.35">
      <c r="A65" s="29">
        <v>46146</v>
      </c>
      <c r="B65" s="7"/>
      <c r="C65" s="8"/>
      <c r="D65" s="7" t="s">
        <v>48</v>
      </c>
      <c r="E65" s="7" t="s">
        <v>68</v>
      </c>
      <c r="F65" s="33" t="s">
        <v>309</v>
      </c>
      <c r="G65" s="13">
        <f>7*900+1*1100+7*100+150</f>
        <v>8250</v>
      </c>
      <c r="H65" s="13"/>
      <c r="I65" s="9"/>
      <c r="J65" s="8"/>
      <c r="K65" s="47">
        <f>K64+Table234535612[[#This Row],[AMOUNT]]-Table234535612[[#This Row],[AMOUNT2]]-Table234535612[[#This Row],[AMOUNT3]]</f>
        <v>-43473</v>
      </c>
      <c r="L65" s="94"/>
    </row>
    <row r="66" spans="1:12" x14ac:dyDescent="0.35">
      <c r="A66" s="29">
        <v>46146</v>
      </c>
      <c r="B66" s="7"/>
      <c r="C66" s="8"/>
      <c r="D66" s="7" t="s">
        <v>48</v>
      </c>
      <c r="E66" s="7" t="s">
        <v>0</v>
      </c>
      <c r="F66" s="9" t="s">
        <v>307</v>
      </c>
      <c r="G66" s="13">
        <f>400+400</f>
        <v>800</v>
      </c>
      <c r="H66" s="13"/>
      <c r="I66" s="9"/>
      <c r="J66" s="8"/>
      <c r="K66" s="47">
        <f>K65+Table234535612[[#This Row],[AMOUNT]]-Table234535612[[#This Row],[AMOUNT2]]-Table234535612[[#This Row],[AMOUNT3]]</f>
        <v>-44273</v>
      </c>
      <c r="L66" s="94"/>
    </row>
    <row r="67" spans="1:12" x14ac:dyDescent="0.35">
      <c r="A67" s="29">
        <v>46147</v>
      </c>
      <c r="B67" s="7"/>
      <c r="C67" s="8"/>
      <c r="D67" s="7" t="s">
        <v>48</v>
      </c>
      <c r="E67" s="7" t="s">
        <v>68</v>
      </c>
      <c r="F67" s="33" t="s">
        <v>311</v>
      </c>
      <c r="G67" s="65">
        <f>7*900+1*1100</f>
        <v>7400</v>
      </c>
      <c r="H67" s="13"/>
      <c r="I67" s="9"/>
      <c r="J67" s="8"/>
      <c r="K67" s="47">
        <f>K66+Table234535612[[#This Row],[AMOUNT]]-Table234535612[[#This Row],[AMOUNT2]]-Table234535612[[#This Row],[AMOUNT3]]</f>
        <v>-51673</v>
      </c>
      <c r="L67" s="94"/>
    </row>
    <row r="68" spans="1:12" x14ac:dyDescent="0.35">
      <c r="A68" s="29">
        <v>46147</v>
      </c>
      <c r="B68" s="7"/>
      <c r="C68" s="8"/>
      <c r="D68" s="7" t="s">
        <v>48</v>
      </c>
      <c r="E68" s="7" t="s">
        <v>0</v>
      </c>
      <c r="F68" s="9" t="s">
        <v>307</v>
      </c>
      <c r="G68" s="68">
        <v>800</v>
      </c>
      <c r="H68" s="13"/>
      <c r="I68" s="9"/>
      <c r="J68" s="8"/>
      <c r="K68" s="47">
        <f>K67+Table234535612[[#This Row],[AMOUNT]]-Table234535612[[#This Row],[AMOUNT2]]-Table234535612[[#This Row],[AMOUNT3]]</f>
        <v>-52473</v>
      </c>
      <c r="L68" s="94"/>
    </row>
    <row r="69" spans="1:12" x14ac:dyDescent="0.35">
      <c r="A69" s="29">
        <v>46148</v>
      </c>
      <c r="B69" s="7"/>
      <c r="C69" s="8"/>
      <c r="D69" s="7" t="s">
        <v>48</v>
      </c>
      <c r="E69" s="7" t="s">
        <v>68</v>
      </c>
      <c r="F69" s="33" t="s">
        <v>310</v>
      </c>
      <c r="G69" s="13">
        <f>7*900</f>
        <v>6300</v>
      </c>
      <c r="H69" s="13"/>
      <c r="I69" s="9"/>
      <c r="J69" s="8"/>
      <c r="K69" s="47">
        <f>K68+Table234535612[[#This Row],[AMOUNT]]-Table234535612[[#This Row],[AMOUNT2]]-Table234535612[[#This Row],[AMOUNT3]]</f>
        <v>-58773</v>
      </c>
      <c r="L69" s="94"/>
    </row>
    <row r="70" spans="1:12" x14ac:dyDescent="0.35">
      <c r="A70" s="29">
        <v>46148</v>
      </c>
      <c r="B70" s="7"/>
      <c r="C70" s="8"/>
      <c r="D70" s="7" t="s">
        <v>48</v>
      </c>
      <c r="E70" s="7" t="s">
        <v>0</v>
      </c>
      <c r="F70" s="9" t="s">
        <v>307</v>
      </c>
      <c r="G70" s="68">
        <v>800</v>
      </c>
      <c r="H70" s="13"/>
      <c r="I70" s="9"/>
      <c r="J70" s="8"/>
      <c r="K70" s="47">
        <f>K69+Table234535612[[#This Row],[AMOUNT]]-Table234535612[[#This Row],[AMOUNT2]]-Table234535612[[#This Row],[AMOUNT3]]</f>
        <v>-59573</v>
      </c>
      <c r="L70" s="94"/>
    </row>
    <row r="71" spans="1:12" x14ac:dyDescent="0.35">
      <c r="A71" s="29">
        <v>46149</v>
      </c>
      <c r="B71" s="7" t="s">
        <v>63</v>
      </c>
      <c r="C71" s="77">
        <v>200000</v>
      </c>
      <c r="D71" s="7" t="s">
        <v>48</v>
      </c>
      <c r="E71" s="7" t="s">
        <v>312</v>
      </c>
      <c r="F71" s="9" t="s">
        <v>313</v>
      </c>
      <c r="G71" s="13">
        <v>3541</v>
      </c>
      <c r="H71" s="13"/>
      <c r="I71" s="9"/>
      <c r="J71" s="8"/>
      <c r="K71" s="47">
        <f>K70+Table234535612[[#This Row],[AMOUNT]]-Table234535612[[#This Row],[AMOUNT2]]-Table234535612[[#This Row],[AMOUNT3]]</f>
        <v>136886</v>
      </c>
      <c r="L71" s="94"/>
    </row>
    <row r="72" spans="1:12" x14ac:dyDescent="0.35">
      <c r="A72" s="29">
        <v>46149</v>
      </c>
      <c r="B72" s="7"/>
      <c r="C72" s="8"/>
      <c r="D72" s="7" t="s">
        <v>48</v>
      </c>
      <c r="E72" s="7" t="s">
        <v>312</v>
      </c>
      <c r="F72" s="9" t="s">
        <v>314</v>
      </c>
      <c r="G72" s="13">
        <v>3999</v>
      </c>
      <c r="H72" s="13"/>
      <c r="I72" s="9"/>
      <c r="J72" s="8"/>
      <c r="K72" s="47">
        <f>K71+Table234535612[[#This Row],[AMOUNT]]-Table234535612[[#This Row],[AMOUNT2]]-Table234535612[[#This Row],[AMOUNT3]]</f>
        <v>132887</v>
      </c>
      <c r="L72" s="94"/>
    </row>
    <row r="73" spans="1:12" x14ac:dyDescent="0.35">
      <c r="A73" s="29">
        <v>46149</v>
      </c>
      <c r="B73" s="7"/>
      <c r="C73" s="8"/>
      <c r="D73" s="7" t="s">
        <v>48</v>
      </c>
      <c r="E73" s="7" t="s">
        <v>19</v>
      </c>
      <c r="F73" s="9" t="s">
        <v>315</v>
      </c>
      <c r="G73" s="67">
        <v>50000</v>
      </c>
      <c r="H73" s="13"/>
      <c r="I73" s="9"/>
      <c r="J73" s="8"/>
      <c r="K73" s="47">
        <f>K72+Table234535612[[#This Row],[AMOUNT]]-Table234535612[[#This Row],[AMOUNT2]]-Table234535612[[#This Row],[AMOUNT3]]</f>
        <v>82887</v>
      </c>
      <c r="L73" s="94"/>
    </row>
    <row r="74" spans="1:12" x14ac:dyDescent="0.35">
      <c r="A74" s="29">
        <v>46149</v>
      </c>
      <c r="B74" s="7"/>
      <c r="C74" s="8"/>
      <c r="D74" s="7" t="s">
        <v>48</v>
      </c>
      <c r="E74" s="7" t="s">
        <v>68</v>
      </c>
      <c r="F74" s="33" t="s">
        <v>316</v>
      </c>
      <c r="G74" s="65">
        <f>6*900+1*1100+700</f>
        <v>7200</v>
      </c>
      <c r="H74" s="13"/>
      <c r="I74" s="9"/>
      <c r="J74" s="8"/>
      <c r="K74" s="47">
        <f>K73+Table234535612[[#This Row],[AMOUNT]]-Table234535612[[#This Row],[AMOUNT2]]-Table234535612[[#This Row],[AMOUNT3]]</f>
        <v>75687</v>
      </c>
      <c r="L74" s="94"/>
    </row>
    <row r="75" spans="1:12" x14ac:dyDescent="0.35">
      <c r="A75" s="29">
        <v>46149</v>
      </c>
      <c r="B75" s="7"/>
      <c r="C75" s="8"/>
      <c r="D75" s="7" t="s">
        <v>48</v>
      </c>
      <c r="E75" s="7" t="s">
        <v>0</v>
      </c>
      <c r="F75" s="9" t="s">
        <v>307</v>
      </c>
      <c r="G75" s="68">
        <v>800</v>
      </c>
      <c r="H75" s="13"/>
      <c r="I75" s="9"/>
      <c r="J75" s="8"/>
      <c r="K75" s="47">
        <f>K74+Table234535612[[#This Row],[AMOUNT]]-Table234535612[[#This Row],[AMOUNT2]]-Table234535612[[#This Row],[AMOUNT3]]</f>
        <v>74887</v>
      </c>
      <c r="L75" s="94"/>
    </row>
    <row r="76" spans="1:12" x14ac:dyDescent="0.35">
      <c r="A76" s="29">
        <v>46150</v>
      </c>
      <c r="B76" s="7"/>
      <c r="C76" s="8"/>
      <c r="D76" s="7" t="s">
        <v>48</v>
      </c>
      <c r="E76" s="7" t="s">
        <v>68</v>
      </c>
      <c r="F76" s="33" t="s">
        <v>317</v>
      </c>
      <c r="G76" s="65">
        <f>4*900+1100</f>
        <v>4700</v>
      </c>
      <c r="H76" s="13"/>
      <c r="I76" s="9"/>
      <c r="J76" s="8"/>
      <c r="K76" s="47">
        <f>K75+Table234535612[[#This Row],[AMOUNT]]-Table234535612[[#This Row],[AMOUNT2]]-Table234535612[[#This Row],[AMOUNT3]]</f>
        <v>70187</v>
      </c>
      <c r="L76" s="94"/>
    </row>
    <row r="77" spans="1:12" x14ac:dyDescent="0.35">
      <c r="A77" s="29">
        <v>46150</v>
      </c>
      <c r="B77" s="7"/>
      <c r="C77" s="8"/>
      <c r="D77" s="7" t="s">
        <v>48</v>
      </c>
      <c r="E77" s="7" t="s">
        <v>0</v>
      </c>
      <c r="F77" s="9" t="s">
        <v>307</v>
      </c>
      <c r="G77" s="68">
        <v>800</v>
      </c>
      <c r="H77" s="13"/>
      <c r="I77" s="9"/>
      <c r="J77" s="8"/>
      <c r="K77" s="47">
        <f>K76+Table234535612[[#This Row],[AMOUNT]]-Table234535612[[#This Row],[AMOUNT2]]-Table234535612[[#This Row],[AMOUNT3]]</f>
        <v>69387</v>
      </c>
      <c r="L77" s="94"/>
    </row>
    <row r="78" spans="1:12" x14ac:dyDescent="0.35">
      <c r="A78" s="29">
        <v>46150</v>
      </c>
      <c r="B78" s="7"/>
      <c r="C78" s="8"/>
      <c r="D78" s="7" t="s">
        <v>48</v>
      </c>
      <c r="E78" s="26" t="s">
        <v>19</v>
      </c>
      <c r="F78" s="7" t="s">
        <v>130</v>
      </c>
      <c r="G78" s="66">
        <v>6000</v>
      </c>
      <c r="H78" s="13"/>
      <c r="I78" s="9"/>
      <c r="J78" s="8"/>
      <c r="K78" s="47">
        <f>K77+Table234535612[[#This Row],[AMOUNT]]-Table234535612[[#This Row],[AMOUNT2]]-Table234535612[[#This Row],[AMOUNT3]]</f>
        <v>63387</v>
      </c>
      <c r="L78" s="94"/>
    </row>
    <row r="79" spans="1:12" x14ac:dyDescent="0.35">
      <c r="A79" s="29">
        <v>46151</v>
      </c>
      <c r="B79" s="7"/>
      <c r="C79" s="8"/>
      <c r="D79" s="7" t="s">
        <v>48</v>
      </c>
      <c r="E79" s="7" t="s">
        <v>88</v>
      </c>
      <c r="F79" s="9" t="s">
        <v>323</v>
      </c>
      <c r="G79" s="68">
        <v>8000</v>
      </c>
      <c r="H79" s="13"/>
      <c r="I79" s="9"/>
      <c r="J79" s="8"/>
      <c r="K79" s="47">
        <f>K78+Table234535612[[#This Row],[AMOUNT]]-Table234535612[[#This Row],[AMOUNT2]]-Table234535612[[#This Row],[AMOUNT3]]</f>
        <v>55387</v>
      </c>
      <c r="L79" s="94"/>
    </row>
    <row r="80" spans="1:12" x14ac:dyDescent="0.35">
      <c r="A80" s="29">
        <v>46151</v>
      </c>
      <c r="B80" s="7"/>
      <c r="C80" s="8"/>
      <c r="D80" s="7" t="s">
        <v>48</v>
      </c>
      <c r="E80" s="7" t="s">
        <v>68</v>
      </c>
      <c r="F80" s="33" t="s">
        <v>317</v>
      </c>
      <c r="G80" s="65">
        <f>4*900+1*1100</f>
        <v>4700</v>
      </c>
      <c r="H80" s="13"/>
      <c r="I80" s="9"/>
      <c r="J80" s="8"/>
      <c r="K80" s="47">
        <f>K79+Table234535612[[#This Row],[AMOUNT]]-Table234535612[[#This Row],[AMOUNT2]]-Table234535612[[#This Row],[AMOUNT3]]</f>
        <v>50687</v>
      </c>
      <c r="L80" s="94"/>
    </row>
    <row r="81" spans="1:12" x14ac:dyDescent="0.35">
      <c r="A81" s="29">
        <v>46151</v>
      </c>
      <c r="B81" s="7"/>
      <c r="C81" s="8"/>
      <c r="D81" s="7" t="s">
        <v>48</v>
      </c>
      <c r="E81" s="7" t="s">
        <v>1</v>
      </c>
      <c r="F81" s="9" t="s">
        <v>321</v>
      </c>
      <c r="G81" s="68">
        <v>2000</v>
      </c>
      <c r="H81" s="13"/>
      <c r="I81" s="9"/>
      <c r="J81" s="8"/>
      <c r="K81" s="47">
        <f>K80+Table234535612[[#This Row],[AMOUNT]]-Table234535612[[#This Row],[AMOUNT2]]-Table234535612[[#This Row],[AMOUNT3]]</f>
        <v>48687</v>
      </c>
      <c r="L81" s="94"/>
    </row>
    <row r="82" spans="1:12" x14ac:dyDescent="0.35">
      <c r="A82" s="29">
        <v>46151</v>
      </c>
      <c r="B82" s="7"/>
      <c r="C82" s="8"/>
      <c r="D82" s="7" t="s">
        <v>48</v>
      </c>
      <c r="E82" s="7" t="s">
        <v>17</v>
      </c>
      <c r="F82" s="9" t="s">
        <v>322</v>
      </c>
      <c r="G82" s="68">
        <f>250+70+10</f>
        <v>330</v>
      </c>
      <c r="H82" s="13"/>
      <c r="I82" s="9"/>
      <c r="J82" s="8"/>
      <c r="K82" s="47">
        <f>K81+Table234535612[[#This Row],[AMOUNT]]-Table234535612[[#This Row],[AMOUNT2]]-Table234535612[[#This Row],[AMOUNT3]]</f>
        <v>48357</v>
      </c>
      <c r="L82" s="94"/>
    </row>
    <row r="83" spans="1:12" x14ac:dyDescent="0.35">
      <c r="A83" s="29">
        <v>46152</v>
      </c>
      <c r="B83" s="7"/>
      <c r="C83" s="8"/>
      <c r="D83" s="7" t="s">
        <v>48</v>
      </c>
      <c r="E83" s="7" t="s">
        <v>75</v>
      </c>
      <c r="F83" s="9" t="s">
        <v>327</v>
      </c>
      <c r="G83" s="68">
        <v>4100</v>
      </c>
      <c r="H83" s="13"/>
      <c r="I83" s="9"/>
      <c r="J83" s="8"/>
      <c r="K83" s="47">
        <f>K82+Table234535612[[#This Row],[AMOUNT]]-Table234535612[[#This Row],[AMOUNT2]]-Table234535612[[#This Row],[AMOUNT3]]</f>
        <v>44257</v>
      </c>
      <c r="L83" s="94"/>
    </row>
    <row r="84" spans="1:12" x14ac:dyDescent="0.35">
      <c r="A84" s="29">
        <v>46152</v>
      </c>
      <c r="B84" s="7"/>
      <c r="C84" s="8"/>
      <c r="D84" s="7" t="s">
        <v>48</v>
      </c>
      <c r="E84" s="7" t="s">
        <v>68</v>
      </c>
      <c r="F84" s="33" t="s">
        <v>324</v>
      </c>
      <c r="G84" s="65">
        <f>2*900+1*1100</f>
        <v>2900</v>
      </c>
      <c r="H84" s="13"/>
      <c r="I84" s="9"/>
      <c r="J84" s="8"/>
      <c r="K84" s="47">
        <f>K83+Table234535612[[#This Row],[AMOUNT]]-Table234535612[[#This Row],[AMOUNT2]]-Table234535612[[#This Row],[AMOUNT3]]</f>
        <v>41357</v>
      </c>
      <c r="L84" s="94"/>
    </row>
    <row r="85" spans="1:12" x14ac:dyDescent="0.35">
      <c r="A85" s="29">
        <v>46152</v>
      </c>
      <c r="B85" s="7"/>
      <c r="C85" s="8"/>
      <c r="D85" s="7" t="s">
        <v>48</v>
      </c>
      <c r="E85" s="7" t="s">
        <v>0</v>
      </c>
      <c r="F85" s="9" t="s">
        <v>307</v>
      </c>
      <c r="G85" s="68">
        <v>400</v>
      </c>
      <c r="H85" s="13"/>
      <c r="I85" s="9"/>
      <c r="J85" s="8"/>
      <c r="K85" s="47">
        <f>K84+Table234535612[[#This Row],[AMOUNT]]-Table234535612[[#This Row],[AMOUNT2]]-Table234535612[[#This Row],[AMOUNT3]]</f>
        <v>40957</v>
      </c>
      <c r="L85" s="94"/>
    </row>
    <row r="86" spans="1:12" x14ac:dyDescent="0.35">
      <c r="A86" s="29">
        <v>46153</v>
      </c>
      <c r="B86" s="7"/>
      <c r="C86" s="8"/>
      <c r="D86" s="7" t="s">
        <v>48</v>
      </c>
      <c r="E86" s="7" t="s">
        <v>68</v>
      </c>
      <c r="F86" s="33" t="s">
        <v>326</v>
      </c>
      <c r="G86" s="65">
        <f>7*900+1*1100</f>
        <v>7400</v>
      </c>
      <c r="H86" s="13"/>
      <c r="I86" s="9"/>
      <c r="J86" s="8"/>
      <c r="K86" s="47">
        <f>K85+Table234535612[[#This Row],[AMOUNT]]-Table234535612[[#This Row],[AMOUNT2]]-Table234535612[[#This Row],[AMOUNT3]]</f>
        <v>33557</v>
      </c>
      <c r="L86" s="94"/>
    </row>
    <row r="87" spans="1:12" x14ac:dyDescent="0.35">
      <c r="A87" s="29">
        <v>46153</v>
      </c>
      <c r="B87" s="7"/>
      <c r="C87" s="8"/>
      <c r="D87" s="7" t="s">
        <v>48</v>
      </c>
      <c r="E87" s="7" t="s">
        <v>0</v>
      </c>
      <c r="F87" s="9" t="s">
        <v>307</v>
      </c>
      <c r="G87" s="68">
        <v>800</v>
      </c>
      <c r="H87" s="13"/>
      <c r="I87" s="9"/>
      <c r="J87" s="8"/>
      <c r="K87" s="47">
        <f>K86+Table234535612[[#This Row],[AMOUNT]]-Table234535612[[#This Row],[AMOUNT2]]-Table234535612[[#This Row],[AMOUNT3]]</f>
        <v>32757</v>
      </c>
      <c r="L87" s="94"/>
    </row>
    <row r="88" spans="1:12" x14ac:dyDescent="0.35">
      <c r="A88" s="29">
        <v>46153</v>
      </c>
      <c r="B88" s="7"/>
      <c r="C88" s="8"/>
      <c r="D88" s="7" t="s">
        <v>48</v>
      </c>
      <c r="E88" s="7" t="s">
        <v>1</v>
      </c>
      <c r="F88" s="9" t="s">
        <v>325</v>
      </c>
      <c r="G88" s="68">
        <v>850</v>
      </c>
      <c r="H88" s="13"/>
      <c r="I88" s="9"/>
      <c r="J88" s="8"/>
      <c r="K88" s="47">
        <f>K87+Table234535612[[#This Row],[AMOUNT]]-Table234535612[[#This Row],[AMOUNT2]]-Table234535612[[#This Row],[AMOUNT3]]</f>
        <v>31907</v>
      </c>
      <c r="L88" s="94"/>
    </row>
    <row r="89" spans="1:12" x14ac:dyDescent="0.35">
      <c r="A89" s="29">
        <v>46154</v>
      </c>
      <c r="B89" s="7"/>
      <c r="C89" s="8"/>
      <c r="D89" s="7" t="s">
        <v>48</v>
      </c>
      <c r="E89" s="26" t="s">
        <v>19</v>
      </c>
      <c r="F89" s="7" t="s">
        <v>130</v>
      </c>
      <c r="G89" s="67">
        <v>8000</v>
      </c>
      <c r="H89" s="13"/>
      <c r="I89" s="9"/>
      <c r="J89" s="8"/>
      <c r="K89" s="47">
        <f>K88+Table234535612[[#This Row],[AMOUNT]]-Table234535612[[#This Row],[AMOUNT2]]-Table234535612[[#This Row],[AMOUNT3]]</f>
        <v>23907</v>
      </c>
      <c r="L89" s="94"/>
    </row>
    <row r="90" spans="1:12" x14ac:dyDescent="0.35">
      <c r="A90" s="29">
        <v>46154</v>
      </c>
      <c r="B90" s="7"/>
      <c r="C90" s="8"/>
      <c r="D90" s="7" t="s">
        <v>48</v>
      </c>
      <c r="E90" s="7" t="s">
        <v>68</v>
      </c>
      <c r="F90" s="33" t="s">
        <v>317</v>
      </c>
      <c r="G90" s="65">
        <f>4*900+1*1100</f>
        <v>4700</v>
      </c>
      <c r="H90" s="13"/>
      <c r="I90" s="9"/>
      <c r="J90" s="8"/>
      <c r="K90" s="47">
        <f>K89+Table234535612[[#This Row],[AMOUNT]]-Table234535612[[#This Row],[AMOUNT2]]-Table234535612[[#This Row],[AMOUNT3]]</f>
        <v>19207</v>
      </c>
      <c r="L90" s="94"/>
    </row>
    <row r="91" spans="1:12" x14ac:dyDescent="0.35">
      <c r="A91" s="29">
        <v>46154</v>
      </c>
      <c r="B91" s="7"/>
      <c r="C91" s="8"/>
      <c r="D91" s="7" t="s">
        <v>48</v>
      </c>
      <c r="E91" s="7" t="s">
        <v>0</v>
      </c>
      <c r="F91" s="9" t="s">
        <v>307</v>
      </c>
      <c r="G91" s="68">
        <v>800</v>
      </c>
      <c r="H91" s="13"/>
      <c r="I91" s="9"/>
      <c r="J91" s="8"/>
      <c r="K91" s="47">
        <f>K90+Table234535612[[#This Row],[AMOUNT]]-Table234535612[[#This Row],[AMOUNT2]]-Table234535612[[#This Row],[AMOUNT3]]</f>
        <v>18407</v>
      </c>
      <c r="L91" s="94"/>
    </row>
    <row r="92" spans="1:12" x14ac:dyDescent="0.35">
      <c r="A92" s="29">
        <v>46155</v>
      </c>
      <c r="B92" s="7"/>
      <c r="C92" s="8"/>
      <c r="D92" s="7" t="s">
        <v>48</v>
      </c>
      <c r="E92" s="7" t="s">
        <v>312</v>
      </c>
      <c r="F92" s="9" t="s">
        <v>388</v>
      </c>
      <c r="G92" s="13">
        <v>9032</v>
      </c>
      <c r="H92" s="13"/>
      <c r="I92" s="9"/>
      <c r="J92" s="8"/>
      <c r="K92" s="47">
        <f>K91+Table234535612[[#This Row],[AMOUNT]]-Table234535612[[#This Row],[AMOUNT2]]-Table234535612[[#This Row],[AMOUNT3]]</f>
        <v>9375</v>
      </c>
      <c r="L92" s="94"/>
    </row>
    <row r="93" spans="1:12" x14ac:dyDescent="0.35">
      <c r="A93" s="29">
        <v>46155</v>
      </c>
      <c r="B93" s="7"/>
      <c r="C93" s="8"/>
      <c r="D93" s="7" t="s">
        <v>48</v>
      </c>
      <c r="E93" s="7" t="s">
        <v>68</v>
      </c>
      <c r="F93" s="33" t="s">
        <v>389</v>
      </c>
      <c r="G93" s="65">
        <f>7*900+1*1100+1050+200</f>
        <v>8650</v>
      </c>
      <c r="H93" s="13"/>
      <c r="I93" s="9"/>
      <c r="J93" s="8"/>
      <c r="K93" s="47">
        <f>K92+Table234535612[[#This Row],[AMOUNT]]-Table234535612[[#This Row],[AMOUNT2]]-Table234535612[[#This Row],[AMOUNT3]]</f>
        <v>725</v>
      </c>
      <c r="L93" s="94"/>
    </row>
    <row r="94" spans="1:12" x14ac:dyDescent="0.35">
      <c r="A94" s="29">
        <v>46155</v>
      </c>
      <c r="B94" s="7"/>
      <c r="C94" s="8"/>
      <c r="D94" s="7" t="s">
        <v>48</v>
      </c>
      <c r="E94" s="7" t="s">
        <v>0</v>
      </c>
      <c r="F94" s="9" t="s">
        <v>307</v>
      </c>
      <c r="G94" s="68">
        <v>800</v>
      </c>
      <c r="H94" s="13"/>
      <c r="I94" s="9"/>
      <c r="J94" s="8"/>
      <c r="K94" s="47">
        <f>K93+Table234535612[[#This Row],[AMOUNT]]-Table234535612[[#This Row],[AMOUNT2]]-Table234535612[[#This Row],[AMOUNT3]]</f>
        <v>-75</v>
      </c>
      <c r="L94" s="94"/>
    </row>
    <row r="95" spans="1:12" x14ac:dyDescent="0.35">
      <c r="A95" s="29">
        <v>46156</v>
      </c>
      <c r="B95" s="7"/>
      <c r="C95" s="8"/>
      <c r="D95" s="7" t="s">
        <v>48</v>
      </c>
      <c r="E95" s="7" t="s">
        <v>75</v>
      </c>
      <c r="F95" s="9" t="s">
        <v>327</v>
      </c>
      <c r="G95" s="68">
        <v>4100</v>
      </c>
      <c r="H95" s="13"/>
      <c r="I95" s="9"/>
      <c r="J95" s="8"/>
      <c r="K95" s="47">
        <f>K94+Table234535612[[#This Row],[AMOUNT]]-Table234535612[[#This Row],[AMOUNT2]]-Table234535612[[#This Row],[AMOUNT3]]</f>
        <v>-4175</v>
      </c>
      <c r="L95" s="94"/>
    </row>
    <row r="96" spans="1:12" x14ac:dyDescent="0.35">
      <c r="A96" s="29">
        <v>46156</v>
      </c>
      <c r="B96" s="7"/>
      <c r="C96" s="8"/>
      <c r="D96" s="7" t="s">
        <v>48</v>
      </c>
      <c r="E96" s="7" t="s">
        <v>68</v>
      </c>
      <c r="F96" s="33" t="s">
        <v>317</v>
      </c>
      <c r="G96" s="65">
        <f>4*900+1*1100</f>
        <v>4700</v>
      </c>
      <c r="H96" s="13"/>
      <c r="I96" s="9"/>
      <c r="J96" s="8"/>
      <c r="K96" s="47">
        <f>K95+Table234535612[[#This Row],[AMOUNT]]-Table234535612[[#This Row],[AMOUNT2]]-Table234535612[[#This Row],[AMOUNT3]]</f>
        <v>-8875</v>
      </c>
      <c r="L96" s="94"/>
    </row>
    <row r="97" spans="1:14" x14ac:dyDescent="0.35">
      <c r="A97" s="29">
        <v>46156</v>
      </c>
      <c r="B97" s="7"/>
      <c r="C97" s="8"/>
      <c r="D97" s="7" t="s">
        <v>48</v>
      </c>
      <c r="E97" s="7" t="s">
        <v>0</v>
      </c>
      <c r="F97" s="9" t="s">
        <v>307</v>
      </c>
      <c r="G97" s="68">
        <v>800</v>
      </c>
      <c r="H97" s="13"/>
      <c r="I97" s="9"/>
      <c r="J97" s="8"/>
      <c r="K97" s="47">
        <f>K96+Table234535612[[#This Row],[AMOUNT]]-Table234535612[[#This Row],[AMOUNT2]]-Table234535612[[#This Row],[AMOUNT3]]</f>
        <v>-9675</v>
      </c>
      <c r="L97" s="94"/>
    </row>
    <row r="98" spans="1:14" x14ac:dyDescent="0.35">
      <c r="A98" s="29">
        <v>46156</v>
      </c>
      <c r="B98" s="7"/>
      <c r="C98" s="8"/>
      <c r="D98" s="7" t="s">
        <v>48</v>
      </c>
      <c r="E98" s="7" t="s">
        <v>312</v>
      </c>
      <c r="F98" s="9" t="s">
        <v>416</v>
      </c>
      <c r="G98" s="13">
        <v>6333</v>
      </c>
      <c r="H98" s="13"/>
      <c r="I98" s="9"/>
      <c r="J98" s="8"/>
      <c r="K98" s="47">
        <f>K97+Table234535612[[#This Row],[AMOUNT]]-Table234535612[[#This Row],[AMOUNT2]]-Table234535612[[#This Row],[AMOUNT3]]</f>
        <v>-16008</v>
      </c>
      <c r="L98" s="94"/>
    </row>
    <row r="99" spans="1:14" x14ac:dyDescent="0.35">
      <c r="A99" s="29">
        <v>46157</v>
      </c>
      <c r="B99" s="7"/>
      <c r="C99" s="8"/>
      <c r="D99" s="7" t="s">
        <v>48</v>
      </c>
      <c r="E99" s="7" t="s">
        <v>68</v>
      </c>
      <c r="F99" s="33" t="s">
        <v>317</v>
      </c>
      <c r="G99" s="65">
        <f>4*900+1*1100</f>
        <v>4700</v>
      </c>
      <c r="H99" s="13"/>
      <c r="I99" s="9"/>
      <c r="J99" s="8"/>
      <c r="K99" s="47">
        <f>K98+Table234535612[[#This Row],[AMOUNT]]-Table234535612[[#This Row],[AMOUNT2]]-Table234535612[[#This Row],[AMOUNT3]]</f>
        <v>-20708</v>
      </c>
      <c r="L99" s="94"/>
    </row>
    <row r="100" spans="1:14" x14ac:dyDescent="0.35">
      <c r="A100" s="29">
        <v>46157</v>
      </c>
      <c r="B100" s="7"/>
      <c r="C100" s="8"/>
      <c r="D100" s="7" t="s">
        <v>48</v>
      </c>
      <c r="E100" s="7" t="s">
        <v>0</v>
      </c>
      <c r="F100" s="9" t="s">
        <v>307</v>
      </c>
      <c r="G100" s="68">
        <v>800</v>
      </c>
      <c r="H100" s="13"/>
      <c r="I100" s="9"/>
      <c r="J100" s="8"/>
      <c r="K100" s="47">
        <f>K99+Table234535612[[#This Row],[AMOUNT]]-Table234535612[[#This Row],[AMOUNT2]]-Table234535612[[#This Row],[AMOUNT3]]</f>
        <v>-21508</v>
      </c>
      <c r="L100" s="94"/>
    </row>
    <row r="101" spans="1:14" x14ac:dyDescent="0.35">
      <c r="A101" s="29">
        <v>46157</v>
      </c>
      <c r="B101" s="24"/>
      <c r="C101" s="18"/>
      <c r="D101" s="7" t="s">
        <v>48</v>
      </c>
      <c r="E101" s="7" t="s">
        <v>312</v>
      </c>
      <c r="F101" s="9" t="s">
        <v>416</v>
      </c>
      <c r="G101" s="13">
        <v>1265</v>
      </c>
      <c r="H101" s="13"/>
      <c r="I101" s="17"/>
      <c r="J101" s="18"/>
      <c r="K101" s="47">
        <f>K100+Table234535612[[#This Row],[AMOUNT]]-Table234535612[[#This Row],[AMOUNT2]]-Table234535612[[#This Row],[AMOUNT3]]</f>
        <v>-22773</v>
      </c>
      <c r="L101" s="94"/>
    </row>
    <row r="102" spans="1:14" x14ac:dyDescent="0.35">
      <c r="A102" s="29">
        <v>46158</v>
      </c>
      <c r="B102" s="7"/>
      <c r="C102" s="8"/>
      <c r="D102" s="7" t="s">
        <v>48</v>
      </c>
      <c r="E102" s="26" t="s">
        <v>19</v>
      </c>
      <c r="F102" s="7" t="s">
        <v>130</v>
      </c>
      <c r="G102" s="67">
        <v>6000</v>
      </c>
      <c r="H102" s="13"/>
      <c r="I102" s="9"/>
      <c r="J102" s="8"/>
      <c r="K102" s="47">
        <f>K101+Table234535612[[#This Row],[AMOUNT]]-Table234535612[[#This Row],[AMOUNT2]]-Table234535612[[#This Row],[AMOUNT3]]</f>
        <v>-28773</v>
      </c>
      <c r="L102" s="94"/>
    </row>
    <row r="103" spans="1:14" x14ac:dyDescent="0.35">
      <c r="A103" s="29">
        <v>46158</v>
      </c>
      <c r="B103" s="7"/>
      <c r="C103" s="8"/>
      <c r="D103" s="7" t="s">
        <v>48</v>
      </c>
      <c r="E103" s="7" t="s">
        <v>68</v>
      </c>
      <c r="F103" s="33" t="s">
        <v>417</v>
      </c>
      <c r="G103" s="65">
        <f>7*900+1*1100+150+7*100</f>
        <v>8250</v>
      </c>
      <c r="H103" s="13"/>
      <c r="I103" s="9"/>
      <c r="J103" s="8"/>
      <c r="K103" s="47">
        <f>K102+Table234535612[[#This Row],[AMOUNT]]-Table234535612[[#This Row],[AMOUNT2]]-Table234535612[[#This Row],[AMOUNT3]]</f>
        <v>-37023</v>
      </c>
      <c r="L103" s="94"/>
    </row>
    <row r="104" spans="1:14" x14ac:dyDescent="0.35">
      <c r="A104" s="29">
        <v>46158</v>
      </c>
      <c r="B104" s="7"/>
      <c r="C104" s="8"/>
      <c r="D104" s="7" t="s">
        <v>48</v>
      </c>
      <c r="E104" s="7" t="s">
        <v>0</v>
      </c>
      <c r="F104" s="9" t="s">
        <v>307</v>
      </c>
      <c r="G104" s="68">
        <v>800</v>
      </c>
      <c r="H104" s="13"/>
      <c r="I104" s="9"/>
      <c r="J104" s="8"/>
      <c r="K104" s="47">
        <f>K103+Table234535612[[#This Row],[AMOUNT]]-Table234535612[[#This Row],[AMOUNT2]]-Table234535612[[#This Row],[AMOUNT3]]</f>
        <v>-37823</v>
      </c>
      <c r="L104" s="94"/>
    </row>
    <row r="105" spans="1:14" x14ac:dyDescent="0.35">
      <c r="A105" s="29">
        <v>46159</v>
      </c>
      <c r="B105" s="7"/>
      <c r="C105" s="8"/>
      <c r="D105" s="7" t="s">
        <v>48</v>
      </c>
      <c r="E105" s="7" t="s">
        <v>68</v>
      </c>
      <c r="F105" s="33" t="s">
        <v>417</v>
      </c>
      <c r="G105" s="65">
        <f>7*900+1*1100+150+7*100</f>
        <v>8250</v>
      </c>
      <c r="H105" s="13"/>
      <c r="I105" s="9"/>
      <c r="J105" s="8"/>
      <c r="K105" s="47">
        <f>K104+Table234535612[[#This Row],[AMOUNT]]-Table234535612[[#This Row],[AMOUNT2]]-Table234535612[[#This Row],[AMOUNT3]]</f>
        <v>-46073</v>
      </c>
      <c r="L105" s="94"/>
    </row>
    <row r="106" spans="1:14" x14ac:dyDescent="0.35">
      <c r="A106" s="29">
        <v>46159</v>
      </c>
      <c r="B106" s="7"/>
      <c r="C106" s="8"/>
      <c r="D106" s="7" t="s">
        <v>48</v>
      </c>
      <c r="E106" s="7" t="s">
        <v>0</v>
      </c>
      <c r="F106" s="9" t="s">
        <v>307</v>
      </c>
      <c r="G106" s="68">
        <v>800</v>
      </c>
      <c r="H106" s="13"/>
      <c r="I106" s="9"/>
      <c r="J106" s="8"/>
      <c r="K106" s="47">
        <f>K105+Table234535612[[#This Row],[AMOUNT]]-Table234535612[[#This Row],[AMOUNT2]]-Table234535612[[#This Row],[AMOUNT3]]</f>
        <v>-46873</v>
      </c>
      <c r="L106" s="94"/>
    </row>
    <row r="107" spans="1:14" x14ac:dyDescent="0.35">
      <c r="A107" s="29">
        <v>46160</v>
      </c>
      <c r="B107" s="7"/>
      <c r="C107" s="8"/>
      <c r="D107" s="7" t="s">
        <v>48</v>
      </c>
      <c r="E107" s="7" t="s">
        <v>30</v>
      </c>
      <c r="F107" s="9" t="s">
        <v>421</v>
      </c>
      <c r="G107" s="68">
        <v>5000</v>
      </c>
      <c r="H107" s="13"/>
      <c r="I107" s="9"/>
      <c r="J107" s="8"/>
      <c r="K107" s="47">
        <f>K106+Table234535612[[#This Row],[AMOUNT]]-Table234535612[[#This Row],[AMOUNT2]]-Table234535612[[#This Row],[AMOUNT3]]</f>
        <v>-51873</v>
      </c>
      <c r="L107" s="94"/>
    </row>
    <row r="108" spans="1:14" x14ac:dyDescent="0.35">
      <c r="A108" s="29">
        <v>46160</v>
      </c>
      <c r="B108" s="7"/>
      <c r="C108" s="8"/>
      <c r="D108" s="7" t="s">
        <v>48</v>
      </c>
      <c r="E108" s="7" t="s">
        <v>312</v>
      </c>
      <c r="F108" s="9" t="s">
        <v>135</v>
      </c>
      <c r="G108" s="13">
        <v>5000</v>
      </c>
      <c r="H108" s="13"/>
      <c r="I108" s="9"/>
      <c r="J108" s="8"/>
      <c r="K108" s="47">
        <f>K107+Table234535612[[#This Row],[AMOUNT]]-Table234535612[[#This Row],[AMOUNT2]]-Table234535612[[#This Row],[AMOUNT3]]</f>
        <v>-56873</v>
      </c>
      <c r="L108" s="94"/>
    </row>
    <row r="109" spans="1:14" x14ac:dyDescent="0.35">
      <c r="A109" s="29">
        <v>46160</v>
      </c>
      <c r="B109" s="7"/>
      <c r="C109" s="8"/>
      <c r="D109" s="7" t="s">
        <v>48</v>
      </c>
      <c r="E109" s="7" t="s">
        <v>68</v>
      </c>
      <c r="F109" s="33" t="s">
        <v>422</v>
      </c>
      <c r="G109" s="65">
        <f>5*900+1*1100</f>
        <v>5600</v>
      </c>
      <c r="H109" s="13"/>
      <c r="I109" s="9"/>
      <c r="J109" s="8"/>
      <c r="K109" s="47">
        <f>K108+Table234535612[[#This Row],[AMOUNT]]-Table234535612[[#This Row],[AMOUNT2]]-Table234535612[[#This Row],[AMOUNT3]]</f>
        <v>-62473</v>
      </c>
      <c r="L109" s="94"/>
    </row>
    <row r="110" spans="1:14" x14ac:dyDescent="0.35">
      <c r="A110" s="29">
        <v>46160</v>
      </c>
      <c r="B110" s="7"/>
      <c r="C110" s="8"/>
      <c r="D110" s="7" t="s">
        <v>48</v>
      </c>
      <c r="E110" s="7" t="s">
        <v>0</v>
      </c>
      <c r="F110" s="9" t="s">
        <v>307</v>
      </c>
      <c r="G110" s="68">
        <v>800</v>
      </c>
      <c r="H110" s="13"/>
      <c r="I110" s="9"/>
      <c r="J110" s="8"/>
      <c r="K110" s="47">
        <f>K109+Table234535612[[#This Row],[AMOUNT]]-Table234535612[[#This Row],[AMOUNT2]]-Table234535612[[#This Row],[AMOUNT3]]</f>
        <v>-63273</v>
      </c>
      <c r="L110" s="94"/>
      <c r="N110">
        <f>4500+1100+800</f>
        <v>6400</v>
      </c>
    </row>
    <row r="111" spans="1:14" x14ac:dyDescent="0.35">
      <c r="A111" s="29">
        <v>46161</v>
      </c>
      <c r="B111" s="7"/>
      <c r="C111" s="8"/>
      <c r="D111" s="7" t="s">
        <v>48</v>
      </c>
      <c r="E111" s="7" t="s">
        <v>68</v>
      </c>
      <c r="F111" s="33" t="s">
        <v>422</v>
      </c>
      <c r="G111" s="65">
        <f>5*900+1*1100</f>
        <v>5600</v>
      </c>
      <c r="H111" s="13"/>
      <c r="I111" s="9"/>
      <c r="J111" s="8"/>
      <c r="K111" s="47">
        <f>K110+Table234535612[[#This Row],[AMOUNT]]-Table234535612[[#This Row],[AMOUNT2]]-Table234535612[[#This Row],[AMOUNT3]]</f>
        <v>-68873</v>
      </c>
      <c r="L111" s="94"/>
    </row>
    <row r="112" spans="1:14" x14ac:dyDescent="0.35">
      <c r="A112" s="29">
        <v>46161</v>
      </c>
      <c r="B112" s="7"/>
      <c r="C112" s="8"/>
      <c r="D112" s="7" t="s">
        <v>48</v>
      </c>
      <c r="E112" s="7" t="s">
        <v>0</v>
      </c>
      <c r="F112" s="9" t="s">
        <v>307</v>
      </c>
      <c r="G112" s="68">
        <v>800</v>
      </c>
      <c r="H112" s="13"/>
      <c r="I112" s="9"/>
      <c r="J112" s="8"/>
      <c r="K112" s="47">
        <f>K111+Table234535612[[#This Row],[AMOUNT]]-Table234535612[[#This Row],[AMOUNT2]]-Table234535612[[#This Row],[AMOUNT3]]</f>
        <v>-69673</v>
      </c>
      <c r="L112" s="94"/>
    </row>
    <row r="113" spans="1:14" x14ac:dyDescent="0.35">
      <c r="A113" s="29">
        <v>46162</v>
      </c>
      <c r="B113" s="7"/>
      <c r="C113" s="8"/>
      <c r="D113" s="7" t="s">
        <v>48</v>
      </c>
      <c r="E113" s="7" t="s">
        <v>68</v>
      </c>
      <c r="F113" s="33" t="s">
        <v>422</v>
      </c>
      <c r="G113" s="65">
        <f>5*900+1*1100</f>
        <v>5600</v>
      </c>
      <c r="H113" s="13"/>
      <c r="I113" s="9"/>
      <c r="J113" s="8"/>
      <c r="K113" s="47">
        <f>K112+Table234535612[[#This Row],[AMOUNT]]-Table234535612[[#This Row],[AMOUNT2]]-Table234535612[[#This Row],[AMOUNT3]]</f>
        <v>-75273</v>
      </c>
      <c r="L113" s="94"/>
      <c r="N113">
        <v>6400</v>
      </c>
    </row>
    <row r="114" spans="1:14" x14ac:dyDescent="0.35">
      <c r="A114" s="29">
        <v>46162</v>
      </c>
      <c r="B114" s="7"/>
      <c r="C114" s="8"/>
      <c r="D114" s="7" t="s">
        <v>48</v>
      </c>
      <c r="E114" s="7" t="s">
        <v>0</v>
      </c>
      <c r="F114" s="9" t="s">
        <v>482</v>
      </c>
      <c r="G114" s="68">
        <v>900</v>
      </c>
      <c r="H114" s="13"/>
      <c r="I114" s="9"/>
      <c r="J114" s="8"/>
      <c r="K114" s="47">
        <f>K113+Table234535612[[#This Row],[AMOUNT]]-Table234535612[[#This Row],[AMOUNT2]]-Table234535612[[#This Row],[AMOUNT3]]</f>
        <v>-76173</v>
      </c>
      <c r="L114" s="94"/>
      <c r="N114">
        <v>6900</v>
      </c>
    </row>
    <row r="115" spans="1:14" x14ac:dyDescent="0.35">
      <c r="A115" s="29">
        <v>46163</v>
      </c>
      <c r="B115" s="7"/>
      <c r="C115" s="8"/>
      <c r="D115" s="7" t="s">
        <v>48</v>
      </c>
      <c r="E115" s="7" t="s">
        <v>68</v>
      </c>
      <c r="F115" s="33" t="s">
        <v>422</v>
      </c>
      <c r="G115" s="65">
        <f>5*900+1*1100</f>
        <v>5600</v>
      </c>
      <c r="H115" s="13"/>
      <c r="I115" s="9"/>
      <c r="J115" s="8"/>
      <c r="K115" s="47">
        <f>K114+Table234535612[[#This Row],[AMOUNT]]-Table234535612[[#This Row],[AMOUNT2]]-Table234535612[[#This Row],[AMOUNT3]]</f>
        <v>-81773</v>
      </c>
      <c r="L115" s="94"/>
      <c r="N115">
        <f>+N113-N114</f>
        <v>-500</v>
      </c>
    </row>
    <row r="116" spans="1:14" x14ac:dyDescent="0.35">
      <c r="A116" s="29">
        <v>46163</v>
      </c>
      <c r="B116" s="7"/>
      <c r="C116" s="8"/>
      <c r="D116" s="7" t="s">
        <v>48</v>
      </c>
      <c r="E116" s="7" t="s">
        <v>0</v>
      </c>
      <c r="F116" s="9" t="s">
        <v>307</v>
      </c>
      <c r="G116" s="68">
        <v>800</v>
      </c>
      <c r="H116" s="13"/>
      <c r="I116" s="9"/>
      <c r="J116" s="8"/>
      <c r="K116" s="47">
        <f>K115+Table234535612[[#This Row],[AMOUNT]]-Table234535612[[#This Row],[AMOUNT2]]-Table234535612[[#This Row],[AMOUNT3]]</f>
        <v>-82573</v>
      </c>
      <c r="L116" s="94"/>
    </row>
    <row r="117" spans="1:14" x14ac:dyDescent="0.35">
      <c r="A117" s="29">
        <v>46164</v>
      </c>
      <c r="B117" s="7"/>
      <c r="C117" s="8"/>
      <c r="D117" s="7" t="s">
        <v>48</v>
      </c>
      <c r="E117" s="7" t="s">
        <v>19</v>
      </c>
      <c r="F117" s="7" t="s">
        <v>130</v>
      </c>
      <c r="G117" s="67">
        <v>7000</v>
      </c>
      <c r="H117" s="13"/>
      <c r="I117" s="9"/>
      <c r="J117" s="8"/>
      <c r="K117" s="47">
        <f>K116+Table234535612[[#This Row],[AMOUNT]]-Table234535612[[#This Row],[AMOUNT2]]-Table234535612[[#This Row],[AMOUNT3]]</f>
        <v>-89573</v>
      </c>
      <c r="L117" s="94"/>
    </row>
    <row r="118" spans="1:14" x14ac:dyDescent="0.35">
      <c r="A118" s="29">
        <v>46165</v>
      </c>
      <c r="B118" s="7"/>
      <c r="C118" s="8"/>
      <c r="D118" s="7" t="s">
        <v>48</v>
      </c>
      <c r="E118" s="7" t="s">
        <v>68</v>
      </c>
      <c r="F118" s="33" t="s">
        <v>423</v>
      </c>
      <c r="G118" s="65">
        <f>4*900+1*1100</f>
        <v>4700</v>
      </c>
      <c r="H118" s="13"/>
      <c r="I118" s="9"/>
      <c r="J118" s="8"/>
      <c r="K118" s="47">
        <f>K117+Table234535612[[#This Row],[AMOUNT]]-Table234535612[[#This Row],[AMOUNT2]]-Table234535612[[#This Row],[AMOUNT3]]</f>
        <v>-94273</v>
      </c>
      <c r="L118" s="94"/>
    </row>
    <row r="119" spans="1:14" x14ac:dyDescent="0.35">
      <c r="A119" s="29">
        <v>46165</v>
      </c>
      <c r="B119" s="7"/>
      <c r="C119" s="8"/>
      <c r="D119" s="7" t="s">
        <v>48</v>
      </c>
      <c r="E119" s="7" t="s">
        <v>0</v>
      </c>
      <c r="F119" s="9" t="s">
        <v>307</v>
      </c>
      <c r="G119" s="68">
        <v>800</v>
      </c>
      <c r="H119" s="13"/>
      <c r="I119" s="9"/>
      <c r="J119" s="8"/>
      <c r="K119" s="47">
        <f>K118+Table234535612[[#This Row],[AMOUNT]]-Table234535612[[#This Row],[AMOUNT2]]-Table234535612[[#This Row],[AMOUNT3]]</f>
        <v>-95073</v>
      </c>
      <c r="L119" s="94"/>
    </row>
    <row r="120" spans="1:14" x14ac:dyDescent="0.35">
      <c r="A120" s="29">
        <v>46166</v>
      </c>
      <c r="B120" s="7"/>
      <c r="C120" s="8"/>
      <c r="D120" s="7" t="s">
        <v>48</v>
      </c>
      <c r="E120" s="7" t="s">
        <v>312</v>
      </c>
      <c r="F120" s="9" t="s">
        <v>135</v>
      </c>
      <c r="G120" s="13">
        <v>5000</v>
      </c>
      <c r="H120" s="13"/>
      <c r="I120" s="9"/>
      <c r="J120" s="8"/>
      <c r="K120" s="47">
        <f>K119+Table234535612[[#This Row],[AMOUNT]]-Table234535612[[#This Row],[AMOUNT2]]-Table234535612[[#This Row],[AMOUNT3]]</f>
        <v>-100073</v>
      </c>
      <c r="L120" s="94"/>
    </row>
    <row r="121" spans="1:14" x14ac:dyDescent="0.35">
      <c r="A121" s="29">
        <v>46166</v>
      </c>
      <c r="B121" s="7" t="s">
        <v>63</v>
      </c>
      <c r="C121" s="77">
        <v>150000</v>
      </c>
      <c r="D121" s="7" t="s">
        <v>48</v>
      </c>
      <c r="E121" s="7" t="s">
        <v>68</v>
      </c>
      <c r="F121" s="33" t="s">
        <v>424</v>
      </c>
      <c r="G121" s="65">
        <f>4*900+800+1*1100+300</f>
        <v>5800</v>
      </c>
      <c r="H121" s="13"/>
      <c r="I121" s="9"/>
      <c r="J121" s="8"/>
      <c r="K121" s="47">
        <f>K120+Table234535612[[#This Row],[AMOUNT]]-Table234535612[[#This Row],[AMOUNT2]]-Table234535612[[#This Row],[AMOUNT3]]</f>
        <v>44127</v>
      </c>
      <c r="L121" s="94"/>
    </row>
    <row r="122" spans="1:14" x14ac:dyDescent="0.35">
      <c r="A122" s="29">
        <v>46166</v>
      </c>
      <c r="B122" s="7"/>
      <c r="C122" s="8"/>
      <c r="D122" s="7" t="s">
        <v>48</v>
      </c>
      <c r="E122" s="7" t="s">
        <v>0</v>
      </c>
      <c r="F122" s="9" t="s">
        <v>307</v>
      </c>
      <c r="G122" s="68">
        <v>800</v>
      </c>
      <c r="H122" s="13"/>
      <c r="I122" s="9"/>
      <c r="J122" s="8"/>
      <c r="K122" s="47">
        <f>K121+Table234535612[[#This Row],[AMOUNT]]-Table234535612[[#This Row],[AMOUNT2]]-Table234535612[[#This Row],[AMOUNT3]]</f>
        <v>43327</v>
      </c>
      <c r="L122" s="94"/>
    </row>
    <row r="123" spans="1:14" x14ac:dyDescent="0.35">
      <c r="A123" s="29">
        <v>46167</v>
      </c>
      <c r="B123" s="7"/>
      <c r="C123" s="8"/>
      <c r="D123" s="7" t="s">
        <v>48</v>
      </c>
      <c r="E123" s="7" t="s">
        <v>68</v>
      </c>
      <c r="F123" s="33" t="s">
        <v>425</v>
      </c>
      <c r="G123" s="65">
        <f>6*900+1200+1*1100+300</f>
        <v>8000</v>
      </c>
      <c r="H123" s="13"/>
      <c r="I123" s="9"/>
      <c r="J123" s="8"/>
      <c r="K123" s="47">
        <f>K122+Table234535612[[#This Row],[AMOUNT]]-Table234535612[[#This Row],[AMOUNT2]]-Table234535612[[#This Row],[AMOUNT3]]</f>
        <v>35327</v>
      </c>
      <c r="L123" s="94"/>
    </row>
    <row r="124" spans="1:14" x14ac:dyDescent="0.35">
      <c r="A124" s="29">
        <v>46167</v>
      </c>
      <c r="B124" s="7"/>
      <c r="C124" s="8"/>
      <c r="D124" s="7" t="s">
        <v>48</v>
      </c>
      <c r="E124" s="7" t="s">
        <v>0</v>
      </c>
      <c r="F124" s="9" t="s">
        <v>307</v>
      </c>
      <c r="G124" s="68">
        <v>800</v>
      </c>
      <c r="H124" s="13"/>
      <c r="I124" s="9"/>
      <c r="J124" s="8"/>
      <c r="K124" s="47">
        <f>K123+Table234535612[[#This Row],[AMOUNT]]-Table234535612[[#This Row],[AMOUNT2]]-Table234535612[[#This Row],[AMOUNT3]]</f>
        <v>34527</v>
      </c>
      <c r="L124" s="94"/>
    </row>
    <row r="125" spans="1:14" x14ac:dyDescent="0.35">
      <c r="A125" s="29">
        <v>46168</v>
      </c>
      <c r="B125" s="7"/>
      <c r="C125" s="8"/>
      <c r="D125" s="7" t="s">
        <v>48</v>
      </c>
      <c r="E125" s="7" t="s">
        <v>68</v>
      </c>
      <c r="F125" s="33" t="s">
        <v>422</v>
      </c>
      <c r="G125" s="65">
        <f>5*900+1*1100</f>
        <v>5600</v>
      </c>
      <c r="H125" s="13"/>
      <c r="I125" s="9"/>
      <c r="J125" s="8"/>
      <c r="K125" s="47">
        <f>K124+Table234535612[[#This Row],[AMOUNT]]-Table234535612[[#This Row],[AMOUNT2]]-Table234535612[[#This Row],[AMOUNT3]]</f>
        <v>28927</v>
      </c>
      <c r="L125" s="94"/>
    </row>
    <row r="126" spans="1:14" x14ac:dyDescent="0.35">
      <c r="A126" s="29">
        <v>46168</v>
      </c>
      <c r="B126" s="7"/>
      <c r="C126" s="8"/>
      <c r="D126" s="7" t="s">
        <v>48</v>
      </c>
      <c r="E126" s="7" t="s">
        <v>0</v>
      </c>
      <c r="F126" s="9" t="s">
        <v>307</v>
      </c>
      <c r="G126" s="68">
        <v>800</v>
      </c>
      <c r="H126" s="13"/>
      <c r="I126" s="9"/>
      <c r="J126" s="8"/>
      <c r="K126" s="47">
        <f>K125+Table234535612[[#This Row],[AMOUNT]]-Table234535612[[#This Row],[AMOUNT2]]-Table234535612[[#This Row],[AMOUNT3]]</f>
        <v>28127</v>
      </c>
      <c r="L126" s="94"/>
    </row>
    <row r="127" spans="1:14" x14ac:dyDescent="0.35">
      <c r="A127" s="29">
        <v>46168</v>
      </c>
      <c r="B127" s="7"/>
      <c r="C127" s="8"/>
      <c r="D127" s="7" t="s">
        <v>48</v>
      </c>
      <c r="E127" s="7" t="s">
        <v>19</v>
      </c>
      <c r="F127" s="7" t="s">
        <v>130</v>
      </c>
      <c r="G127" s="67">
        <v>30000</v>
      </c>
      <c r="H127" s="13"/>
      <c r="I127" s="9"/>
      <c r="J127" s="8"/>
      <c r="K127" s="47">
        <f>K126+Table234535612[[#This Row],[AMOUNT]]-Table234535612[[#This Row],[AMOUNT2]]-Table234535612[[#This Row],[AMOUNT3]]</f>
        <v>-1873</v>
      </c>
      <c r="L127" s="94"/>
    </row>
    <row r="128" spans="1:14" x14ac:dyDescent="0.35">
      <c r="A128" s="29">
        <v>46169</v>
      </c>
      <c r="B128" s="7"/>
      <c r="C128" s="8"/>
      <c r="D128" s="7" t="s">
        <v>48</v>
      </c>
      <c r="E128" s="7" t="s">
        <v>68</v>
      </c>
      <c r="F128" s="33" t="s">
        <v>479</v>
      </c>
      <c r="G128" s="13">
        <f>3*800</f>
        <v>2400</v>
      </c>
      <c r="H128" s="13"/>
      <c r="I128" s="9"/>
      <c r="J128" s="8"/>
      <c r="K128" s="47">
        <f>K127+Table234535612[[#This Row],[AMOUNT]]-Table234535612[[#This Row],[AMOUNT2]]-Table234535612[[#This Row],[AMOUNT3]]</f>
        <v>-4273</v>
      </c>
      <c r="L128" s="94"/>
      <c r="M128">
        <v>26573</v>
      </c>
    </row>
    <row r="129" spans="1:13" x14ac:dyDescent="0.35">
      <c r="A129" s="29">
        <v>46170</v>
      </c>
      <c r="B129" s="7"/>
      <c r="C129" s="8"/>
      <c r="D129" s="7" t="s">
        <v>48</v>
      </c>
      <c r="E129" s="7" t="s">
        <v>68</v>
      </c>
      <c r="F129" s="33" t="s">
        <v>479</v>
      </c>
      <c r="G129" s="13">
        <f>3*800</f>
        <v>2400</v>
      </c>
      <c r="H129" s="13"/>
      <c r="I129" s="9"/>
      <c r="J129" s="8"/>
      <c r="K129" s="47">
        <f>K128+Table234535612[[#This Row],[AMOUNT]]-Table234535612[[#This Row],[AMOUNT2]]-Table234535612[[#This Row],[AMOUNT3]]</f>
        <v>-6673</v>
      </c>
      <c r="L129" s="94"/>
      <c r="M129">
        <v>5000</v>
      </c>
    </row>
    <row r="130" spans="1:13" x14ac:dyDescent="0.35">
      <c r="A130" s="29">
        <v>46172</v>
      </c>
      <c r="B130" s="7"/>
      <c r="C130" s="8"/>
      <c r="D130" s="7" t="s">
        <v>48</v>
      </c>
      <c r="E130" s="7" t="s">
        <v>19</v>
      </c>
      <c r="F130" s="7" t="s">
        <v>130</v>
      </c>
      <c r="G130" s="66">
        <v>11200</v>
      </c>
      <c r="H130" s="13"/>
      <c r="I130" s="9"/>
      <c r="J130" s="8"/>
      <c r="K130" s="47">
        <f>K129+Table234535612[[#This Row],[AMOUNT]]-Table234535612[[#This Row],[AMOUNT2]]-Table234535612[[#This Row],[AMOUNT3]]</f>
        <v>-17873</v>
      </c>
      <c r="L130" s="94"/>
    </row>
    <row r="131" spans="1:13" x14ac:dyDescent="0.35">
      <c r="A131" s="29">
        <v>46172</v>
      </c>
      <c r="B131" s="7"/>
      <c r="C131" s="8"/>
      <c r="D131" s="7" t="s">
        <v>48</v>
      </c>
      <c r="E131" s="7" t="s">
        <v>68</v>
      </c>
      <c r="F131" s="7" t="s">
        <v>480</v>
      </c>
      <c r="G131" s="13">
        <f>4*800</f>
        <v>3200</v>
      </c>
      <c r="H131" s="13"/>
      <c r="I131" s="9"/>
      <c r="J131" s="8"/>
      <c r="K131" s="47">
        <f>K130+Table234535612[[#This Row],[AMOUNT]]-Table234535612[[#This Row],[AMOUNT2]]-Table234535612[[#This Row],[AMOUNT3]]</f>
        <v>-21073</v>
      </c>
      <c r="L131" s="94"/>
    </row>
    <row r="132" spans="1:13" x14ac:dyDescent="0.35">
      <c r="A132" s="29">
        <v>46172</v>
      </c>
      <c r="B132" s="7"/>
      <c r="C132" s="8"/>
      <c r="D132" s="7" t="s">
        <v>48</v>
      </c>
      <c r="E132" s="7" t="s">
        <v>0</v>
      </c>
      <c r="F132" s="9" t="s">
        <v>481</v>
      </c>
      <c r="G132" s="13">
        <f>400+100</f>
        <v>500</v>
      </c>
      <c r="H132" s="13"/>
      <c r="I132" s="9"/>
      <c r="J132" s="8"/>
      <c r="K132" s="47">
        <f>K131+Table234535612[[#This Row],[AMOUNT]]-Table234535612[[#This Row],[AMOUNT2]]-Table234535612[[#This Row],[AMOUNT3]]</f>
        <v>-21573</v>
      </c>
      <c r="L132" s="94"/>
    </row>
    <row r="133" spans="1:13" x14ac:dyDescent="0.35">
      <c r="A133" s="72">
        <v>46173</v>
      </c>
      <c r="B133" s="73"/>
      <c r="C133" s="74"/>
      <c r="D133" s="73" t="s">
        <v>48</v>
      </c>
      <c r="E133" s="73" t="s">
        <v>312</v>
      </c>
      <c r="F133" s="75" t="s">
        <v>135</v>
      </c>
      <c r="G133" s="66">
        <v>5000</v>
      </c>
      <c r="H133" s="13"/>
      <c r="I133" s="75"/>
      <c r="J133" s="74"/>
      <c r="K133" s="47">
        <f>K132+Table234535612[[#This Row],[AMOUNT]]-Table234535612[[#This Row],[AMOUNT2]]-Table234535612[[#This Row],[AMOUNT3]]</f>
        <v>-26573</v>
      </c>
      <c r="L133" s="94"/>
    </row>
    <row r="134" spans="1:13" x14ac:dyDescent="0.35">
      <c r="A134" s="29">
        <v>46175</v>
      </c>
      <c r="B134" s="7"/>
      <c r="C134" s="8"/>
      <c r="D134" s="7" t="s">
        <v>48</v>
      </c>
      <c r="E134" s="7" t="s">
        <v>68</v>
      </c>
      <c r="F134" s="7" t="s">
        <v>726</v>
      </c>
      <c r="G134" s="13">
        <v>4500</v>
      </c>
      <c r="H134" s="13"/>
      <c r="I134" s="9"/>
      <c r="J134" s="8"/>
      <c r="K134" s="47">
        <f>K133+Table234535612[[#This Row],[AMOUNT]]-Table234535612[[#This Row],[AMOUNT2]]-Table234535612[[#This Row],[AMOUNT3]]</f>
        <v>-31073</v>
      </c>
      <c r="L134" s="94"/>
    </row>
    <row r="135" spans="1:13" x14ac:dyDescent="0.35">
      <c r="A135" s="29">
        <v>46175</v>
      </c>
      <c r="B135" s="7"/>
      <c r="C135" s="8"/>
      <c r="D135" s="7" t="s">
        <v>48</v>
      </c>
      <c r="E135" s="7" t="s">
        <v>0</v>
      </c>
      <c r="F135" s="9" t="s">
        <v>704</v>
      </c>
      <c r="G135" s="13">
        <v>800</v>
      </c>
      <c r="H135" s="13"/>
      <c r="I135" s="9"/>
      <c r="J135" s="8"/>
      <c r="K135" s="47">
        <f>K134+Table234535612[[#This Row],[AMOUNT]]-Table234535612[[#This Row],[AMOUNT2]]-Table234535612[[#This Row],[AMOUNT3]]</f>
        <v>-31873</v>
      </c>
      <c r="L135" s="94"/>
    </row>
    <row r="136" spans="1:13" x14ac:dyDescent="0.35">
      <c r="A136" s="29">
        <v>46176</v>
      </c>
      <c r="B136" s="7" t="s">
        <v>63</v>
      </c>
      <c r="C136" s="76">
        <v>150000</v>
      </c>
      <c r="D136" s="7" t="s">
        <v>48</v>
      </c>
      <c r="E136" s="7" t="s">
        <v>68</v>
      </c>
      <c r="F136" s="7" t="s">
        <v>727</v>
      </c>
      <c r="G136" s="13">
        <v>5400</v>
      </c>
      <c r="H136" s="13"/>
      <c r="I136" s="9"/>
      <c r="J136" s="8"/>
      <c r="K136" s="47">
        <f>K135+Table234535612[[#This Row],[AMOUNT]]-Table234535612[[#This Row],[AMOUNT2]]-Table234535612[[#This Row],[AMOUNT3]]</f>
        <v>112727</v>
      </c>
      <c r="L136" s="94"/>
    </row>
    <row r="137" spans="1:13" x14ac:dyDescent="0.35">
      <c r="A137" s="29">
        <v>46176</v>
      </c>
      <c r="B137" s="7"/>
      <c r="C137" s="8"/>
      <c r="D137" s="7" t="s">
        <v>48</v>
      </c>
      <c r="E137" s="7" t="s">
        <v>0</v>
      </c>
      <c r="F137" s="9" t="s">
        <v>704</v>
      </c>
      <c r="G137" s="13">
        <v>800</v>
      </c>
      <c r="H137" s="13"/>
      <c r="I137" s="9"/>
      <c r="J137" s="8"/>
      <c r="K137" s="47">
        <f>K136+Table234535612[[#This Row],[AMOUNT]]-Table234535612[[#This Row],[AMOUNT2]]-Table234535612[[#This Row],[AMOUNT3]]</f>
        <v>111927</v>
      </c>
      <c r="L137" s="94"/>
    </row>
    <row r="138" spans="1:13" x14ac:dyDescent="0.35">
      <c r="A138" s="29">
        <v>46177</v>
      </c>
      <c r="B138" s="7"/>
      <c r="C138" s="8"/>
      <c r="D138" s="7" t="s">
        <v>48</v>
      </c>
      <c r="E138" s="7" t="s">
        <v>19</v>
      </c>
      <c r="F138" s="9" t="s">
        <v>545</v>
      </c>
      <c r="G138" s="66">
        <v>800</v>
      </c>
      <c r="H138" s="13"/>
      <c r="I138" s="9"/>
      <c r="J138" s="8"/>
      <c r="K138" s="47">
        <f>K137+Table234535612[[#This Row],[AMOUNT]]-Table234535612[[#This Row],[AMOUNT2]]-Table234535612[[#This Row],[AMOUNT3]]</f>
        <v>111127</v>
      </c>
      <c r="L138" s="94"/>
    </row>
    <row r="139" spans="1:13" x14ac:dyDescent="0.35">
      <c r="A139" s="29">
        <v>46177</v>
      </c>
      <c r="B139" s="7"/>
      <c r="C139" s="8"/>
      <c r="D139" s="7" t="s">
        <v>48</v>
      </c>
      <c r="E139" s="7" t="s">
        <v>19</v>
      </c>
      <c r="F139" s="34" t="s">
        <v>546</v>
      </c>
      <c r="G139" s="67">
        <v>1000</v>
      </c>
      <c r="H139" s="13"/>
      <c r="I139" s="9"/>
      <c r="J139" s="8"/>
      <c r="K139" s="47">
        <f>K138+Table234535612[[#This Row],[AMOUNT]]-Table234535612[[#This Row],[AMOUNT2]]-Table234535612[[#This Row],[AMOUNT3]]</f>
        <v>110127</v>
      </c>
      <c r="L139" s="94"/>
    </row>
    <row r="140" spans="1:13" x14ac:dyDescent="0.35">
      <c r="A140" s="92">
        <v>46177</v>
      </c>
      <c r="B140" s="7"/>
      <c r="C140" s="8"/>
      <c r="D140" s="7" t="s">
        <v>48</v>
      </c>
      <c r="E140" s="7" t="s">
        <v>68</v>
      </c>
      <c r="F140" s="71" t="s">
        <v>728</v>
      </c>
      <c r="G140" s="13">
        <v>5600</v>
      </c>
      <c r="H140" s="13"/>
      <c r="I140" s="9"/>
      <c r="J140" s="8"/>
      <c r="K140" s="47">
        <f>K139+Table234535612[[#This Row],[AMOUNT]]-Table234535612[[#This Row],[AMOUNT2]]-Table234535612[[#This Row],[AMOUNT3]]</f>
        <v>104527</v>
      </c>
      <c r="L140" s="94"/>
    </row>
    <row r="141" spans="1:13" x14ac:dyDescent="0.35">
      <c r="A141" s="29">
        <v>46177</v>
      </c>
      <c r="B141" s="7"/>
      <c r="C141" s="8"/>
      <c r="D141" s="7" t="s">
        <v>48</v>
      </c>
      <c r="E141" s="7" t="s">
        <v>0</v>
      </c>
      <c r="F141" s="9" t="s">
        <v>704</v>
      </c>
      <c r="G141" s="13">
        <v>800</v>
      </c>
      <c r="H141" s="13"/>
      <c r="I141" s="9"/>
      <c r="J141" s="8"/>
      <c r="K141" s="47">
        <f>K140+Table234535612[[#This Row],[AMOUNT]]-Table234535612[[#This Row],[AMOUNT2]]-Table234535612[[#This Row],[AMOUNT3]]</f>
        <v>103727</v>
      </c>
      <c r="L141" s="94"/>
    </row>
    <row r="142" spans="1:13" x14ac:dyDescent="0.35">
      <c r="A142" s="29">
        <v>46179</v>
      </c>
      <c r="B142" s="7"/>
      <c r="C142" s="8"/>
      <c r="D142" s="7" t="s">
        <v>48</v>
      </c>
      <c r="E142" s="7" t="s">
        <v>312</v>
      </c>
      <c r="F142" s="9" t="s">
        <v>549</v>
      </c>
      <c r="G142" s="13">
        <v>11610</v>
      </c>
      <c r="H142" s="13"/>
      <c r="I142" s="9"/>
      <c r="J142" s="8"/>
      <c r="K142" s="47">
        <f>K141+Table234535612[[#This Row],[AMOUNT]]-Table234535612[[#This Row],[AMOUNT2]]-Table234535612[[#This Row],[AMOUNT3]]</f>
        <v>92117</v>
      </c>
      <c r="L142" s="94"/>
    </row>
    <row r="143" spans="1:13" x14ac:dyDescent="0.35">
      <c r="A143" s="29">
        <v>46179</v>
      </c>
      <c r="B143" s="7"/>
      <c r="C143" s="8"/>
      <c r="D143" s="7" t="s">
        <v>48</v>
      </c>
      <c r="E143" s="7" t="s">
        <v>19</v>
      </c>
      <c r="F143" s="9" t="s">
        <v>547</v>
      </c>
      <c r="G143" s="67">
        <v>900</v>
      </c>
      <c r="H143" s="13"/>
      <c r="I143" s="9"/>
      <c r="J143" s="8"/>
      <c r="K143" s="47">
        <f>K142+Table234535612[[#This Row],[AMOUNT]]-Table234535612[[#This Row],[AMOUNT2]]-Table234535612[[#This Row],[AMOUNT3]]</f>
        <v>91217</v>
      </c>
      <c r="L143" s="94"/>
    </row>
    <row r="144" spans="1:13" x14ac:dyDescent="0.35">
      <c r="A144" s="29">
        <v>46179</v>
      </c>
      <c r="B144" s="7"/>
      <c r="C144" s="8"/>
      <c r="D144" s="7" t="s">
        <v>48</v>
      </c>
      <c r="E144" s="7" t="s">
        <v>68</v>
      </c>
      <c r="F144" s="71" t="s">
        <v>729</v>
      </c>
      <c r="G144" s="13">
        <v>6400</v>
      </c>
      <c r="H144" s="13"/>
      <c r="I144" s="9"/>
      <c r="J144" s="8"/>
      <c r="K144" s="47">
        <f>K143+Table234535612[[#This Row],[AMOUNT]]-Table234535612[[#This Row],[AMOUNT2]]-Table234535612[[#This Row],[AMOUNT3]]</f>
        <v>84817</v>
      </c>
      <c r="L144" s="94"/>
    </row>
    <row r="145" spans="1:12" x14ac:dyDescent="0.35">
      <c r="A145" s="29">
        <v>46179</v>
      </c>
      <c r="B145" s="7"/>
      <c r="C145" s="8"/>
      <c r="D145" s="7" t="s">
        <v>48</v>
      </c>
      <c r="E145" s="7" t="s">
        <v>0</v>
      </c>
      <c r="F145" s="9" t="s">
        <v>704</v>
      </c>
      <c r="G145" s="13">
        <v>800</v>
      </c>
      <c r="H145" s="13"/>
      <c r="I145" s="9"/>
      <c r="J145" s="8"/>
      <c r="K145" s="47">
        <f>K144+Table234535612[[#This Row],[AMOUNT]]-Table234535612[[#This Row],[AMOUNT2]]-Table234535612[[#This Row],[AMOUNT3]]</f>
        <v>84017</v>
      </c>
      <c r="L145" s="94"/>
    </row>
    <row r="146" spans="1:12" x14ac:dyDescent="0.35">
      <c r="A146" s="29">
        <v>46179</v>
      </c>
      <c r="B146" s="7"/>
      <c r="C146" s="8"/>
      <c r="D146" s="7" t="s">
        <v>48</v>
      </c>
      <c r="E146" s="26" t="s">
        <v>705</v>
      </c>
      <c r="F146" s="7" t="s">
        <v>548</v>
      </c>
      <c r="G146" s="13">
        <v>200</v>
      </c>
      <c r="H146" s="13"/>
      <c r="I146" s="9"/>
      <c r="J146" s="8"/>
      <c r="K146" s="47">
        <f>K145+Table234535612[[#This Row],[AMOUNT]]-Table234535612[[#This Row],[AMOUNT2]]-Table234535612[[#This Row],[AMOUNT3]]</f>
        <v>83817</v>
      </c>
      <c r="L146" s="94"/>
    </row>
    <row r="147" spans="1:12" x14ac:dyDescent="0.35">
      <c r="A147" s="29">
        <v>46179</v>
      </c>
      <c r="B147" s="7"/>
      <c r="C147" s="8"/>
      <c r="D147" s="7" t="s">
        <v>48</v>
      </c>
      <c r="E147" s="7" t="s">
        <v>312</v>
      </c>
      <c r="F147" s="9" t="s">
        <v>550</v>
      </c>
      <c r="G147" s="13">
        <v>9030</v>
      </c>
      <c r="H147" s="13"/>
      <c r="I147" s="9"/>
      <c r="J147" s="8"/>
      <c r="K147" s="47">
        <f>K146+Table234535612[[#This Row],[AMOUNT]]-Table234535612[[#This Row],[AMOUNT2]]-Table234535612[[#This Row],[AMOUNT3]]</f>
        <v>74787</v>
      </c>
      <c r="L147" s="94"/>
    </row>
    <row r="148" spans="1:12" x14ac:dyDescent="0.35">
      <c r="A148" s="29">
        <v>46181</v>
      </c>
      <c r="B148" s="7"/>
      <c r="C148" s="8"/>
      <c r="D148" s="7" t="s">
        <v>48</v>
      </c>
      <c r="E148" s="7" t="s">
        <v>823</v>
      </c>
      <c r="F148" s="34" t="s">
        <v>552</v>
      </c>
      <c r="G148" s="13">
        <v>7500</v>
      </c>
      <c r="H148" s="13"/>
      <c r="I148" s="9"/>
      <c r="J148" s="8"/>
      <c r="K148" s="47">
        <f>K147+Table234535612[[#This Row],[AMOUNT]]-Table234535612[[#This Row],[AMOUNT2]]-Table234535612[[#This Row],[AMOUNT3]]</f>
        <v>67287</v>
      </c>
      <c r="L148" s="94"/>
    </row>
    <row r="149" spans="1:12" x14ac:dyDescent="0.35">
      <c r="A149" s="29">
        <v>46182</v>
      </c>
      <c r="B149" s="7"/>
      <c r="C149" s="8"/>
      <c r="D149" s="7" t="s">
        <v>48</v>
      </c>
      <c r="E149" s="7" t="s">
        <v>88</v>
      </c>
      <c r="F149" s="9" t="s">
        <v>551</v>
      </c>
      <c r="G149" s="13">
        <v>1050</v>
      </c>
      <c r="H149" s="13"/>
      <c r="I149" s="9"/>
      <c r="J149" s="8"/>
      <c r="K149" s="47">
        <f>K148+Table234535612[[#This Row],[AMOUNT]]-Table234535612[[#This Row],[AMOUNT2]]-Table234535612[[#This Row],[AMOUNT3]]</f>
        <v>66237</v>
      </c>
      <c r="L149" s="94"/>
    </row>
    <row r="150" spans="1:12" x14ac:dyDescent="0.35">
      <c r="A150" s="29">
        <v>46182</v>
      </c>
      <c r="B150" s="7"/>
      <c r="C150" s="8"/>
      <c r="D150" s="7" t="s">
        <v>48</v>
      </c>
      <c r="E150" s="7" t="s">
        <v>679</v>
      </c>
      <c r="F150" s="9" t="s">
        <v>553</v>
      </c>
      <c r="G150" s="13">
        <v>200</v>
      </c>
      <c r="H150" s="13"/>
      <c r="I150" s="9"/>
      <c r="J150" s="8"/>
      <c r="K150" s="47">
        <f>K149+Table234535612[[#This Row],[AMOUNT]]-Table234535612[[#This Row],[AMOUNT2]]-Table234535612[[#This Row],[AMOUNT3]]</f>
        <v>66037</v>
      </c>
      <c r="L150" s="94"/>
    </row>
    <row r="151" spans="1:12" x14ac:dyDescent="0.35">
      <c r="A151" s="98">
        <v>46183</v>
      </c>
      <c r="B151" s="7"/>
      <c r="C151" s="8"/>
      <c r="D151" s="7" t="s">
        <v>48</v>
      </c>
      <c r="E151" s="97" t="s">
        <v>706</v>
      </c>
      <c r="F151" s="96" t="s">
        <v>763</v>
      </c>
      <c r="G151" s="13">
        <v>6000</v>
      </c>
      <c r="H151" s="13"/>
      <c r="I151" s="9"/>
      <c r="J151" s="8"/>
      <c r="K151" s="47">
        <f>K150+Table234535612[[#This Row],[AMOUNT]]-Table234535612[[#This Row],[AMOUNT2]]-Table234535612[[#This Row],[AMOUNT3]]</f>
        <v>60037</v>
      </c>
      <c r="L151" s="94"/>
    </row>
    <row r="152" spans="1:12" x14ac:dyDescent="0.35">
      <c r="A152" s="29">
        <v>46186</v>
      </c>
      <c r="B152" s="7"/>
      <c r="C152" s="8"/>
      <c r="D152" s="7"/>
      <c r="E152" s="97"/>
      <c r="F152" s="96"/>
      <c r="G152" s="13"/>
      <c r="H152" s="13"/>
      <c r="I152" s="9" t="s">
        <v>812</v>
      </c>
      <c r="J152" s="8">
        <v>10000</v>
      </c>
      <c r="K152" s="47">
        <f>K151+Table234535612[[#This Row],[AMOUNT]]-Table234535612[[#This Row],[AMOUNT2]]-Table234535612[[#This Row],[AMOUNT3]]</f>
        <v>50037</v>
      </c>
      <c r="L152" s="94"/>
    </row>
    <row r="153" spans="1:12" x14ac:dyDescent="0.35">
      <c r="A153" s="29">
        <v>46187</v>
      </c>
      <c r="B153" s="7"/>
      <c r="C153" s="8"/>
      <c r="D153" s="7" t="s">
        <v>48</v>
      </c>
      <c r="E153" s="97" t="s">
        <v>705</v>
      </c>
      <c r="F153" s="96" t="s">
        <v>560</v>
      </c>
      <c r="G153" s="13">
        <v>4000</v>
      </c>
      <c r="H153" s="13"/>
      <c r="I153" s="9"/>
      <c r="J153" s="8"/>
      <c r="K153" s="47">
        <f>K152+Table234535612[[#This Row],[AMOUNT]]-Table234535612[[#This Row],[AMOUNT2]]-Table234535612[[#This Row],[AMOUNT3]]</f>
        <v>46037</v>
      </c>
      <c r="L153" s="94"/>
    </row>
    <row r="154" spans="1:12" x14ac:dyDescent="0.35">
      <c r="A154" s="98">
        <v>46188</v>
      </c>
      <c r="B154" s="7"/>
      <c r="C154" s="8"/>
      <c r="D154" s="7" t="s">
        <v>48</v>
      </c>
      <c r="E154" s="97" t="s">
        <v>706</v>
      </c>
      <c r="F154" s="96" t="s">
        <v>707</v>
      </c>
      <c r="G154" s="13">
        <v>10000</v>
      </c>
      <c r="H154" s="13"/>
      <c r="I154" s="9"/>
      <c r="J154" s="8"/>
      <c r="K154" s="47">
        <f>K153+Table234535612[[#This Row],[AMOUNT]]-Table234535612[[#This Row],[AMOUNT2]]-Table234535612[[#This Row],[AMOUNT3]]</f>
        <v>36037</v>
      </c>
      <c r="L154" s="94"/>
    </row>
    <row r="155" spans="1:12" x14ac:dyDescent="0.35">
      <c r="A155" s="29">
        <v>46189</v>
      </c>
      <c r="B155" s="7"/>
      <c r="C155" s="8"/>
      <c r="D155" s="7" t="s">
        <v>48</v>
      </c>
      <c r="E155" s="7" t="s">
        <v>823</v>
      </c>
      <c r="F155" s="9" t="s">
        <v>592</v>
      </c>
      <c r="G155" s="13">
        <v>2000</v>
      </c>
      <c r="H155" s="13">
        <v>1039</v>
      </c>
      <c r="I155" s="9"/>
      <c r="J155" s="8"/>
      <c r="K155" s="47">
        <f>K154+Table234535612[[#This Row],[AMOUNT]]-Table234535612[[#This Row],[AMOUNT2]]-Table234535612[[#This Row],[AMOUNT3]]</f>
        <v>34037</v>
      </c>
      <c r="L155" s="94"/>
    </row>
    <row r="156" spans="1:12" x14ac:dyDescent="0.35">
      <c r="A156" s="29">
        <v>46189</v>
      </c>
      <c r="B156" s="7"/>
      <c r="C156" s="8"/>
      <c r="D156" s="7" t="s">
        <v>48</v>
      </c>
      <c r="E156" s="7" t="s">
        <v>88</v>
      </c>
      <c r="F156" s="9" t="s">
        <v>669</v>
      </c>
      <c r="G156" s="83">
        <v>105</v>
      </c>
      <c r="H156" s="83">
        <v>1047</v>
      </c>
      <c r="I156" s="9"/>
      <c r="J156" s="8"/>
      <c r="K156" s="47">
        <f>K155+Table234535612[[#This Row],[AMOUNT]]-Table234535612[[#This Row],[AMOUNT2]]-Table234535612[[#This Row],[AMOUNT3]]</f>
        <v>33932</v>
      </c>
      <c r="L156" s="94"/>
    </row>
    <row r="157" spans="1:12" x14ac:dyDescent="0.35">
      <c r="A157" s="29">
        <v>46191</v>
      </c>
      <c r="B157" s="7" t="s">
        <v>63</v>
      </c>
      <c r="C157" s="23">
        <v>200000</v>
      </c>
      <c r="D157" s="7" t="s">
        <v>48</v>
      </c>
      <c r="E157" s="7" t="s">
        <v>823</v>
      </c>
      <c r="F157" s="9" t="s">
        <v>627</v>
      </c>
      <c r="G157" s="83">
        <v>4500</v>
      </c>
      <c r="H157" s="83">
        <v>1040</v>
      </c>
      <c r="I157" s="9"/>
      <c r="J157" s="8"/>
      <c r="K157" s="47">
        <f>K156+Table234535612[[#This Row],[AMOUNT]]-Table234535612[[#This Row],[AMOUNT2]]-Table234535612[[#This Row],[AMOUNT3]]</f>
        <v>229432</v>
      </c>
      <c r="L157" s="94"/>
    </row>
    <row r="158" spans="1:12" x14ac:dyDescent="0.35">
      <c r="A158" s="29">
        <v>46193</v>
      </c>
      <c r="B158" s="7"/>
      <c r="C158" s="8"/>
      <c r="D158" s="7" t="s">
        <v>48</v>
      </c>
      <c r="E158" s="7" t="s">
        <v>705</v>
      </c>
      <c r="F158" s="9" t="s">
        <v>639</v>
      </c>
      <c r="G158" s="83">
        <v>4300</v>
      </c>
      <c r="H158" s="83"/>
      <c r="I158" s="9"/>
      <c r="J158" s="8"/>
      <c r="K158" s="47">
        <f>K157+Table234535612[[#This Row],[AMOUNT]]-Table234535612[[#This Row],[AMOUNT2]]-Table234535612[[#This Row],[AMOUNT3]]</f>
        <v>225132</v>
      </c>
      <c r="L158" s="94"/>
    </row>
    <row r="159" spans="1:12" x14ac:dyDescent="0.35">
      <c r="A159" s="29">
        <v>46193</v>
      </c>
      <c r="B159" s="7"/>
      <c r="C159" s="8"/>
      <c r="D159" s="7" t="s">
        <v>48</v>
      </c>
      <c r="E159" s="7" t="s">
        <v>708</v>
      </c>
      <c r="F159" s="26" t="s">
        <v>635</v>
      </c>
      <c r="G159" s="83">
        <v>5000</v>
      </c>
      <c r="H159" s="83">
        <v>1041</v>
      </c>
      <c r="I159" s="9"/>
      <c r="J159" s="8"/>
      <c r="K159" s="47">
        <f>K158+Table234535612[[#This Row],[AMOUNT]]-Table234535612[[#This Row],[AMOUNT2]]-Table234535612[[#This Row],[AMOUNT3]]</f>
        <v>220132</v>
      </c>
      <c r="L159" s="94"/>
    </row>
    <row r="160" spans="1:12" x14ac:dyDescent="0.35">
      <c r="A160" s="29">
        <v>46194</v>
      </c>
      <c r="B160" s="7"/>
      <c r="C160" s="8"/>
      <c r="D160" s="7" t="s">
        <v>48</v>
      </c>
      <c r="E160" s="7" t="s">
        <v>708</v>
      </c>
      <c r="F160" s="9" t="s">
        <v>902</v>
      </c>
      <c r="G160" s="83">
        <v>19500</v>
      </c>
      <c r="H160" s="83">
        <v>1042</v>
      </c>
      <c r="I160" s="9"/>
      <c r="J160" s="8"/>
      <c r="K160" s="47">
        <f>K159+Table234535612[[#This Row],[AMOUNT]]-Table234535612[[#This Row],[AMOUNT2]]-Table234535612[[#This Row],[AMOUNT3]]</f>
        <v>200632</v>
      </c>
      <c r="L160" s="94"/>
    </row>
    <row r="161" spans="1:12" x14ac:dyDescent="0.35">
      <c r="A161" s="29">
        <v>46194</v>
      </c>
      <c r="B161" s="7"/>
      <c r="C161" s="8"/>
      <c r="D161" s="7" t="s">
        <v>48</v>
      </c>
      <c r="E161" s="7" t="s">
        <v>312</v>
      </c>
      <c r="F161" s="9" t="s">
        <v>903</v>
      </c>
      <c r="G161" s="93">
        <v>3000</v>
      </c>
      <c r="H161" s="107">
        <v>1043</v>
      </c>
      <c r="I161" s="9"/>
      <c r="J161" s="8"/>
      <c r="K161" s="47">
        <f>K160+Table234535612[[#This Row],[AMOUNT]]-Table234535612[[#This Row],[AMOUNT2]]-Table234535612[[#This Row],[AMOUNT3]]</f>
        <v>197632</v>
      </c>
      <c r="L161" s="94"/>
    </row>
    <row r="162" spans="1:12" x14ac:dyDescent="0.35">
      <c r="A162" s="29">
        <v>46195</v>
      </c>
      <c r="B162" s="7"/>
      <c r="C162" s="8"/>
      <c r="D162" s="7" t="s">
        <v>48</v>
      </c>
      <c r="E162" s="7" t="s">
        <v>88</v>
      </c>
      <c r="F162" s="9" t="s">
        <v>668</v>
      </c>
      <c r="G162" s="83">
        <v>750</v>
      </c>
      <c r="H162" s="83">
        <v>1047</v>
      </c>
      <c r="I162" s="9"/>
      <c r="J162" s="8"/>
      <c r="K162" s="47">
        <f>K161+Table234535612[[#This Row],[AMOUNT]]-Table234535612[[#This Row],[AMOUNT2]]-Table234535612[[#This Row],[AMOUNT3]]</f>
        <v>196882</v>
      </c>
      <c r="L162" s="94"/>
    </row>
    <row r="163" spans="1:12" x14ac:dyDescent="0.35">
      <c r="A163" s="29">
        <v>46196</v>
      </c>
      <c r="B163" s="7"/>
      <c r="C163" s="8"/>
      <c r="D163" s="7" t="s">
        <v>48</v>
      </c>
      <c r="E163" s="7" t="s">
        <v>19</v>
      </c>
      <c r="F163" s="9" t="s">
        <v>638</v>
      </c>
      <c r="G163" s="120">
        <v>18000</v>
      </c>
      <c r="H163" s="83">
        <v>1044</v>
      </c>
      <c r="I163" s="9"/>
      <c r="J163" s="8"/>
      <c r="K163" s="47">
        <f>K162+Table234535612[[#This Row],[AMOUNT]]-Table234535612[[#This Row],[AMOUNT2]]-Table234535612[[#This Row],[AMOUNT3]]</f>
        <v>178882</v>
      </c>
      <c r="L163" s="94"/>
    </row>
    <row r="164" spans="1:12" x14ac:dyDescent="0.35">
      <c r="A164" s="29">
        <v>46196</v>
      </c>
      <c r="B164" s="7"/>
      <c r="C164" s="8"/>
      <c r="D164" s="7" t="s">
        <v>48</v>
      </c>
      <c r="E164" s="7" t="s">
        <v>709</v>
      </c>
      <c r="F164" s="9" t="s">
        <v>826</v>
      </c>
      <c r="G164" s="83">
        <v>1500</v>
      </c>
      <c r="H164" s="83">
        <v>1045</v>
      </c>
      <c r="I164" s="9"/>
      <c r="J164" s="8"/>
      <c r="K164" s="47">
        <f>K163+Table234535612[[#This Row],[AMOUNT]]-Table234535612[[#This Row],[AMOUNT2]]-Table234535612[[#This Row],[AMOUNT3]]</f>
        <v>177382</v>
      </c>
      <c r="L164" s="94"/>
    </row>
    <row r="165" spans="1:12" x14ac:dyDescent="0.35">
      <c r="A165" s="29" t="s">
        <v>656</v>
      </c>
      <c r="B165" s="7"/>
      <c r="C165" s="8"/>
      <c r="D165" s="7" t="s">
        <v>48</v>
      </c>
      <c r="E165" s="97" t="s">
        <v>679</v>
      </c>
      <c r="F165" s="96" t="s">
        <v>714</v>
      </c>
      <c r="G165" s="83">
        <v>200</v>
      </c>
      <c r="H165" s="83">
        <v>1047</v>
      </c>
      <c r="I165" s="9"/>
      <c r="J165" s="8"/>
      <c r="K165" s="47">
        <f>K164+Table234535612[[#This Row],[AMOUNT]]-Table234535612[[#This Row],[AMOUNT2]]-Table234535612[[#This Row],[AMOUNT3]]</f>
        <v>177182</v>
      </c>
      <c r="L165" s="94"/>
    </row>
    <row r="166" spans="1:12" x14ac:dyDescent="0.35">
      <c r="A166" s="29" t="s">
        <v>656</v>
      </c>
      <c r="B166" s="7"/>
      <c r="C166" s="8"/>
      <c r="D166" s="7" t="s">
        <v>48</v>
      </c>
      <c r="E166" s="97" t="s">
        <v>710</v>
      </c>
      <c r="F166" s="96" t="s">
        <v>667</v>
      </c>
      <c r="G166" s="83">
        <v>150</v>
      </c>
      <c r="H166" s="83">
        <v>1047</v>
      </c>
      <c r="I166" s="9"/>
      <c r="J166" s="8"/>
      <c r="K166" s="47">
        <f>K165+Table234535612[[#This Row],[AMOUNT]]-Table234535612[[#This Row],[AMOUNT2]]-Table234535612[[#This Row],[AMOUNT3]]</f>
        <v>177032</v>
      </c>
      <c r="L166" s="94"/>
    </row>
    <row r="167" spans="1:12" x14ac:dyDescent="0.35">
      <c r="A167" s="29" t="s">
        <v>665</v>
      </c>
      <c r="B167" s="7"/>
      <c r="C167" s="8"/>
      <c r="D167" s="7" t="s">
        <v>48</v>
      </c>
      <c r="E167" s="97" t="s">
        <v>710</v>
      </c>
      <c r="F167" s="96" t="s">
        <v>664</v>
      </c>
      <c r="G167" s="83">
        <v>65</v>
      </c>
      <c r="H167" s="83">
        <v>1047</v>
      </c>
      <c r="I167" s="9"/>
      <c r="J167" s="8"/>
      <c r="K167" s="47">
        <f>K166+Table234535612[[#This Row],[AMOUNT]]-Table234535612[[#This Row],[AMOUNT2]]-Table234535612[[#This Row],[AMOUNT3]]</f>
        <v>176967</v>
      </c>
      <c r="L167" s="94"/>
    </row>
    <row r="168" spans="1:12" x14ac:dyDescent="0.35">
      <c r="A168" s="29" t="s">
        <v>665</v>
      </c>
      <c r="B168" s="7"/>
      <c r="C168" s="8"/>
      <c r="D168" s="7" t="s">
        <v>48</v>
      </c>
      <c r="E168" s="97" t="s">
        <v>682</v>
      </c>
      <c r="F168" s="17" t="s">
        <v>666</v>
      </c>
      <c r="G168" s="93">
        <v>1000</v>
      </c>
      <c r="H168" s="93">
        <v>1047</v>
      </c>
      <c r="I168" s="9"/>
      <c r="J168" s="8"/>
      <c r="K168" s="47">
        <f>K167+Table234535612[[#This Row],[AMOUNT]]-Table234535612[[#This Row],[AMOUNT2]]-Table234535612[[#This Row],[AMOUNT3]]</f>
        <v>175967</v>
      </c>
      <c r="L168" s="94"/>
    </row>
    <row r="169" spans="1:12" x14ac:dyDescent="0.35">
      <c r="A169" s="29" t="s">
        <v>665</v>
      </c>
      <c r="B169" s="7"/>
      <c r="C169" s="8"/>
      <c r="D169" s="7" t="s">
        <v>48</v>
      </c>
      <c r="E169" s="97" t="s">
        <v>679</v>
      </c>
      <c r="F169" s="96" t="s">
        <v>714</v>
      </c>
      <c r="G169" s="83">
        <v>100</v>
      </c>
      <c r="H169" s="83">
        <v>1051</v>
      </c>
      <c r="I169" s="9"/>
      <c r="J169" s="8"/>
      <c r="K169" s="47">
        <f>K168+Table234535612[[#This Row],[AMOUNT]]-Table234535612[[#This Row],[AMOUNT2]]-Table234535612[[#This Row],[AMOUNT3]]</f>
        <v>175867</v>
      </c>
      <c r="L169" s="94"/>
    </row>
    <row r="170" spans="1:12" x14ac:dyDescent="0.35">
      <c r="A170" s="29" t="s">
        <v>660</v>
      </c>
      <c r="B170" s="7"/>
      <c r="C170" s="8"/>
      <c r="D170" s="7" t="s">
        <v>48</v>
      </c>
      <c r="E170" s="97" t="s">
        <v>679</v>
      </c>
      <c r="F170" s="96" t="s">
        <v>733</v>
      </c>
      <c r="G170" s="83">
        <v>1150</v>
      </c>
      <c r="H170" s="83">
        <v>1047</v>
      </c>
      <c r="I170" s="9"/>
      <c r="J170" s="8"/>
      <c r="K170" s="47">
        <f>K169+Table234535612[[#This Row],[AMOUNT]]-Table234535612[[#This Row],[AMOUNT2]]-Table234535612[[#This Row],[AMOUNT3]]</f>
        <v>174717</v>
      </c>
      <c r="L170" s="94"/>
    </row>
    <row r="171" spans="1:12" x14ac:dyDescent="0.35">
      <c r="A171" s="29" t="s">
        <v>660</v>
      </c>
      <c r="B171" s="7"/>
      <c r="C171" s="8"/>
      <c r="D171" s="7" t="s">
        <v>48</v>
      </c>
      <c r="E171" s="97" t="s">
        <v>20</v>
      </c>
      <c r="F171" s="17" t="s">
        <v>661</v>
      </c>
      <c r="G171" s="93">
        <v>13000</v>
      </c>
      <c r="H171" s="93">
        <v>1046</v>
      </c>
      <c r="I171" s="9"/>
      <c r="J171" s="8"/>
      <c r="K171" s="47">
        <f>K170+Table234535612[[#This Row],[AMOUNT]]-Table234535612[[#This Row],[AMOUNT2]]-Table234535612[[#This Row],[AMOUNT3]]</f>
        <v>161717</v>
      </c>
      <c r="L171" s="81" t="s">
        <v>712</v>
      </c>
    </row>
    <row r="172" spans="1:12" x14ac:dyDescent="0.35">
      <c r="A172" s="29" t="s">
        <v>660</v>
      </c>
      <c r="B172" s="7"/>
      <c r="C172" s="8"/>
      <c r="D172" s="7" t="s">
        <v>48</v>
      </c>
      <c r="E172" s="7" t="s">
        <v>88</v>
      </c>
      <c r="F172" s="9" t="s">
        <v>711</v>
      </c>
      <c r="G172" s="83">
        <v>180</v>
      </c>
      <c r="H172" s="83">
        <v>1047</v>
      </c>
      <c r="I172" s="9"/>
      <c r="J172" s="8"/>
      <c r="K172" s="47">
        <f>K171+Table234535612[[#This Row],[AMOUNT]]-Table234535612[[#This Row],[AMOUNT2]]-Table234535612[[#This Row],[AMOUNT3]]</f>
        <v>161537</v>
      </c>
      <c r="L172" s="94"/>
    </row>
    <row r="173" spans="1:12" x14ac:dyDescent="0.35">
      <c r="A173" s="29" t="s">
        <v>662</v>
      </c>
      <c r="B173" s="7"/>
      <c r="C173" s="8"/>
      <c r="D173" s="7" t="s">
        <v>48</v>
      </c>
      <c r="E173" s="26" t="s">
        <v>19</v>
      </c>
      <c r="F173" s="7" t="s">
        <v>827</v>
      </c>
      <c r="G173" s="67">
        <v>2100</v>
      </c>
      <c r="H173" s="13">
        <v>1049</v>
      </c>
      <c r="I173" s="9" t="s">
        <v>824</v>
      </c>
      <c r="J173" s="8"/>
      <c r="K173" s="47">
        <f>K172+Table234535612[[#This Row],[AMOUNT]]-Table234535612[[#This Row],[AMOUNT2]]-Table234535612[[#This Row],[AMOUNT3]]</f>
        <v>159437</v>
      </c>
      <c r="L173" s="94"/>
    </row>
    <row r="174" spans="1:12" x14ac:dyDescent="0.35">
      <c r="A174" s="29" t="s">
        <v>662</v>
      </c>
      <c r="B174" s="7"/>
      <c r="C174" s="8"/>
      <c r="D174" s="7" t="s">
        <v>48</v>
      </c>
      <c r="E174" s="7" t="s">
        <v>708</v>
      </c>
      <c r="F174" s="9" t="s">
        <v>663</v>
      </c>
      <c r="G174" s="13">
        <v>20000</v>
      </c>
      <c r="H174" s="13">
        <v>1048</v>
      </c>
      <c r="I174" s="9"/>
      <c r="J174" s="8"/>
      <c r="K174" s="47">
        <f>K173+Table234535612[[#This Row],[AMOUNT]]-Table234535612[[#This Row],[AMOUNT2]]-Table234535612[[#This Row],[AMOUNT3]]</f>
        <v>139437</v>
      </c>
      <c r="L174" s="94"/>
    </row>
    <row r="175" spans="1:12" x14ac:dyDescent="0.35">
      <c r="A175" s="29" t="s">
        <v>662</v>
      </c>
      <c r="B175" s="7"/>
      <c r="C175" s="8"/>
      <c r="D175" s="7" t="s">
        <v>48</v>
      </c>
      <c r="E175" s="7" t="s">
        <v>88</v>
      </c>
      <c r="F175" s="9" t="s">
        <v>675</v>
      </c>
      <c r="G175" s="13">
        <v>900</v>
      </c>
      <c r="H175" s="13">
        <v>1051</v>
      </c>
      <c r="I175" s="9"/>
      <c r="J175" s="8"/>
      <c r="K175" s="47">
        <f>K174+Table234535612[[#This Row],[AMOUNT]]-Table234535612[[#This Row],[AMOUNT2]]-Table234535612[[#This Row],[AMOUNT3]]</f>
        <v>138537</v>
      </c>
      <c r="L175" s="94"/>
    </row>
    <row r="176" spans="1:12" x14ac:dyDescent="0.35">
      <c r="A176" s="29" t="s">
        <v>662</v>
      </c>
      <c r="B176" s="7"/>
      <c r="C176" s="8"/>
      <c r="D176" s="7" t="s">
        <v>48</v>
      </c>
      <c r="E176" s="97" t="s">
        <v>0</v>
      </c>
      <c r="F176" s="96" t="s">
        <v>713</v>
      </c>
      <c r="G176" s="13">
        <v>100</v>
      </c>
      <c r="H176" s="13">
        <v>1051</v>
      </c>
      <c r="I176" s="9"/>
      <c r="J176" s="8"/>
      <c r="K176" s="47">
        <f>K175+Table234535612[[#This Row],[AMOUNT]]-Table234535612[[#This Row],[AMOUNT2]]-Table234535612[[#This Row],[AMOUNT3]]</f>
        <v>138437</v>
      </c>
      <c r="L176" s="94"/>
    </row>
    <row r="177" spans="1:14" x14ac:dyDescent="0.35">
      <c r="A177" s="92" t="s">
        <v>674</v>
      </c>
      <c r="B177" s="7"/>
      <c r="C177" s="8"/>
      <c r="D177" s="7" t="s">
        <v>48</v>
      </c>
      <c r="E177" s="97" t="s">
        <v>19</v>
      </c>
      <c r="F177" s="7" t="s">
        <v>828</v>
      </c>
      <c r="G177" s="67">
        <v>16000</v>
      </c>
      <c r="H177" s="13">
        <v>1050</v>
      </c>
      <c r="I177" s="9"/>
      <c r="J177" s="8"/>
      <c r="K177" s="47">
        <f>K176+Table234535612[[#This Row],[AMOUNT]]-Table234535612[[#This Row],[AMOUNT2]]-Table234535612[[#This Row],[AMOUNT3]]</f>
        <v>122437</v>
      </c>
      <c r="L177" s="94"/>
    </row>
    <row r="178" spans="1:14" x14ac:dyDescent="0.35">
      <c r="A178" s="98">
        <v>46204</v>
      </c>
      <c r="B178" s="71"/>
      <c r="C178" s="23"/>
      <c r="D178" s="71" t="s">
        <v>48</v>
      </c>
      <c r="E178" s="71" t="s">
        <v>823</v>
      </c>
      <c r="F178" s="58" t="s">
        <v>829</v>
      </c>
      <c r="G178" s="51">
        <v>5000</v>
      </c>
      <c r="H178" s="13">
        <v>1052</v>
      </c>
      <c r="I178" s="58"/>
      <c r="J178" s="23"/>
      <c r="K178" s="47">
        <f>K177+Table234535612[[#This Row],[AMOUNT]]-Table234535612[[#This Row],[AMOUNT2]]-Table234535612[[#This Row],[AMOUNT3]]</f>
        <v>117437</v>
      </c>
      <c r="L178" s="94"/>
    </row>
    <row r="179" spans="1:14" x14ac:dyDescent="0.35">
      <c r="A179" s="29">
        <v>46204</v>
      </c>
      <c r="B179" s="7"/>
      <c r="C179" s="8"/>
      <c r="D179" s="7" t="s">
        <v>48</v>
      </c>
      <c r="E179" s="7" t="s">
        <v>679</v>
      </c>
      <c r="F179" s="9" t="s">
        <v>739</v>
      </c>
      <c r="G179" s="13">
        <v>100</v>
      </c>
      <c r="H179" s="13">
        <v>1059</v>
      </c>
      <c r="I179" s="9"/>
      <c r="J179" s="8"/>
      <c r="K179" s="47">
        <f>K178+Table234535612[[#This Row],[AMOUNT]]-Table234535612[[#This Row],[AMOUNT2]]-Table234535612[[#This Row],[AMOUNT3]]</f>
        <v>117337</v>
      </c>
      <c r="L179" s="94"/>
    </row>
    <row r="180" spans="1:14" x14ac:dyDescent="0.35">
      <c r="A180" s="29">
        <v>46205</v>
      </c>
      <c r="B180" s="7"/>
      <c r="C180" s="8"/>
      <c r="D180" s="7" t="s">
        <v>48</v>
      </c>
      <c r="E180" s="7" t="s">
        <v>19</v>
      </c>
      <c r="F180" s="9" t="s">
        <v>830</v>
      </c>
      <c r="G180" s="67">
        <v>5000</v>
      </c>
      <c r="H180" s="13">
        <v>1053</v>
      </c>
      <c r="I180" s="9" t="s">
        <v>824</v>
      </c>
      <c r="J180" s="8"/>
      <c r="K180" s="47">
        <f>K179+Table234535612[[#This Row],[AMOUNT]]-Table234535612[[#This Row],[AMOUNT2]]-Table234535612[[#This Row],[AMOUNT3]]</f>
        <v>112337</v>
      </c>
      <c r="L180" s="94"/>
    </row>
    <row r="181" spans="1:14" x14ac:dyDescent="0.35">
      <c r="A181" s="29">
        <v>46206</v>
      </c>
      <c r="B181" s="7"/>
      <c r="C181" s="8"/>
      <c r="D181" s="7" t="s">
        <v>48</v>
      </c>
      <c r="E181" s="7" t="s">
        <v>706</v>
      </c>
      <c r="F181" s="9" t="s">
        <v>831</v>
      </c>
      <c r="G181" s="13">
        <v>10000</v>
      </c>
      <c r="H181" s="13">
        <v>1054</v>
      </c>
      <c r="I181" s="9" t="s">
        <v>824</v>
      </c>
      <c r="J181" s="8"/>
      <c r="K181" s="47">
        <f>K180+Table234535612[[#This Row],[AMOUNT]]-Table234535612[[#This Row],[AMOUNT2]]-Table234535612[[#This Row],[AMOUNT3]]</f>
        <v>102337</v>
      </c>
      <c r="L181" s="94"/>
      <c r="M181">
        <v>3258540</v>
      </c>
    </row>
    <row r="182" spans="1:14" x14ac:dyDescent="0.35">
      <c r="A182" s="29">
        <v>46206</v>
      </c>
      <c r="B182" s="7"/>
      <c r="C182" s="8"/>
      <c r="D182" s="7" t="s">
        <v>48</v>
      </c>
      <c r="E182" s="7" t="s">
        <v>19</v>
      </c>
      <c r="F182" s="9" t="s">
        <v>730</v>
      </c>
      <c r="G182" s="67">
        <v>5000</v>
      </c>
      <c r="H182" s="13">
        <v>1055</v>
      </c>
      <c r="I182" s="9" t="s">
        <v>824</v>
      </c>
      <c r="J182" s="8"/>
      <c r="K182" s="47">
        <f>K181+Table234535612[[#This Row],[AMOUNT]]-Table234535612[[#This Row],[AMOUNT2]]-Table234535612[[#This Row],[AMOUNT3]]</f>
        <v>97337</v>
      </c>
      <c r="L182" s="94"/>
      <c r="M182">
        <v>3366953</v>
      </c>
      <c r="N182" t="s">
        <v>731</v>
      </c>
    </row>
    <row r="183" spans="1:14" x14ac:dyDescent="0.35">
      <c r="A183" s="29">
        <v>46207</v>
      </c>
      <c r="B183" s="7"/>
      <c r="C183" s="8"/>
      <c r="D183" s="7" t="s">
        <v>48</v>
      </c>
      <c r="E183" s="26" t="s">
        <v>24</v>
      </c>
      <c r="F183" s="7" t="s">
        <v>904</v>
      </c>
      <c r="G183" s="13">
        <v>2500</v>
      </c>
      <c r="H183" s="13">
        <v>1056</v>
      </c>
      <c r="I183" s="9" t="s">
        <v>824</v>
      </c>
      <c r="J183" s="8"/>
      <c r="K183" s="47">
        <f>K182+Table234535612[[#This Row],[AMOUNT]]-Table234535612[[#This Row],[AMOUNT2]]-Table234535612[[#This Row],[AMOUNT3]]</f>
        <v>94837</v>
      </c>
      <c r="L183" s="94"/>
      <c r="M183">
        <f>M181-M182</f>
        <v>-108413</v>
      </c>
    </row>
    <row r="184" spans="1:14" x14ac:dyDescent="0.35">
      <c r="A184" s="29">
        <v>46207</v>
      </c>
      <c r="B184" s="7"/>
      <c r="C184" s="8"/>
      <c r="D184" s="7" t="s">
        <v>48</v>
      </c>
      <c r="E184" s="26" t="s">
        <v>24</v>
      </c>
      <c r="F184" s="9" t="s">
        <v>832</v>
      </c>
      <c r="G184" s="13">
        <v>3350</v>
      </c>
      <c r="H184" s="13">
        <v>1057</v>
      </c>
      <c r="I184" s="9" t="s">
        <v>824</v>
      </c>
      <c r="J184" s="8"/>
      <c r="K184" s="47">
        <f>K183+Table234535612[[#This Row],[AMOUNT]]-Table234535612[[#This Row],[AMOUNT2]]-Table234535612[[#This Row],[AMOUNT3]]</f>
        <v>91487</v>
      </c>
      <c r="L184" s="94"/>
      <c r="M184">
        <f>+Table234535612[[#This Row],[BALANCE]]</f>
        <v>91487</v>
      </c>
    </row>
    <row r="185" spans="1:14" x14ac:dyDescent="0.35">
      <c r="A185" s="29">
        <v>46208</v>
      </c>
      <c r="B185" s="7"/>
      <c r="C185" s="8"/>
      <c r="D185" s="7" t="s">
        <v>48</v>
      </c>
      <c r="E185" s="7" t="s">
        <v>706</v>
      </c>
      <c r="F185" s="9" t="s">
        <v>905</v>
      </c>
      <c r="G185" s="119">
        <v>57200</v>
      </c>
      <c r="H185" s="13">
        <v>1058</v>
      </c>
      <c r="I185" s="9" t="s">
        <v>824</v>
      </c>
      <c r="J185" s="8"/>
      <c r="K185" s="47">
        <f>K184+Table234535612[[#This Row],[AMOUNT]]-Table234535612[[#This Row],[AMOUNT2]]-Table234535612[[#This Row],[AMOUNT3]]</f>
        <v>34287</v>
      </c>
      <c r="L185" s="94"/>
      <c r="M185">
        <f>+M183-M184</f>
        <v>-199900</v>
      </c>
    </row>
    <row r="186" spans="1:14" x14ac:dyDescent="0.35">
      <c r="A186" s="29">
        <v>46208</v>
      </c>
      <c r="B186" s="7"/>
      <c r="C186" s="8"/>
      <c r="D186" s="7" t="s">
        <v>48</v>
      </c>
      <c r="E186" s="26" t="s">
        <v>88</v>
      </c>
      <c r="F186" s="7" t="s">
        <v>740</v>
      </c>
      <c r="G186" s="13">
        <v>750</v>
      </c>
      <c r="H186" s="13">
        <v>1059</v>
      </c>
      <c r="I186" s="9"/>
      <c r="J186" s="8"/>
      <c r="K186" s="47">
        <f>K185+Table234535612[[#This Row],[AMOUNT]]-Table234535612[[#This Row],[AMOUNT2]]-Table234535612[[#This Row],[AMOUNT3]]</f>
        <v>33537</v>
      </c>
      <c r="L186" s="94"/>
    </row>
    <row r="187" spans="1:14" x14ac:dyDescent="0.35">
      <c r="A187" s="29">
        <v>46208</v>
      </c>
      <c r="B187" s="7"/>
      <c r="C187" s="8"/>
      <c r="D187" s="7" t="s">
        <v>48</v>
      </c>
      <c r="E187" s="7" t="s">
        <v>0</v>
      </c>
      <c r="F187" s="9" t="s">
        <v>741</v>
      </c>
      <c r="G187" s="13">
        <v>50</v>
      </c>
      <c r="H187" s="13">
        <v>1059</v>
      </c>
      <c r="I187" s="9"/>
      <c r="J187" s="8"/>
      <c r="K187" s="47">
        <f>K186+Table234535612[[#This Row],[AMOUNT]]-Table234535612[[#This Row],[AMOUNT2]]-Table234535612[[#This Row],[AMOUNT3]]</f>
        <v>33487</v>
      </c>
      <c r="L187" s="94"/>
      <c r="M187">
        <v>3458540</v>
      </c>
      <c r="N187" t="s">
        <v>732</v>
      </c>
    </row>
    <row r="188" spans="1:14" x14ac:dyDescent="0.35">
      <c r="A188" s="29">
        <v>46208</v>
      </c>
      <c r="B188" s="7"/>
      <c r="C188" s="8"/>
      <c r="D188" s="7" t="s">
        <v>48</v>
      </c>
      <c r="E188" s="7" t="s">
        <v>24</v>
      </c>
      <c r="F188" s="9" t="s">
        <v>742</v>
      </c>
      <c r="G188" s="13">
        <v>500</v>
      </c>
      <c r="H188" s="13">
        <v>1059</v>
      </c>
      <c r="I188" s="9"/>
      <c r="J188" s="8"/>
      <c r="K188" s="47">
        <f>K187+Table234535612[[#This Row],[AMOUNT]]-Table234535612[[#This Row],[AMOUNT2]]-Table234535612[[#This Row],[AMOUNT3]]</f>
        <v>32987</v>
      </c>
      <c r="L188" s="94"/>
    </row>
    <row r="189" spans="1:14" x14ac:dyDescent="0.35">
      <c r="A189" s="29">
        <v>46209</v>
      </c>
      <c r="B189" s="7"/>
      <c r="C189" s="8"/>
      <c r="D189" s="7" t="s">
        <v>48</v>
      </c>
      <c r="E189" s="26" t="s">
        <v>679</v>
      </c>
      <c r="F189" s="9" t="s">
        <v>739</v>
      </c>
      <c r="G189" s="13">
        <v>100</v>
      </c>
      <c r="H189" s="13">
        <v>1059</v>
      </c>
      <c r="I189" s="9"/>
      <c r="J189" s="8"/>
      <c r="K189" s="47">
        <f>K188+Table234535612[[#This Row],[AMOUNT]]-Table234535612[[#This Row],[AMOUNT2]]-Table234535612[[#This Row],[AMOUNT3]]</f>
        <v>32887</v>
      </c>
      <c r="L189" s="94"/>
    </row>
    <row r="190" spans="1:14" x14ac:dyDescent="0.35">
      <c r="A190" s="29">
        <v>46210</v>
      </c>
      <c r="B190" s="7"/>
      <c r="C190" s="8"/>
      <c r="D190" s="7" t="s">
        <v>48</v>
      </c>
      <c r="E190" s="7" t="s">
        <v>19</v>
      </c>
      <c r="F190" s="9" t="s">
        <v>743</v>
      </c>
      <c r="G190" s="67">
        <v>10650</v>
      </c>
      <c r="H190" s="13">
        <v>1060</v>
      </c>
      <c r="I190" s="9"/>
      <c r="J190" s="8"/>
      <c r="K190" s="47">
        <f>K189+Table234535612[[#This Row],[AMOUNT]]-Table234535612[[#This Row],[AMOUNT2]]-Table234535612[[#This Row],[AMOUNT3]]</f>
        <v>22237</v>
      </c>
      <c r="L190" s="94"/>
      <c r="N190">
        <f>+M187-M182</f>
        <v>91587</v>
      </c>
    </row>
    <row r="191" spans="1:14" x14ac:dyDescent="0.35">
      <c r="A191" s="29">
        <v>46210</v>
      </c>
      <c r="B191" s="7"/>
      <c r="C191" s="8"/>
      <c r="D191" s="7" t="s">
        <v>48</v>
      </c>
      <c r="E191" s="7" t="s">
        <v>19</v>
      </c>
      <c r="F191" s="9" t="s">
        <v>834</v>
      </c>
      <c r="G191" s="67">
        <v>26000</v>
      </c>
      <c r="H191" s="13">
        <v>1061</v>
      </c>
      <c r="I191" s="9"/>
      <c r="J191" s="8"/>
      <c r="K191" s="47">
        <f>K190+Table234535612[[#This Row],[AMOUNT]]-Table234535612[[#This Row],[AMOUNT2]]-Table234535612[[#This Row],[AMOUNT3]]</f>
        <v>-3763</v>
      </c>
      <c r="L191" s="94"/>
      <c r="N191" s="55">
        <f>+K189</f>
        <v>32887</v>
      </c>
    </row>
    <row r="192" spans="1:14" x14ac:dyDescent="0.35">
      <c r="A192" s="29">
        <v>46210</v>
      </c>
      <c r="B192" s="7"/>
      <c r="C192" s="8"/>
      <c r="D192" s="7" t="s">
        <v>48</v>
      </c>
      <c r="E192" s="7" t="s">
        <v>312</v>
      </c>
      <c r="F192" s="9" t="s">
        <v>835</v>
      </c>
      <c r="G192" s="13">
        <v>11600</v>
      </c>
      <c r="H192" s="13">
        <v>1062</v>
      </c>
      <c r="I192" s="9"/>
      <c r="J192" s="8"/>
      <c r="K192" s="47">
        <f>K191+Table234535612[[#This Row],[AMOUNT]]-Table234535612[[#This Row],[AMOUNT2]]-Table234535612[[#This Row],[AMOUNT3]]</f>
        <v>-15363</v>
      </c>
      <c r="L192" s="94"/>
      <c r="N192" s="55">
        <f>+N191-N190</f>
        <v>-58700</v>
      </c>
    </row>
    <row r="193" spans="1:12" x14ac:dyDescent="0.35">
      <c r="A193" s="29">
        <v>46210</v>
      </c>
      <c r="B193" s="7"/>
      <c r="C193" s="8"/>
      <c r="D193" s="7" t="s">
        <v>48</v>
      </c>
      <c r="E193" s="7" t="s">
        <v>312</v>
      </c>
      <c r="F193" s="9" t="s">
        <v>833</v>
      </c>
      <c r="G193" s="13">
        <v>9666</v>
      </c>
      <c r="H193" s="13">
        <v>1063</v>
      </c>
      <c r="I193" s="9"/>
      <c r="J193" s="8"/>
      <c r="K193" s="47">
        <f>K192+Table234535612[[#This Row],[AMOUNT]]-Table234535612[[#This Row],[AMOUNT2]]-Table234535612[[#This Row],[AMOUNT3]]</f>
        <v>-25029</v>
      </c>
      <c r="L193" s="94"/>
    </row>
    <row r="194" spans="1:12" x14ac:dyDescent="0.35">
      <c r="A194" s="29">
        <v>46211</v>
      </c>
      <c r="B194" s="7"/>
      <c r="C194" s="8"/>
      <c r="D194" s="7" t="s">
        <v>48</v>
      </c>
      <c r="E194" s="26" t="s">
        <v>709</v>
      </c>
      <c r="F194" s="9" t="s">
        <v>836</v>
      </c>
      <c r="G194" s="13">
        <v>3500</v>
      </c>
      <c r="H194" s="13">
        <v>1065</v>
      </c>
      <c r="I194" s="9"/>
      <c r="J194" s="8"/>
      <c r="K194" s="47">
        <f>K193+Table234535612[[#This Row],[AMOUNT]]-Table234535612[[#This Row],[AMOUNT2]]-Table234535612[[#This Row],[AMOUNT3]]</f>
        <v>-28529</v>
      </c>
      <c r="L194" s="94"/>
    </row>
    <row r="195" spans="1:12" x14ac:dyDescent="0.35">
      <c r="A195" s="29">
        <v>46211</v>
      </c>
      <c r="B195" s="7"/>
      <c r="C195" s="8"/>
      <c r="D195" s="7" t="s">
        <v>48</v>
      </c>
      <c r="E195" s="7" t="s">
        <v>75</v>
      </c>
      <c r="F195" s="9" t="s">
        <v>837</v>
      </c>
      <c r="G195" s="13">
        <v>2000</v>
      </c>
      <c r="H195" s="13">
        <v>1064</v>
      </c>
      <c r="I195" s="9" t="s">
        <v>824</v>
      </c>
      <c r="J195" s="8"/>
      <c r="K195" s="47">
        <f>K194+Table234535612[[#This Row],[AMOUNT]]-Table234535612[[#This Row],[AMOUNT2]]-Table234535612[[#This Row],[AMOUNT3]]</f>
        <v>-30529</v>
      </c>
      <c r="L195" s="94"/>
    </row>
    <row r="196" spans="1:12" x14ac:dyDescent="0.35">
      <c r="A196" s="29">
        <v>46211</v>
      </c>
      <c r="B196" s="25"/>
      <c r="C196" s="20"/>
      <c r="D196" s="7" t="s">
        <v>48</v>
      </c>
      <c r="E196" s="7" t="s">
        <v>88</v>
      </c>
      <c r="F196" s="19" t="s">
        <v>850</v>
      </c>
      <c r="G196" s="21">
        <v>300</v>
      </c>
      <c r="H196" s="21">
        <v>1075</v>
      </c>
      <c r="I196" s="9"/>
      <c r="J196" s="8"/>
      <c r="K196" s="47">
        <f>K195+Table234535612[[#This Row],[AMOUNT]]-Table234535612[[#This Row],[AMOUNT2]]-Table234535612[[#This Row],[AMOUNT3]]</f>
        <v>-30829</v>
      </c>
      <c r="L196" s="94"/>
    </row>
    <row r="197" spans="1:12" x14ac:dyDescent="0.35">
      <c r="A197" s="30">
        <v>46212</v>
      </c>
      <c r="B197" s="25"/>
      <c r="C197" s="20"/>
      <c r="D197" s="7" t="s">
        <v>48</v>
      </c>
      <c r="E197" s="7" t="s">
        <v>88</v>
      </c>
      <c r="F197" s="19" t="s">
        <v>850</v>
      </c>
      <c r="G197" s="21">
        <v>300</v>
      </c>
      <c r="H197" s="21">
        <v>1075</v>
      </c>
      <c r="I197" s="9"/>
      <c r="J197" s="8"/>
      <c r="K197" s="47">
        <f>K196+Table234535612[[#This Row],[AMOUNT]]-Table234535612[[#This Row],[AMOUNT2]]-Table234535612[[#This Row],[AMOUNT3]]</f>
        <v>-31129</v>
      </c>
      <c r="L197" s="94"/>
    </row>
    <row r="198" spans="1:12" x14ac:dyDescent="0.35">
      <c r="A198" s="30">
        <v>46212</v>
      </c>
      <c r="B198" s="25"/>
      <c r="C198" s="20"/>
      <c r="D198" s="7" t="s">
        <v>48</v>
      </c>
      <c r="E198" s="26" t="s">
        <v>709</v>
      </c>
      <c r="F198" s="19" t="s">
        <v>814</v>
      </c>
      <c r="G198" s="21">
        <v>1500</v>
      </c>
      <c r="H198" s="21">
        <v>1066</v>
      </c>
      <c r="I198" s="9" t="s">
        <v>824</v>
      </c>
      <c r="J198" s="8"/>
      <c r="K198" s="47">
        <f>K197+Table234535612[[#This Row],[AMOUNT]]-Table234535612[[#This Row],[AMOUNT2]]-Table234535612[[#This Row],[AMOUNT3]]</f>
        <v>-32629</v>
      </c>
      <c r="L198" s="94"/>
    </row>
    <row r="199" spans="1:12" x14ac:dyDescent="0.35">
      <c r="A199" s="30">
        <v>46214</v>
      </c>
      <c r="B199" s="25"/>
      <c r="C199" s="20"/>
      <c r="D199" s="7" t="s">
        <v>48</v>
      </c>
      <c r="E199" s="26" t="s">
        <v>88</v>
      </c>
      <c r="F199" s="19" t="s">
        <v>850</v>
      </c>
      <c r="G199" s="21">
        <v>300</v>
      </c>
      <c r="H199" s="21">
        <v>1075</v>
      </c>
      <c r="I199" s="9"/>
      <c r="J199" s="8"/>
      <c r="K199" s="47">
        <f>K198+Table234535612[[#This Row],[AMOUNT]]-Table234535612[[#This Row],[AMOUNT2]]-Table234535612[[#This Row],[AMOUNT3]]</f>
        <v>-32929</v>
      </c>
      <c r="L199" s="94"/>
    </row>
    <row r="200" spans="1:12" x14ac:dyDescent="0.35">
      <c r="A200" s="30">
        <v>46214</v>
      </c>
      <c r="B200" s="25"/>
      <c r="C200" s="20"/>
      <c r="D200" s="7" t="s">
        <v>48</v>
      </c>
      <c r="E200" s="26" t="s">
        <v>0</v>
      </c>
      <c r="F200" s="19" t="s">
        <v>851</v>
      </c>
      <c r="G200" s="21">
        <v>200</v>
      </c>
      <c r="H200" s="21">
        <v>1075</v>
      </c>
      <c r="I200" s="9"/>
      <c r="J200" s="8"/>
      <c r="K200" s="47">
        <f>K199+Table234535612[[#This Row],[AMOUNT]]-Table234535612[[#This Row],[AMOUNT2]]-Table234535612[[#This Row],[AMOUNT3]]</f>
        <v>-33129</v>
      </c>
      <c r="L200" s="94"/>
    </row>
    <row r="201" spans="1:12" x14ac:dyDescent="0.35">
      <c r="A201" s="30">
        <v>46214</v>
      </c>
      <c r="B201" s="25"/>
      <c r="C201" s="20"/>
      <c r="D201" s="7" t="s">
        <v>48</v>
      </c>
      <c r="E201" s="7" t="s">
        <v>682</v>
      </c>
      <c r="F201" s="9" t="s">
        <v>839</v>
      </c>
      <c r="G201" s="21">
        <v>3000</v>
      </c>
      <c r="H201" s="21">
        <v>1067</v>
      </c>
      <c r="I201" s="9" t="s">
        <v>824</v>
      </c>
      <c r="J201" s="8"/>
      <c r="K201" s="47">
        <f>K200+Table234535612[[#This Row],[AMOUNT]]-Table234535612[[#This Row],[AMOUNT2]]-Table234535612[[#This Row],[AMOUNT3]]</f>
        <v>-36129</v>
      </c>
      <c r="L201" s="94"/>
    </row>
    <row r="202" spans="1:12" x14ac:dyDescent="0.35">
      <c r="A202" s="30">
        <v>46214</v>
      </c>
      <c r="B202" s="25"/>
      <c r="C202" s="20"/>
      <c r="D202" s="7" t="s">
        <v>48</v>
      </c>
      <c r="E202" s="7" t="s">
        <v>682</v>
      </c>
      <c r="F202" s="19" t="s">
        <v>838</v>
      </c>
      <c r="G202" s="21">
        <v>6000</v>
      </c>
      <c r="H202" s="21">
        <v>1068</v>
      </c>
      <c r="I202" s="9" t="s">
        <v>824</v>
      </c>
      <c r="J202" s="8"/>
      <c r="K202" s="47">
        <f>K201+Table234535612[[#This Row],[AMOUNT]]-Table234535612[[#This Row],[AMOUNT2]]-Table234535612[[#This Row],[AMOUNT3]]</f>
        <v>-42129</v>
      </c>
      <c r="L202" s="94"/>
    </row>
    <row r="203" spans="1:12" x14ac:dyDescent="0.35">
      <c r="A203" s="30">
        <v>46214</v>
      </c>
      <c r="B203" s="25"/>
      <c r="C203" s="20"/>
      <c r="D203" s="7" t="s">
        <v>48</v>
      </c>
      <c r="E203" s="25" t="s">
        <v>19</v>
      </c>
      <c r="F203" s="9" t="s">
        <v>840</v>
      </c>
      <c r="G203" s="21">
        <v>5000</v>
      </c>
      <c r="H203" s="21">
        <v>1069</v>
      </c>
      <c r="I203" s="9"/>
      <c r="J203" s="8"/>
      <c r="K203" s="47">
        <f>K202+Table234535612[[#This Row],[AMOUNT]]-Table234535612[[#This Row],[AMOUNT2]]-Table234535612[[#This Row],[AMOUNT3]]</f>
        <v>-47129</v>
      </c>
      <c r="L203" s="94"/>
    </row>
    <row r="204" spans="1:12" x14ac:dyDescent="0.35">
      <c r="A204" s="30">
        <v>46214</v>
      </c>
      <c r="B204" s="25"/>
      <c r="C204" s="20"/>
      <c r="D204" s="7" t="s">
        <v>48</v>
      </c>
      <c r="E204" s="25" t="s">
        <v>19</v>
      </c>
      <c r="F204" s="7" t="s">
        <v>841</v>
      </c>
      <c r="G204" s="121">
        <v>12800</v>
      </c>
      <c r="H204" s="21">
        <v>1070</v>
      </c>
      <c r="I204" s="9" t="s">
        <v>824</v>
      </c>
      <c r="J204" s="8"/>
      <c r="K204" s="47">
        <f>K203+Table234535612[[#This Row],[AMOUNT]]-Table234535612[[#This Row],[AMOUNT2]]-Table234535612[[#This Row],[AMOUNT3]]</f>
        <v>-59929</v>
      </c>
      <c r="L204" s="94"/>
    </row>
    <row r="205" spans="1:12" x14ac:dyDescent="0.35">
      <c r="A205" s="30">
        <v>46215</v>
      </c>
      <c r="B205" s="25"/>
      <c r="C205" s="20"/>
      <c r="D205" s="7" t="s">
        <v>48</v>
      </c>
      <c r="E205" s="25" t="s">
        <v>709</v>
      </c>
      <c r="F205" s="19" t="s">
        <v>907</v>
      </c>
      <c r="G205" s="21">
        <v>13750</v>
      </c>
      <c r="H205" s="21">
        <v>1072</v>
      </c>
      <c r="I205" s="9" t="s">
        <v>824</v>
      </c>
      <c r="J205" s="8"/>
      <c r="K205" s="47">
        <f>K204+Table234535612[[#This Row],[AMOUNT]]-Table234535612[[#This Row],[AMOUNT2]]-Table234535612[[#This Row],[AMOUNT3]]</f>
        <v>-73679</v>
      </c>
      <c r="L205" s="94"/>
    </row>
    <row r="206" spans="1:12" x14ac:dyDescent="0.35">
      <c r="A206" s="30">
        <v>46215</v>
      </c>
      <c r="B206" s="25"/>
      <c r="C206" s="20"/>
      <c r="D206" s="7" t="s">
        <v>48</v>
      </c>
      <c r="E206" s="25" t="s">
        <v>854</v>
      </c>
      <c r="F206" s="7" t="s">
        <v>906</v>
      </c>
      <c r="G206" s="121">
        <v>5150</v>
      </c>
      <c r="H206" s="21">
        <v>1071</v>
      </c>
      <c r="I206" s="9" t="s">
        <v>824</v>
      </c>
      <c r="J206" s="8"/>
      <c r="K206" s="47">
        <f>K205+Table234535612[[#This Row],[AMOUNT]]-Table234535612[[#This Row],[AMOUNT2]]-Table234535612[[#This Row],[AMOUNT3]]</f>
        <v>-78829</v>
      </c>
      <c r="L206" s="94"/>
    </row>
    <row r="207" spans="1:12" x14ac:dyDescent="0.35">
      <c r="A207" s="30">
        <v>46215</v>
      </c>
      <c r="B207" s="25"/>
      <c r="C207" s="20"/>
      <c r="D207" s="7" t="s">
        <v>48</v>
      </c>
      <c r="E207" s="25" t="s">
        <v>709</v>
      </c>
      <c r="F207" s="7" t="s">
        <v>908</v>
      </c>
      <c r="G207" s="21">
        <v>6000</v>
      </c>
      <c r="H207" s="21">
        <v>1073</v>
      </c>
      <c r="I207" s="9" t="s">
        <v>824</v>
      </c>
      <c r="J207" s="8"/>
      <c r="K207" s="47">
        <f>K206+Table234535612[[#This Row],[AMOUNT]]-Table234535612[[#This Row],[AMOUNT2]]-Table234535612[[#This Row],[AMOUNT3]]</f>
        <v>-84829</v>
      </c>
      <c r="L207" s="94"/>
    </row>
    <row r="208" spans="1:12" x14ac:dyDescent="0.35">
      <c r="A208" s="30">
        <v>46216</v>
      </c>
      <c r="B208" s="25"/>
      <c r="C208" s="20"/>
      <c r="D208" s="7" t="s">
        <v>48</v>
      </c>
      <c r="E208" s="25" t="s">
        <v>37</v>
      </c>
      <c r="F208" s="19" t="s">
        <v>804</v>
      </c>
      <c r="G208" s="121">
        <v>4000</v>
      </c>
      <c r="H208" s="21"/>
      <c r="I208" s="9"/>
      <c r="J208" s="8"/>
      <c r="K208" s="47">
        <f>K207+Table234535612[[#This Row],[AMOUNT]]-Table234535612[[#This Row],[AMOUNT2]]-Table234535612[[#This Row],[AMOUNT3]]</f>
        <v>-88829</v>
      </c>
      <c r="L208" s="94"/>
    </row>
    <row r="209" spans="1:12" x14ac:dyDescent="0.35">
      <c r="A209" s="30">
        <v>46216</v>
      </c>
      <c r="B209" s="7"/>
      <c r="C209" s="8"/>
      <c r="D209" s="7" t="s">
        <v>48</v>
      </c>
      <c r="E209" s="7" t="s">
        <v>682</v>
      </c>
      <c r="F209" s="9" t="s">
        <v>852</v>
      </c>
      <c r="G209" s="13">
        <v>900</v>
      </c>
      <c r="H209" s="13">
        <v>1074</v>
      </c>
      <c r="I209" s="9"/>
      <c r="J209" s="8"/>
      <c r="K209" s="47">
        <f>K208+Table234535612[[#This Row],[AMOUNT]]-Table234535612[[#This Row],[AMOUNT2]]-Table234535612[[#This Row],[AMOUNT3]]</f>
        <v>-89729</v>
      </c>
      <c r="L209" s="94"/>
    </row>
    <row r="210" spans="1:12" x14ac:dyDescent="0.35">
      <c r="A210" s="29">
        <v>46217</v>
      </c>
      <c r="B210" s="7" t="s">
        <v>63</v>
      </c>
      <c r="C210" s="8">
        <v>200000</v>
      </c>
      <c r="D210" s="7" t="s">
        <v>48</v>
      </c>
      <c r="E210" s="7" t="s">
        <v>708</v>
      </c>
      <c r="F210" s="9" t="s">
        <v>853</v>
      </c>
      <c r="G210" s="13">
        <v>18000</v>
      </c>
      <c r="H210" s="13">
        <v>1076</v>
      </c>
      <c r="I210" s="9"/>
      <c r="J210" s="8"/>
      <c r="K210" s="47">
        <f>K209+Table234535612[[#This Row],[AMOUNT]]-Table234535612[[#This Row],[AMOUNT2]]-Table234535612[[#This Row],[AMOUNT3]]</f>
        <v>92271</v>
      </c>
      <c r="L210" s="94"/>
    </row>
    <row r="211" spans="1:12" x14ac:dyDescent="0.35">
      <c r="A211" s="29">
        <v>46217</v>
      </c>
      <c r="B211" s="7"/>
      <c r="C211" s="8"/>
      <c r="D211" s="7" t="s">
        <v>48</v>
      </c>
      <c r="E211" s="7" t="s">
        <v>854</v>
      </c>
      <c r="F211" s="9" t="s">
        <v>855</v>
      </c>
      <c r="G211" s="13">
        <v>11000</v>
      </c>
      <c r="H211" s="13">
        <v>1077</v>
      </c>
      <c r="I211" s="9"/>
      <c r="J211" s="8"/>
      <c r="K211" s="47">
        <f>K210+Table234535612[[#This Row],[AMOUNT]]-Table234535612[[#This Row],[AMOUNT2]]-Table234535612[[#This Row],[AMOUNT3]]</f>
        <v>81271</v>
      </c>
      <c r="L211" s="94"/>
    </row>
    <row r="212" spans="1:12" x14ac:dyDescent="0.35">
      <c r="A212" s="29">
        <v>46217</v>
      </c>
      <c r="B212" s="7"/>
      <c r="C212" s="8"/>
      <c r="D212" s="7" t="s">
        <v>48</v>
      </c>
      <c r="E212" s="7" t="s">
        <v>24</v>
      </c>
      <c r="F212" s="9" t="s">
        <v>859</v>
      </c>
      <c r="G212" s="13">
        <v>6000</v>
      </c>
      <c r="H212" s="13">
        <v>1079</v>
      </c>
      <c r="I212" s="9"/>
      <c r="J212" s="8"/>
      <c r="K212" s="47">
        <f>K211+Table234535612[[#This Row],[AMOUNT]]-Table234535612[[#This Row],[AMOUNT2]]-Table234535612[[#This Row],[AMOUNT3]]</f>
        <v>75271</v>
      </c>
      <c r="L212" s="94"/>
    </row>
    <row r="213" spans="1:12" x14ac:dyDescent="0.35">
      <c r="A213" s="29">
        <v>46217</v>
      </c>
      <c r="B213" s="7"/>
      <c r="C213" s="8"/>
      <c r="D213" s="7" t="s">
        <v>48</v>
      </c>
      <c r="E213" s="7" t="s">
        <v>24</v>
      </c>
      <c r="F213" s="9" t="s">
        <v>870</v>
      </c>
      <c r="G213" s="13">
        <v>8000</v>
      </c>
      <c r="H213" s="13">
        <v>1085</v>
      </c>
      <c r="I213" s="9"/>
      <c r="J213" s="8"/>
      <c r="K213" s="47">
        <f>K212+Table234535612[[#This Row],[AMOUNT]]-Table234535612[[#This Row],[AMOUNT2]]-Table234535612[[#This Row],[AMOUNT3]]</f>
        <v>67271</v>
      </c>
      <c r="L213" s="94"/>
    </row>
    <row r="214" spans="1:12" x14ac:dyDescent="0.35">
      <c r="A214" s="29">
        <v>46218</v>
      </c>
      <c r="B214" s="7"/>
      <c r="C214" s="8"/>
      <c r="D214" s="7" t="s">
        <v>48</v>
      </c>
      <c r="E214" s="122" t="s">
        <v>682</v>
      </c>
      <c r="F214" s="123" t="s">
        <v>856</v>
      </c>
      <c r="G214" s="124">
        <v>5500</v>
      </c>
      <c r="H214" s="13">
        <v>1078</v>
      </c>
      <c r="I214" s="9"/>
      <c r="J214" s="8"/>
      <c r="K214" s="47">
        <f>K213+Table234535612[[#This Row],[AMOUNT]]-Table234535612[[#This Row],[AMOUNT2]]-Table234535612[[#This Row],[AMOUNT3]]</f>
        <v>61771</v>
      </c>
      <c r="L214" s="94"/>
    </row>
    <row r="215" spans="1:12" x14ac:dyDescent="0.35">
      <c r="A215" s="29">
        <v>46218</v>
      </c>
      <c r="B215" s="7"/>
      <c r="C215" s="8"/>
      <c r="D215" s="7" t="s">
        <v>48</v>
      </c>
      <c r="E215" s="7" t="s">
        <v>68</v>
      </c>
      <c r="F215" s="9" t="s">
        <v>857</v>
      </c>
      <c r="G215" s="13">
        <v>4000</v>
      </c>
      <c r="H215" s="13">
        <v>1078</v>
      </c>
      <c r="I215" s="9"/>
      <c r="J215" s="8"/>
      <c r="K215" s="47">
        <f>K214+Table234535612[[#This Row],[AMOUNT]]-Table234535612[[#This Row],[AMOUNT2]]-Table234535612[[#This Row],[AMOUNT3]]</f>
        <v>57771</v>
      </c>
      <c r="L215" s="94"/>
    </row>
    <row r="216" spans="1:12" x14ac:dyDescent="0.35">
      <c r="A216" s="29">
        <v>46218</v>
      </c>
      <c r="B216" s="7"/>
      <c r="C216" s="8"/>
      <c r="D216" s="7" t="s">
        <v>48</v>
      </c>
      <c r="E216" s="7" t="s">
        <v>0</v>
      </c>
      <c r="F216" s="9" t="s">
        <v>858</v>
      </c>
      <c r="G216" s="13">
        <v>400</v>
      </c>
      <c r="H216" s="13">
        <v>1078</v>
      </c>
      <c r="I216" s="9"/>
      <c r="J216" s="8"/>
      <c r="K216" s="47">
        <f>K215+Table234535612[[#This Row],[AMOUNT]]-Table234535612[[#This Row],[AMOUNT2]]-Table234535612[[#This Row],[AMOUNT3]]</f>
        <v>57371</v>
      </c>
      <c r="L216" s="94"/>
    </row>
    <row r="217" spans="1:12" x14ac:dyDescent="0.35">
      <c r="A217" s="29">
        <v>46218</v>
      </c>
      <c r="B217" s="7"/>
      <c r="C217" s="8"/>
      <c r="D217" s="7" t="s">
        <v>48</v>
      </c>
      <c r="E217" s="7" t="s">
        <v>24</v>
      </c>
      <c r="F217" s="9" t="s">
        <v>860</v>
      </c>
      <c r="G217" s="13">
        <v>6000</v>
      </c>
      <c r="H217" s="13">
        <v>1079</v>
      </c>
      <c r="I217" s="9"/>
      <c r="J217" s="8"/>
      <c r="K217" s="47">
        <f>K216+Table234535612[[#This Row],[AMOUNT]]-Table234535612[[#This Row],[AMOUNT2]]-Table234535612[[#This Row],[AMOUNT3]]</f>
        <v>51371</v>
      </c>
      <c r="L217" s="94"/>
    </row>
    <row r="218" spans="1:12" x14ac:dyDescent="0.35">
      <c r="A218" s="29">
        <v>46218</v>
      </c>
      <c r="B218" s="7"/>
      <c r="C218" s="8"/>
      <c r="D218" s="7" t="s">
        <v>48</v>
      </c>
      <c r="E218" s="7" t="s">
        <v>24</v>
      </c>
      <c r="F218" s="9" t="s">
        <v>861</v>
      </c>
      <c r="G218" s="13">
        <v>3000</v>
      </c>
      <c r="H218" s="13">
        <v>1080</v>
      </c>
      <c r="I218" s="9"/>
      <c r="J218" s="8"/>
      <c r="K218" s="47">
        <f>K217+Table234535612[[#This Row],[AMOUNT]]-Table234535612[[#This Row],[AMOUNT2]]-Table234535612[[#This Row],[AMOUNT3]]</f>
        <v>48371</v>
      </c>
      <c r="L218" s="94"/>
    </row>
    <row r="219" spans="1:12" x14ac:dyDescent="0.35">
      <c r="A219" s="29">
        <v>46218</v>
      </c>
      <c r="B219" s="7"/>
      <c r="C219" s="8"/>
      <c r="D219" s="7" t="s">
        <v>48</v>
      </c>
      <c r="E219" s="26" t="s">
        <v>862</v>
      </c>
      <c r="F219" s="7" t="s">
        <v>863</v>
      </c>
      <c r="G219" s="13">
        <v>1030</v>
      </c>
      <c r="H219" s="13">
        <v>1081</v>
      </c>
      <c r="I219" s="9"/>
      <c r="J219" s="8"/>
      <c r="K219" s="47">
        <f>K218+Table234535612[[#This Row],[AMOUNT]]-Table234535612[[#This Row],[AMOUNT2]]-Table234535612[[#This Row],[AMOUNT3]]</f>
        <v>47341</v>
      </c>
      <c r="L219" s="94"/>
    </row>
    <row r="220" spans="1:12" x14ac:dyDescent="0.35">
      <c r="A220" s="29">
        <v>46218</v>
      </c>
      <c r="B220" s="7"/>
      <c r="C220" s="8"/>
      <c r="D220" s="7" t="s">
        <v>48</v>
      </c>
      <c r="E220" s="26" t="s">
        <v>0</v>
      </c>
      <c r="F220" s="9" t="s">
        <v>864</v>
      </c>
      <c r="G220" s="13">
        <v>30</v>
      </c>
      <c r="H220" s="13">
        <v>1081</v>
      </c>
      <c r="I220" s="9"/>
      <c r="J220" s="8"/>
      <c r="K220" s="47">
        <f>K219+Table234535612[[#This Row],[AMOUNT]]-Table234535612[[#This Row],[AMOUNT2]]-Table234535612[[#This Row],[AMOUNT3]]</f>
        <v>47311</v>
      </c>
      <c r="L220" s="94"/>
    </row>
    <row r="221" spans="1:12" x14ac:dyDescent="0.35">
      <c r="A221" s="29">
        <v>46218</v>
      </c>
      <c r="B221" s="7"/>
      <c r="C221" s="8"/>
      <c r="D221" s="7" t="s">
        <v>48</v>
      </c>
      <c r="E221" s="7" t="s">
        <v>24</v>
      </c>
      <c r="F221" s="9" t="s">
        <v>870</v>
      </c>
      <c r="G221" s="13">
        <v>8000</v>
      </c>
      <c r="H221" s="13">
        <v>1085</v>
      </c>
      <c r="I221" s="9"/>
      <c r="J221" s="8"/>
      <c r="K221" s="47">
        <f>K220+Table234535612[[#This Row],[AMOUNT]]-Table234535612[[#This Row],[AMOUNT2]]-Table234535612[[#This Row],[AMOUNT3]]</f>
        <v>39311</v>
      </c>
      <c r="L221" s="94"/>
    </row>
    <row r="222" spans="1:12" x14ac:dyDescent="0.35">
      <c r="A222" s="29">
        <v>46219</v>
      </c>
      <c r="B222" s="7"/>
      <c r="C222" s="8"/>
      <c r="D222" s="7" t="s">
        <v>48</v>
      </c>
      <c r="E222" s="7" t="s">
        <v>865</v>
      </c>
      <c r="F222" s="9" t="s">
        <v>866</v>
      </c>
      <c r="G222" s="13">
        <v>10000</v>
      </c>
      <c r="H222" s="13">
        <v>1082</v>
      </c>
      <c r="I222" s="9"/>
      <c r="J222" s="8"/>
      <c r="K222" s="47">
        <f>K221+Table234535612[[#This Row],[AMOUNT]]-Table234535612[[#This Row],[AMOUNT2]]-Table234535612[[#This Row],[AMOUNT3]]</f>
        <v>29311</v>
      </c>
      <c r="L222" s="94"/>
    </row>
    <row r="223" spans="1:12" x14ac:dyDescent="0.35">
      <c r="A223" s="29">
        <v>46219</v>
      </c>
      <c r="B223" s="7"/>
      <c r="C223" s="8"/>
      <c r="D223" s="7" t="s">
        <v>48</v>
      </c>
      <c r="E223" s="7" t="s">
        <v>24</v>
      </c>
      <c r="F223" s="9" t="s">
        <v>867</v>
      </c>
      <c r="G223" s="13">
        <v>6000</v>
      </c>
      <c r="H223" s="13">
        <v>1083</v>
      </c>
      <c r="I223" s="9"/>
      <c r="J223" s="8"/>
      <c r="K223" s="47">
        <f>K222+Table234535612[[#This Row],[AMOUNT]]-Table234535612[[#This Row],[AMOUNT2]]-Table234535612[[#This Row],[AMOUNT3]]</f>
        <v>23311</v>
      </c>
      <c r="L223" s="94"/>
    </row>
    <row r="224" spans="1:12" x14ac:dyDescent="0.35">
      <c r="A224" s="29">
        <v>46219</v>
      </c>
      <c r="B224" s="7"/>
      <c r="C224" s="8"/>
      <c r="D224" s="7" t="s">
        <v>48</v>
      </c>
      <c r="E224" s="7" t="s">
        <v>24</v>
      </c>
      <c r="F224" s="9" t="s">
        <v>868</v>
      </c>
      <c r="G224" s="13">
        <v>5774</v>
      </c>
      <c r="H224" s="13">
        <v>1084</v>
      </c>
      <c r="I224" s="9"/>
      <c r="J224" s="8"/>
      <c r="K224" s="47">
        <f>K223+Table234535612[[#This Row],[AMOUNT]]-Table234535612[[#This Row],[AMOUNT2]]-Table234535612[[#This Row],[AMOUNT3]]</f>
        <v>17537</v>
      </c>
      <c r="L224" s="94"/>
    </row>
    <row r="225" spans="1:12" x14ac:dyDescent="0.35">
      <c r="A225" s="29">
        <v>46219</v>
      </c>
      <c r="B225" s="7"/>
      <c r="C225" s="8"/>
      <c r="D225" s="7" t="s">
        <v>48</v>
      </c>
      <c r="E225" s="7" t="s">
        <v>24</v>
      </c>
      <c r="F225" s="9" t="s">
        <v>869</v>
      </c>
      <c r="G225" s="13">
        <v>9000</v>
      </c>
      <c r="H225" s="13">
        <v>1085</v>
      </c>
      <c r="I225" s="9"/>
      <c r="J225" s="8"/>
      <c r="K225" s="47">
        <f>K224+Table234535612[[#This Row],[AMOUNT]]-Table234535612[[#This Row],[AMOUNT2]]-Table234535612[[#This Row],[AMOUNT3]]</f>
        <v>8537</v>
      </c>
      <c r="L225" s="94"/>
    </row>
    <row r="226" spans="1:12" x14ac:dyDescent="0.35">
      <c r="A226" s="29">
        <v>46220</v>
      </c>
      <c r="B226" s="7"/>
      <c r="C226" s="8"/>
      <c r="D226" s="7" t="s">
        <v>48</v>
      </c>
      <c r="E226" s="7" t="s">
        <v>706</v>
      </c>
      <c r="F226" s="9" t="s">
        <v>871</v>
      </c>
      <c r="G226" s="13">
        <v>13200</v>
      </c>
      <c r="H226" s="13">
        <v>1086</v>
      </c>
      <c r="I226" s="9"/>
      <c r="J226" s="8"/>
      <c r="K226" s="47">
        <f>K225+Table234535612[[#This Row],[AMOUNT]]-Table234535612[[#This Row],[AMOUNT2]]-Table234535612[[#This Row],[AMOUNT3]]</f>
        <v>-4663</v>
      </c>
      <c r="L226" s="94"/>
    </row>
    <row r="227" spans="1:12" x14ac:dyDescent="0.35">
      <c r="A227" s="29">
        <v>46220</v>
      </c>
      <c r="B227" s="7"/>
      <c r="C227" s="8"/>
      <c r="D227" s="7" t="s">
        <v>48</v>
      </c>
      <c r="E227" s="7" t="s">
        <v>854</v>
      </c>
      <c r="F227" s="7" t="s">
        <v>872</v>
      </c>
      <c r="G227" s="13">
        <v>7800</v>
      </c>
      <c r="H227" s="13">
        <v>1087</v>
      </c>
      <c r="I227" s="9"/>
      <c r="J227" s="8"/>
      <c r="K227" s="47">
        <f>K226+Table234535612[[#This Row],[AMOUNT]]-Table234535612[[#This Row],[AMOUNT2]]-Table234535612[[#This Row],[AMOUNT3]]</f>
        <v>-12463</v>
      </c>
      <c r="L227" s="94"/>
    </row>
    <row r="228" spans="1:12" x14ac:dyDescent="0.35">
      <c r="A228" s="29">
        <v>46220</v>
      </c>
      <c r="B228" s="7"/>
      <c r="C228" s="8"/>
      <c r="D228" s="7" t="s">
        <v>48</v>
      </c>
      <c r="E228" s="7" t="s">
        <v>24</v>
      </c>
      <c r="F228" s="9" t="s">
        <v>873</v>
      </c>
      <c r="G228" s="13">
        <v>1250</v>
      </c>
      <c r="H228" s="13">
        <v>1088</v>
      </c>
      <c r="I228" s="9"/>
      <c r="J228" s="8"/>
      <c r="K228" s="47">
        <f>K227+Table234535612[[#This Row],[AMOUNT]]-Table234535612[[#This Row],[AMOUNT2]]-Table234535612[[#This Row],[AMOUNT3]]</f>
        <v>-13713</v>
      </c>
      <c r="L228" s="94"/>
    </row>
    <row r="229" spans="1:12" x14ac:dyDescent="0.35">
      <c r="A229" s="29">
        <v>46221</v>
      </c>
      <c r="B229" s="7"/>
      <c r="C229" s="8"/>
      <c r="D229" s="7" t="s">
        <v>48</v>
      </c>
      <c r="E229" s="7" t="s">
        <v>24</v>
      </c>
      <c r="F229" s="7" t="s">
        <v>874</v>
      </c>
      <c r="G229" s="13">
        <v>17500</v>
      </c>
      <c r="H229" s="13">
        <v>1089</v>
      </c>
      <c r="I229" s="9"/>
      <c r="J229" s="8"/>
      <c r="K229" s="47">
        <f>K228+Table234535612[[#This Row],[AMOUNT]]-Table234535612[[#This Row],[AMOUNT2]]-Table234535612[[#This Row],[AMOUNT3]]</f>
        <v>-31213</v>
      </c>
      <c r="L229" s="94"/>
    </row>
    <row r="230" spans="1:12" x14ac:dyDescent="0.35">
      <c r="A230" s="29">
        <v>46223</v>
      </c>
      <c r="B230" s="7" t="s">
        <v>63</v>
      </c>
      <c r="C230" s="8">
        <v>200000</v>
      </c>
      <c r="D230" s="7" t="s">
        <v>48</v>
      </c>
      <c r="E230" s="7" t="s">
        <v>0</v>
      </c>
      <c r="F230" s="7" t="s">
        <v>875</v>
      </c>
      <c r="G230" s="13">
        <v>700</v>
      </c>
      <c r="H230" s="13">
        <v>1090</v>
      </c>
      <c r="I230" s="9"/>
      <c r="J230" s="8"/>
      <c r="K230" s="47">
        <f>K229+Table234535612[[#This Row],[AMOUNT]]-Table234535612[[#This Row],[AMOUNT2]]-Table234535612[[#This Row],[AMOUNT3]]</f>
        <v>168087</v>
      </c>
      <c r="L230" s="94"/>
    </row>
    <row r="231" spans="1:12" x14ac:dyDescent="0.35">
      <c r="A231" s="29">
        <v>46223</v>
      </c>
      <c r="B231" s="7"/>
      <c r="C231" s="8"/>
      <c r="D231" s="7" t="s">
        <v>48</v>
      </c>
      <c r="E231" s="7" t="s">
        <v>706</v>
      </c>
      <c r="F231" s="9" t="s">
        <v>876</v>
      </c>
      <c r="G231" s="13">
        <v>29125</v>
      </c>
      <c r="H231" s="13">
        <v>1091</v>
      </c>
      <c r="I231" s="9"/>
      <c r="J231" s="8"/>
      <c r="K231" s="47">
        <f>K230+Table234535612[[#This Row],[AMOUNT]]-Table234535612[[#This Row],[AMOUNT2]]-Table234535612[[#This Row],[AMOUNT3]]</f>
        <v>138962</v>
      </c>
      <c r="L231" s="94"/>
    </row>
    <row r="232" spans="1:12" x14ac:dyDescent="0.35">
      <c r="A232" s="29">
        <v>46223</v>
      </c>
      <c r="B232" s="7"/>
      <c r="C232" s="8"/>
      <c r="D232" s="7" t="s">
        <v>48</v>
      </c>
      <c r="E232" s="7" t="s">
        <v>706</v>
      </c>
      <c r="F232" s="9" t="s">
        <v>877</v>
      </c>
      <c r="G232" s="13">
        <v>6000</v>
      </c>
      <c r="H232" s="13">
        <v>1092</v>
      </c>
      <c r="I232" s="9"/>
      <c r="J232" s="8"/>
      <c r="K232" s="47">
        <f>K231+Table234535612[[#This Row],[AMOUNT]]-Table234535612[[#This Row],[AMOUNT2]]-Table234535612[[#This Row],[AMOUNT3]]</f>
        <v>132962</v>
      </c>
      <c r="L232" s="94"/>
    </row>
    <row r="233" spans="1:12" x14ac:dyDescent="0.35">
      <c r="A233" s="29">
        <v>46223</v>
      </c>
      <c r="B233" s="7"/>
      <c r="C233" s="8"/>
      <c r="D233" s="7" t="s">
        <v>48</v>
      </c>
      <c r="E233" s="7" t="s">
        <v>20</v>
      </c>
      <c r="F233" s="9" t="s">
        <v>878</v>
      </c>
      <c r="G233" s="13">
        <v>3400</v>
      </c>
      <c r="H233" s="13">
        <v>1093</v>
      </c>
      <c r="I233" s="9"/>
      <c r="J233" s="8"/>
      <c r="K233" s="47">
        <f>K232+Table234535612[[#This Row],[AMOUNT]]-Table234535612[[#This Row],[AMOUNT2]]-Table234535612[[#This Row],[AMOUNT3]]</f>
        <v>129562</v>
      </c>
      <c r="L233" s="94"/>
    </row>
    <row r="234" spans="1:12" x14ac:dyDescent="0.35">
      <c r="A234" s="29">
        <v>46223</v>
      </c>
      <c r="B234" s="7"/>
      <c r="C234" s="8"/>
      <c r="D234" s="7" t="s">
        <v>48</v>
      </c>
      <c r="E234" s="9" t="s">
        <v>672</v>
      </c>
      <c r="F234" s="9" t="s">
        <v>879</v>
      </c>
      <c r="G234" s="13">
        <v>480</v>
      </c>
      <c r="H234" s="13">
        <v>1093</v>
      </c>
      <c r="I234" s="9"/>
      <c r="J234" s="8"/>
      <c r="K234" s="47">
        <f>K233+Table234535612[[#This Row],[AMOUNT]]-Table234535612[[#This Row],[AMOUNT2]]-Table234535612[[#This Row],[AMOUNT3]]</f>
        <v>129082</v>
      </c>
      <c r="L234" s="94"/>
    </row>
    <row r="235" spans="1:12" x14ac:dyDescent="0.35">
      <c r="A235" s="29">
        <v>46224</v>
      </c>
      <c r="B235" s="7"/>
      <c r="C235" s="8"/>
      <c r="D235" s="7" t="s">
        <v>48</v>
      </c>
      <c r="E235" s="7" t="s">
        <v>682</v>
      </c>
      <c r="F235" s="9" t="s">
        <v>909</v>
      </c>
      <c r="G235" s="13">
        <v>1800</v>
      </c>
      <c r="H235" s="13">
        <v>1094</v>
      </c>
      <c r="I235" s="9"/>
      <c r="J235" s="8"/>
      <c r="K235" s="47">
        <f>K234+Table234535612[[#This Row],[AMOUNT]]-Table234535612[[#This Row],[AMOUNT2]]-Table234535612[[#This Row],[AMOUNT3]]</f>
        <v>127282</v>
      </c>
      <c r="L235" s="94"/>
    </row>
    <row r="236" spans="1:12" x14ac:dyDescent="0.35">
      <c r="A236" s="29">
        <v>46224</v>
      </c>
      <c r="B236" s="7"/>
      <c r="C236" s="8"/>
      <c r="D236" s="7" t="s">
        <v>48</v>
      </c>
      <c r="E236" s="7" t="s">
        <v>854</v>
      </c>
      <c r="F236" s="9" t="s">
        <v>910</v>
      </c>
      <c r="G236" s="13">
        <v>14000</v>
      </c>
      <c r="H236" s="13">
        <v>1095</v>
      </c>
      <c r="I236" s="9"/>
      <c r="J236" s="8"/>
      <c r="K236" s="47">
        <f>K235+Table234535612[[#This Row],[AMOUNT]]-Table234535612[[#This Row],[AMOUNT2]]-Table234535612[[#This Row],[AMOUNT3]]</f>
        <v>113282</v>
      </c>
      <c r="L236" s="94"/>
    </row>
    <row r="237" spans="1:12" x14ac:dyDescent="0.35">
      <c r="A237" s="29">
        <v>46224</v>
      </c>
      <c r="B237" s="7"/>
      <c r="C237" s="8"/>
      <c r="D237" s="7" t="s">
        <v>48</v>
      </c>
      <c r="E237" s="7" t="s">
        <v>705</v>
      </c>
      <c r="F237" s="9" t="s">
        <v>911</v>
      </c>
      <c r="G237" s="13">
        <v>4500</v>
      </c>
      <c r="H237" s="13"/>
      <c r="I237" s="9"/>
      <c r="J237" s="8"/>
      <c r="K237" s="47">
        <f>K236+Table234535612[[#This Row],[AMOUNT]]-Table234535612[[#This Row],[AMOUNT2]]-Table234535612[[#This Row],[AMOUNT3]]</f>
        <v>108782</v>
      </c>
      <c r="L237" s="94"/>
    </row>
    <row r="238" spans="1:12" x14ac:dyDescent="0.35">
      <c r="A238" s="29">
        <v>46226</v>
      </c>
      <c r="B238" s="7"/>
      <c r="C238" s="8"/>
      <c r="D238" s="7" t="s">
        <v>48</v>
      </c>
      <c r="E238" s="7" t="s">
        <v>682</v>
      </c>
      <c r="F238" s="9" t="s">
        <v>935</v>
      </c>
      <c r="G238" s="13">
        <v>1800</v>
      </c>
      <c r="H238" s="13">
        <v>1096</v>
      </c>
      <c r="I238" s="9"/>
      <c r="J238" s="8"/>
      <c r="K238" s="47">
        <f>K237+Table234535612[[#This Row],[AMOUNT]]-Table234535612[[#This Row],[AMOUNT2]]-Table234535612[[#This Row],[AMOUNT3]]</f>
        <v>106982</v>
      </c>
      <c r="L238" s="94"/>
    </row>
    <row r="239" spans="1:12" x14ac:dyDescent="0.35">
      <c r="A239" s="29">
        <v>46227</v>
      </c>
      <c r="B239" s="7"/>
      <c r="C239" s="8"/>
      <c r="D239" s="7" t="s">
        <v>48</v>
      </c>
      <c r="E239" s="7" t="s">
        <v>682</v>
      </c>
      <c r="F239" s="9" t="s">
        <v>912</v>
      </c>
      <c r="G239" s="13">
        <v>4500</v>
      </c>
      <c r="H239" s="13">
        <v>1097</v>
      </c>
      <c r="I239" s="9"/>
      <c r="J239" s="8"/>
      <c r="K239" s="47">
        <f>K238+Table234535612[[#This Row],[AMOUNT]]-Table234535612[[#This Row],[AMOUNT2]]-Table234535612[[#This Row],[AMOUNT3]]</f>
        <v>102482</v>
      </c>
      <c r="L239" s="94"/>
    </row>
    <row r="240" spans="1:12" x14ac:dyDescent="0.35">
      <c r="A240" s="29" t="s">
        <v>949</v>
      </c>
      <c r="B240" s="7"/>
      <c r="C240" s="8"/>
      <c r="D240" s="7" t="s">
        <v>48</v>
      </c>
      <c r="E240" s="7" t="s">
        <v>950</v>
      </c>
      <c r="F240" s="9" t="s">
        <v>951</v>
      </c>
      <c r="G240" s="13">
        <v>12000</v>
      </c>
      <c r="H240" s="13">
        <v>1098</v>
      </c>
      <c r="I240" s="9"/>
      <c r="J240" s="8"/>
      <c r="K240" s="47">
        <f>K239+Table234535612[[#This Row],[AMOUNT]]-Table234535612[[#This Row],[AMOUNT2]]-Table234535612[[#This Row],[AMOUNT3]]</f>
        <v>90482</v>
      </c>
      <c r="L240" s="94"/>
    </row>
    <row r="241" spans="1:12" x14ac:dyDescent="0.35">
      <c r="A241" s="29" t="s">
        <v>949</v>
      </c>
      <c r="B241" s="7"/>
      <c r="C241" s="8"/>
      <c r="D241" s="7" t="s">
        <v>48</v>
      </c>
      <c r="E241" s="7" t="s">
        <v>708</v>
      </c>
      <c r="F241" s="9" t="s">
        <v>952</v>
      </c>
      <c r="G241" s="13">
        <v>12000</v>
      </c>
      <c r="H241" s="13">
        <v>1099</v>
      </c>
      <c r="I241" s="9"/>
      <c r="J241" s="8"/>
      <c r="K241" s="47">
        <f>K240+Table234535612[[#This Row],[AMOUNT]]-Table234535612[[#This Row],[AMOUNT2]]-Table234535612[[#This Row],[AMOUNT3]]</f>
        <v>78482</v>
      </c>
      <c r="L241" s="94"/>
    </row>
    <row r="242" spans="1:12" x14ac:dyDescent="0.35">
      <c r="A242" s="29" t="s">
        <v>1017</v>
      </c>
      <c r="B242" s="7"/>
      <c r="C242" s="8"/>
      <c r="D242" s="7" t="s">
        <v>48</v>
      </c>
      <c r="E242" s="7" t="s">
        <v>20</v>
      </c>
      <c r="F242" s="9" t="s">
        <v>1018</v>
      </c>
      <c r="G242" s="13">
        <v>7800</v>
      </c>
      <c r="H242" s="13">
        <v>1100</v>
      </c>
      <c r="I242" s="9"/>
      <c r="J242" s="8"/>
      <c r="K242" s="47">
        <f>K241+Table234535612[[#This Row],[AMOUNT]]-Table234535612[[#This Row],[AMOUNT2]]-Table234535612[[#This Row],[AMOUNT3]]</f>
        <v>70682</v>
      </c>
      <c r="L242" s="94"/>
    </row>
    <row r="243" spans="1:12" x14ac:dyDescent="0.35">
      <c r="A243" s="29" t="s">
        <v>1017</v>
      </c>
      <c r="B243" s="7"/>
      <c r="C243" s="8"/>
      <c r="D243" s="7" t="s">
        <v>48</v>
      </c>
      <c r="E243" s="7" t="s">
        <v>682</v>
      </c>
      <c r="F243" s="9" t="s">
        <v>1019</v>
      </c>
      <c r="G243" s="13">
        <v>1200</v>
      </c>
      <c r="H243" s="13">
        <v>901</v>
      </c>
      <c r="I243" s="9"/>
      <c r="J243" s="8"/>
      <c r="K243" s="47">
        <f>K242+Table234535612[[#This Row],[AMOUNT]]-Table234535612[[#This Row],[AMOUNT2]]-Table234535612[[#This Row],[AMOUNT3]]</f>
        <v>69482</v>
      </c>
      <c r="L243" s="94"/>
    </row>
    <row r="244" spans="1:12" x14ac:dyDescent="0.35">
      <c r="A244" s="29" t="s">
        <v>1020</v>
      </c>
      <c r="B244" s="7"/>
      <c r="C244" s="8"/>
      <c r="D244" s="7" t="s">
        <v>48</v>
      </c>
      <c r="E244" s="7" t="s">
        <v>682</v>
      </c>
      <c r="F244" s="7" t="s">
        <v>1021</v>
      </c>
      <c r="G244" s="13">
        <v>2000</v>
      </c>
      <c r="H244" s="13">
        <v>904</v>
      </c>
      <c r="I244" s="9">
        <v>0.1</v>
      </c>
      <c r="J244" s="8"/>
      <c r="K244" s="47">
        <f>K243+Table234535612[[#This Row],[AMOUNT]]-Table234535612[[#This Row],[AMOUNT2]]-Table234535612[[#This Row],[AMOUNT3]]</f>
        <v>67482</v>
      </c>
      <c r="L244" s="94"/>
    </row>
    <row r="245" spans="1:12" x14ac:dyDescent="0.35">
      <c r="A245" s="29" t="s">
        <v>1020</v>
      </c>
      <c r="B245" s="7"/>
      <c r="C245" s="8"/>
      <c r="D245" s="7" t="s">
        <v>48</v>
      </c>
      <c r="E245" s="7" t="s">
        <v>682</v>
      </c>
      <c r="F245" s="7" t="s">
        <v>1021</v>
      </c>
      <c r="G245" s="13">
        <v>2000</v>
      </c>
      <c r="H245" s="13">
        <v>904</v>
      </c>
      <c r="I245" s="9"/>
      <c r="J245" s="8"/>
      <c r="K245" s="47">
        <f>K244+Table234535612[[#This Row],[AMOUNT]]-Table234535612[[#This Row],[AMOUNT2]]-Table234535612[[#This Row],[AMOUNT3]]</f>
        <v>65482</v>
      </c>
      <c r="L245" s="95"/>
    </row>
    <row r="246" spans="1:12" x14ac:dyDescent="0.35">
      <c r="A246" s="29" t="s">
        <v>1020</v>
      </c>
      <c r="B246" s="7"/>
      <c r="C246" s="8"/>
      <c r="D246" s="7" t="s">
        <v>48</v>
      </c>
      <c r="E246" s="7" t="s">
        <v>682</v>
      </c>
      <c r="F246" s="7" t="s">
        <v>1021</v>
      </c>
      <c r="G246" s="13">
        <v>1500</v>
      </c>
      <c r="H246" s="13">
        <v>904</v>
      </c>
      <c r="I246" s="9"/>
      <c r="J246" s="8"/>
      <c r="K246" s="47">
        <f>K245+Table234535612[[#This Row],[AMOUNT]]-Table234535612[[#This Row],[AMOUNT2]]-Table234535612[[#This Row],[AMOUNT3]]</f>
        <v>63982</v>
      </c>
      <c r="L246" s="94"/>
    </row>
    <row r="247" spans="1:12" x14ac:dyDescent="0.35">
      <c r="A247" s="29" t="s">
        <v>1020</v>
      </c>
      <c r="B247" s="7"/>
      <c r="C247" s="8"/>
      <c r="D247" s="7" t="s">
        <v>48</v>
      </c>
      <c r="E247" s="7" t="s">
        <v>20</v>
      </c>
      <c r="F247" s="9" t="s">
        <v>1022</v>
      </c>
      <c r="G247" s="13">
        <v>6500</v>
      </c>
      <c r="H247" s="13"/>
      <c r="I247" s="9"/>
      <c r="J247" s="8"/>
      <c r="K247" s="47">
        <f>K246+Table234535612[[#This Row],[AMOUNT]]-Table234535612[[#This Row],[AMOUNT2]]-Table234535612[[#This Row],[AMOUNT3]]</f>
        <v>57482</v>
      </c>
      <c r="L247" s="94"/>
    </row>
    <row r="248" spans="1:12" x14ac:dyDescent="0.35">
      <c r="A248" s="29" t="s">
        <v>1020</v>
      </c>
      <c r="B248" s="7"/>
      <c r="C248" s="8"/>
      <c r="D248" s="7" t="s">
        <v>48</v>
      </c>
      <c r="E248" s="9" t="s">
        <v>672</v>
      </c>
      <c r="F248" s="9" t="s">
        <v>955</v>
      </c>
      <c r="G248" s="13">
        <v>1250</v>
      </c>
      <c r="H248" s="13">
        <v>902</v>
      </c>
      <c r="I248" s="9"/>
      <c r="J248" s="8"/>
      <c r="K248" s="47">
        <f>K247+Table234535612[[#This Row],[AMOUNT]]-Table234535612[[#This Row],[AMOUNT2]]-Table234535612[[#This Row],[AMOUNT3]]</f>
        <v>56232</v>
      </c>
      <c r="L248" s="94"/>
    </row>
    <row r="249" spans="1:12" x14ac:dyDescent="0.35">
      <c r="A249" s="29" t="s">
        <v>1020</v>
      </c>
      <c r="B249" s="7"/>
      <c r="C249" s="8"/>
      <c r="D249" s="7" t="s">
        <v>48</v>
      </c>
      <c r="E249" s="7" t="s">
        <v>17</v>
      </c>
      <c r="F249" s="9" t="s">
        <v>1023</v>
      </c>
      <c r="G249" s="13">
        <v>1050</v>
      </c>
      <c r="H249" s="13">
        <v>902</v>
      </c>
      <c r="I249" s="9"/>
      <c r="J249" s="8"/>
      <c r="K249" s="47">
        <f>K248+Table234535612[[#This Row],[AMOUNT]]-Table234535612[[#This Row],[AMOUNT2]]-Table234535612[[#This Row],[AMOUNT3]]</f>
        <v>55182</v>
      </c>
      <c r="L249" s="94"/>
    </row>
    <row r="250" spans="1:12" x14ac:dyDescent="0.35">
      <c r="A250" s="29" t="s">
        <v>1020</v>
      </c>
      <c r="B250" s="7"/>
      <c r="C250" s="8"/>
      <c r="D250" s="7" t="s">
        <v>48</v>
      </c>
      <c r="E250" s="7" t="s">
        <v>0</v>
      </c>
      <c r="F250" s="9" t="s">
        <v>1024</v>
      </c>
      <c r="G250" s="13">
        <v>600</v>
      </c>
      <c r="H250" s="13">
        <v>902</v>
      </c>
      <c r="I250" s="9"/>
      <c r="J250" s="8"/>
      <c r="K250" s="47">
        <f>K249+Table234535612[[#This Row],[AMOUNT]]-Table234535612[[#This Row],[AMOUNT2]]-Table234535612[[#This Row],[AMOUNT3]]</f>
        <v>54582</v>
      </c>
      <c r="L250" s="94"/>
    </row>
    <row r="251" spans="1:12" x14ac:dyDescent="0.35">
      <c r="A251" s="29" t="s">
        <v>1025</v>
      </c>
      <c r="B251" s="7"/>
      <c r="C251" s="8"/>
      <c r="D251" s="7" t="s">
        <v>48</v>
      </c>
      <c r="E251" s="7" t="s">
        <v>1026</v>
      </c>
      <c r="F251" s="9" t="s">
        <v>1028</v>
      </c>
      <c r="G251" s="13">
        <v>52290</v>
      </c>
      <c r="H251" s="13">
        <v>905</v>
      </c>
      <c r="I251" s="9"/>
      <c r="J251" s="8"/>
      <c r="K251" s="47">
        <f>K250+Table234535612[[#This Row],[AMOUNT]]-Table234535612[[#This Row],[AMOUNT2]]-Table234535612[[#This Row],[AMOUNT3]]</f>
        <v>2292</v>
      </c>
      <c r="L251" s="94"/>
    </row>
    <row r="252" spans="1:12" x14ac:dyDescent="0.35">
      <c r="A252" s="29" t="s">
        <v>1025</v>
      </c>
      <c r="B252" s="7"/>
      <c r="C252" s="8"/>
      <c r="D252" s="7" t="s">
        <v>48</v>
      </c>
      <c r="E252" s="7" t="s">
        <v>1026</v>
      </c>
      <c r="F252" s="9" t="s">
        <v>1027</v>
      </c>
      <c r="G252" s="13">
        <v>19800</v>
      </c>
      <c r="H252" s="13">
        <v>905</v>
      </c>
      <c r="I252" s="9"/>
      <c r="J252" s="8"/>
      <c r="K252" s="47">
        <f>K251+Table234535612[[#This Row],[AMOUNT]]-Table234535612[[#This Row],[AMOUNT2]]-Table234535612[[#This Row],[AMOUNT3]]</f>
        <v>-17508</v>
      </c>
      <c r="L252" s="94"/>
    </row>
    <row r="253" spans="1:12" x14ac:dyDescent="0.35">
      <c r="A253" s="29" t="s">
        <v>1025</v>
      </c>
      <c r="B253" s="7"/>
      <c r="C253" s="8"/>
      <c r="D253" s="7" t="s">
        <v>48</v>
      </c>
      <c r="E253" s="7" t="s">
        <v>312</v>
      </c>
      <c r="F253" s="9" t="s">
        <v>1029</v>
      </c>
      <c r="G253" s="13">
        <v>8066</v>
      </c>
      <c r="H253" s="13">
        <v>906</v>
      </c>
      <c r="I253" s="9"/>
      <c r="J253" s="8"/>
      <c r="K253" s="47">
        <f>K252+Table234535612[[#This Row],[AMOUNT]]-Table234535612[[#This Row],[AMOUNT2]]-Table234535612[[#This Row],[AMOUNT3]]</f>
        <v>-25574</v>
      </c>
      <c r="L253" s="94"/>
    </row>
    <row r="254" spans="1:12" x14ac:dyDescent="0.35">
      <c r="A254" s="29" t="s">
        <v>1030</v>
      </c>
      <c r="B254" s="7"/>
      <c r="C254" s="8"/>
      <c r="D254" s="7" t="s">
        <v>48</v>
      </c>
      <c r="E254" s="7" t="s">
        <v>1031</v>
      </c>
      <c r="F254" s="9" t="s">
        <v>1032</v>
      </c>
      <c r="G254" s="13">
        <v>8116</v>
      </c>
      <c r="H254" s="13">
        <v>907</v>
      </c>
      <c r="I254" s="9"/>
      <c r="J254" s="8"/>
      <c r="K254" s="47">
        <f>K253+Table234535612[[#This Row],[AMOUNT]]-Table234535612[[#This Row],[AMOUNT2]]-Table234535612[[#This Row],[AMOUNT3]]</f>
        <v>-33690</v>
      </c>
      <c r="L254" s="94"/>
    </row>
    <row r="255" spans="1:12" x14ac:dyDescent="0.35">
      <c r="A255" s="29" t="s">
        <v>1030</v>
      </c>
      <c r="B255" s="7"/>
      <c r="C255" s="8"/>
      <c r="D255" s="7" t="s">
        <v>48</v>
      </c>
      <c r="E255" s="7" t="s">
        <v>1031</v>
      </c>
      <c r="F255" s="9" t="s">
        <v>1033</v>
      </c>
      <c r="G255" s="13">
        <v>10000</v>
      </c>
      <c r="H255" s="13">
        <v>908</v>
      </c>
      <c r="I255" s="9"/>
      <c r="J255" s="8"/>
      <c r="K255" s="47">
        <f>K254+Table234535612[[#This Row],[AMOUNT]]-Table234535612[[#This Row],[AMOUNT2]]-Table234535612[[#This Row],[AMOUNT3]]</f>
        <v>-43690</v>
      </c>
      <c r="L255" s="94"/>
    </row>
    <row r="256" spans="1:12" x14ac:dyDescent="0.35">
      <c r="A256" s="29" t="s">
        <v>1030</v>
      </c>
      <c r="B256" s="7"/>
      <c r="C256" s="8"/>
      <c r="D256" s="7" t="s">
        <v>48</v>
      </c>
      <c r="E256" s="7" t="s">
        <v>312</v>
      </c>
      <c r="F256" s="9" t="s">
        <v>1034</v>
      </c>
      <c r="G256" s="13">
        <v>11225</v>
      </c>
      <c r="H256" s="13">
        <v>909</v>
      </c>
      <c r="I256" s="9"/>
      <c r="J256" s="8"/>
      <c r="K256" s="47">
        <f>K255+Table234535612[[#This Row],[AMOUNT]]-Table234535612[[#This Row],[AMOUNT2]]-Table234535612[[#This Row],[AMOUNT3]]</f>
        <v>-54915</v>
      </c>
      <c r="L256" s="94"/>
    </row>
    <row r="257" spans="1:14" x14ac:dyDescent="0.35">
      <c r="A257" s="29" t="s">
        <v>1080</v>
      </c>
      <c r="B257" s="7"/>
      <c r="C257" s="8"/>
      <c r="D257" s="7" t="s">
        <v>48</v>
      </c>
      <c r="E257" s="7" t="s">
        <v>682</v>
      </c>
      <c r="F257" s="9" t="s">
        <v>1127</v>
      </c>
      <c r="G257" s="13">
        <v>5000</v>
      </c>
      <c r="H257" s="13">
        <v>910</v>
      </c>
      <c r="I257" s="9"/>
      <c r="J257" s="8"/>
      <c r="K257" s="47">
        <f>K256+Table234535612[[#This Row],[AMOUNT]]-Table234535612[[#This Row],[AMOUNT2]]-Table234535612[[#This Row],[AMOUNT3]]</f>
        <v>-59915</v>
      </c>
      <c r="L257" s="94"/>
    </row>
    <row r="258" spans="1:14" x14ac:dyDescent="0.35">
      <c r="A258" s="29" t="s">
        <v>1080</v>
      </c>
      <c r="B258" s="7"/>
      <c r="C258" s="8"/>
      <c r="D258" s="7" t="s">
        <v>48</v>
      </c>
      <c r="E258" s="7" t="s">
        <v>682</v>
      </c>
      <c r="F258" s="9" t="s">
        <v>1127</v>
      </c>
      <c r="G258" s="13">
        <v>5000</v>
      </c>
      <c r="H258" s="13">
        <v>910</v>
      </c>
      <c r="I258" s="9"/>
      <c r="J258" s="8"/>
      <c r="K258" s="47">
        <f>K257+Table234535612[[#This Row],[AMOUNT]]-Table234535612[[#This Row],[AMOUNT2]]-Table234535612[[#This Row],[AMOUNT3]]</f>
        <v>-64915</v>
      </c>
      <c r="L258" s="94"/>
    </row>
    <row r="259" spans="1:14" x14ac:dyDescent="0.35">
      <c r="A259" s="29" t="s">
        <v>1082</v>
      </c>
      <c r="B259" s="7"/>
      <c r="C259" s="8"/>
      <c r="D259" s="7" t="s">
        <v>48</v>
      </c>
      <c r="E259" s="7" t="s">
        <v>682</v>
      </c>
      <c r="F259" s="9" t="s">
        <v>1127</v>
      </c>
      <c r="G259" s="13">
        <v>5000</v>
      </c>
      <c r="H259" s="13">
        <v>911</v>
      </c>
      <c r="I259" s="9"/>
      <c r="J259" s="8"/>
      <c r="K259" s="47">
        <f>K258+Table234535612[[#This Row],[AMOUNT]]-Table234535612[[#This Row],[AMOUNT2]]-Table234535612[[#This Row],[AMOUNT3]]</f>
        <v>-69915</v>
      </c>
      <c r="L259" s="94"/>
    </row>
    <row r="260" spans="1:14" x14ac:dyDescent="0.35">
      <c r="A260" s="29" t="s">
        <v>1082</v>
      </c>
      <c r="B260" s="7"/>
      <c r="C260" s="8"/>
      <c r="D260" s="7" t="s">
        <v>48</v>
      </c>
      <c r="E260" s="7" t="s">
        <v>682</v>
      </c>
      <c r="F260" s="9" t="s">
        <v>1128</v>
      </c>
      <c r="G260" s="13">
        <v>5000</v>
      </c>
      <c r="H260" s="13">
        <v>911</v>
      </c>
      <c r="I260" s="9"/>
      <c r="J260" s="8"/>
      <c r="K260" s="47">
        <f>K259+Table234535612[[#This Row],[AMOUNT]]-Table234535612[[#This Row],[AMOUNT2]]-Table234535612[[#This Row],[AMOUNT3]]</f>
        <v>-74915</v>
      </c>
      <c r="L260" s="94"/>
    </row>
    <row r="261" spans="1:14" x14ac:dyDescent="0.35">
      <c r="A261" s="29" t="s">
        <v>1089</v>
      </c>
      <c r="B261" s="7"/>
      <c r="C261" s="8"/>
      <c r="D261" s="7" t="s">
        <v>48</v>
      </c>
      <c r="E261" s="9" t="s">
        <v>672</v>
      </c>
      <c r="F261" s="9" t="s">
        <v>1129</v>
      </c>
      <c r="G261" s="13">
        <v>1100</v>
      </c>
      <c r="H261" s="13">
        <v>912</v>
      </c>
      <c r="I261" s="9"/>
      <c r="J261" s="8"/>
      <c r="K261" s="47">
        <f>K260+Table234535612[[#This Row],[AMOUNT]]-Table234535612[[#This Row],[AMOUNT2]]-Table234535612[[#This Row],[AMOUNT3]]</f>
        <v>-76015</v>
      </c>
      <c r="L261" s="94"/>
    </row>
    <row r="262" spans="1:14" x14ac:dyDescent="0.35">
      <c r="A262" s="29" t="s">
        <v>1089</v>
      </c>
      <c r="B262" s="7"/>
      <c r="C262" s="8"/>
      <c r="D262" s="7" t="s">
        <v>48</v>
      </c>
      <c r="E262" s="7" t="s">
        <v>17</v>
      </c>
      <c r="F262" s="9" t="s">
        <v>1130</v>
      </c>
      <c r="G262" s="13">
        <v>100</v>
      </c>
      <c r="H262" s="13">
        <v>912</v>
      </c>
      <c r="I262" s="9"/>
      <c r="J262" s="8"/>
      <c r="K262" s="47">
        <f>K261+Table234535612[[#This Row],[AMOUNT]]-Table234535612[[#This Row],[AMOUNT2]]-Table234535612[[#This Row],[AMOUNT3]]</f>
        <v>-76115</v>
      </c>
      <c r="L262" s="94"/>
    </row>
    <row r="263" spans="1:14" x14ac:dyDescent="0.35">
      <c r="A263" s="29" t="s">
        <v>1089</v>
      </c>
      <c r="B263" s="7" t="s">
        <v>63</v>
      </c>
      <c r="C263" s="8">
        <v>200000</v>
      </c>
      <c r="D263" s="7"/>
      <c r="E263" s="7"/>
      <c r="F263" s="9"/>
      <c r="G263" s="13"/>
      <c r="H263" s="13"/>
      <c r="I263" s="9"/>
      <c r="J263" s="8"/>
      <c r="K263" s="47">
        <f>K262+Table234535612[[#This Row],[AMOUNT]]-Table234535612[[#This Row],[AMOUNT2]]-Table234535612[[#This Row],[AMOUNT3]]</f>
        <v>123885</v>
      </c>
      <c r="L263" s="94"/>
    </row>
    <row r="264" spans="1:14" x14ac:dyDescent="0.35">
      <c r="A264" s="29" t="s">
        <v>1090</v>
      </c>
      <c r="B264" s="7"/>
      <c r="C264" s="8"/>
      <c r="D264" s="7" t="s">
        <v>48</v>
      </c>
      <c r="E264" s="7" t="s">
        <v>682</v>
      </c>
      <c r="F264" s="9" t="s">
        <v>1128</v>
      </c>
      <c r="G264" s="13">
        <v>5000</v>
      </c>
      <c r="H264" s="13">
        <v>913</v>
      </c>
      <c r="I264" s="9"/>
      <c r="J264" s="8"/>
      <c r="K264" s="47">
        <f>K263+Table234535612[[#This Row],[AMOUNT]]-Table234535612[[#This Row],[AMOUNT2]]-Table234535612[[#This Row],[AMOUNT3]]</f>
        <v>118885</v>
      </c>
      <c r="L264" s="94"/>
    </row>
    <row r="265" spans="1:14" x14ac:dyDescent="0.35">
      <c r="A265" s="29" t="s">
        <v>1090</v>
      </c>
      <c r="B265" s="7"/>
      <c r="C265" s="8"/>
      <c r="D265" s="7" t="s">
        <v>48</v>
      </c>
      <c r="E265" s="7" t="s">
        <v>312</v>
      </c>
      <c r="F265" s="9" t="s">
        <v>1131</v>
      </c>
      <c r="G265" s="13">
        <v>9032</v>
      </c>
      <c r="H265" s="13">
        <v>914</v>
      </c>
      <c r="I265" s="9"/>
      <c r="J265" s="8"/>
      <c r="K265" s="47">
        <f>K264+Table234535612[[#This Row],[AMOUNT]]-Table234535612[[#This Row],[AMOUNT2]]-Table234535612[[#This Row],[AMOUNT3]]</f>
        <v>109853</v>
      </c>
      <c r="L265" s="94"/>
    </row>
    <row r="266" spans="1:14" x14ac:dyDescent="0.35">
      <c r="A266" s="29" t="s">
        <v>1090</v>
      </c>
      <c r="B266" s="7"/>
      <c r="C266" s="8"/>
      <c r="D266" s="7" t="s">
        <v>48</v>
      </c>
      <c r="E266" s="7" t="s">
        <v>682</v>
      </c>
      <c r="F266" s="9" t="s">
        <v>1132</v>
      </c>
      <c r="G266" s="13">
        <v>5000</v>
      </c>
      <c r="H266" s="13">
        <v>915</v>
      </c>
      <c r="I266" s="9"/>
      <c r="J266" s="8"/>
      <c r="K266" s="47">
        <f>K265+Table234535612[[#This Row],[AMOUNT]]-Table234535612[[#This Row],[AMOUNT2]]-Table234535612[[#This Row],[AMOUNT3]]</f>
        <v>104853</v>
      </c>
      <c r="L266" s="94"/>
    </row>
    <row r="267" spans="1:14" x14ac:dyDescent="0.35">
      <c r="A267" s="29" t="s">
        <v>1092</v>
      </c>
      <c r="B267" s="7"/>
      <c r="C267" s="8"/>
      <c r="D267" s="7" t="s">
        <v>48</v>
      </c>
      <c r="E267" s="7" t="s">
        <v>682</v>
      </c>
      <c r="F267" s="9" t="s">
        <v>1132</v>
      </c>
      <c r="G267" s="13">
        <v>5000</v>
      </c>
      <c r="H267" s="13">
        <v>916</v>
      </c>
      <c r="I267" s="9"/>
      <c r="J267" s="8"/>
      <c r="K267" s="47">
        <f>K266+Table234535612[[#This Row],[AMOUNT]]-Table234535612[[#This Row],[AMOUNT2]]-Table234535612[[#This Row],[AMOUNT3]]</f>
        <v>99853</v>
      </c>
      <c r="L267" s="94"/>
    </row>
    <row r="268" spans="1:14" x14ac:dyDescent="0.35">
      <c r="A268" s="29" t="s">
        <v>1150</v>
      </c>
      <c r="B268" s="7"/>
      <c r="C268" s="8"/>
      <c r="D268" s="7" t="s">
        <v>48</v>
      </c>
      <c r="E268" s="7" t="s">
        <v>854</v>
      </c>
      <c r="F268" s="9" t="s">
        <v>1151</v>
      </c>
      <c r="G268" s="13">
        <v>10000</v>
      </c>
      <c r="H268" s="13">
        <v>917</v>
      </c>
      <c r="I268" s="9"/>
      <c r="J268" s="8"/>
      <c r="K268" s="47">
        <f>K267+Table234535612[[#This Row],[AMOUNT]]-Table234535612[[#This Row],[AMOUNT2]]-Table234535612[[#This Row],[AMOUNT3]]</f>
        <v>89853</v>
      </c>
      <c r="L268" s="94"/>
    </row>
    <row r="269" spans="1:14" x14ac:dyDescent="0.35">
      <c r="A269" s="29" t="s">
        <v>1150</v>
      </c>
      <c r="B269" s="7"/>
      <c r="C269" s="8"/>
      <c r="D269" s="7" t="s">
        <v>48</v>
      </c>
      <c r="E269" s="7" t="s">
        <v>672</v>
      </c>
      <c r="F269" s="9" t="s">
        <v>1152</v>
      </c>
      <c r="G269" s="13">
        <v>1000</v>
      </c>
      <c r="H269" s="13">
        <v>918</v>
      </c>
      <c r="I269" s="9"/>
      <c r="J269" s="8"/>
      <c r="K269" s="47">
        <f>K268+Table234535612[[#This Row],[AMOUNT]]-Table234535612[[#This Row],[AMOUNT2]]-Table234535612[[#This Row],[AMOUNT3]]</f>
        <v>88853</v>
      </c>
      <c r="L269" s="94"/>
      <c r="N269">
        <v>215</v>
      </c>
    </row>
    <row r="270" spans="1:14" x14ac:dyDescent="0.35">
      <c r="A270" s="29" t="s">
        <v>1153</v>
      </c>
      <c r="B270" s="7"/>
      <c r="C270" s="8"/>
      <c r="D270" s="7" t="s">
        <v>48</v>
      </c>
      <c r="E270" s="7" t="s">
        <v>1155</v>
      </c>
      <c r="F270" s="7" t="s">
        <v>1154</v>
      </c>
      <c r="G270" s="13">
        <v>10000</v>
      </c>
      <c r="H270" s="13">
        <v>919</v>
      </c>
      <c r="I270" s="9"/>
      <c r="J270" s="8"/>
      <c r="K270" s="47">
        <f>K269+Table234535612[[#This Row],[AMOUNT]]-Table234535612[[#This Row],[AMOUNT2]]-Table234535612[[#This Row],[AMOUNT3]]</f>
        <v>78853</v>
      </c>
      <c r="L270" s="94"/>
      <c r="N270">
        <v>650</v>
      </c>
    </row>
    <row r="271" spans="1:14" x14ac:dyDescent="0.35">
      <c r="A271" s="29" t="s">
        <v>1153</v>
      </c>
      <c r="B271" s="7"/>
      <c r="C271" s="8"/>
      <c r="D271" s="7" t="s">
        <v>48</v>
      </c>
      <c r="E271" s="7" t="s">
        <v>1155</v>
      </c>
      <c r="F271" s="9" t="s">
        <v>1156</v>
      </c>
      <c r="G271" s="13">
        <v>13500</v>
      </c>
      <c r="H271" s="13">
        <v>920</v>
      </c>
      <c r="I271" s="9"/>
      <c r="J271" s="8"/>
      <c r="K271" s="47">
        <f>K270+Table234535612[[#This Row],[AMOUNT]]-Table234535612[[#This Row],[AMOUNT2]]-Table234535612[[#This Row],[AMOUNT3]]</f>
        <v>65353</v>
      </c>
      <c r="L271" s="94"/>
    </row>
    <row r="272" spans="1:14" x14ac:dyDescent="0.35">
      <c r="A272" s="29" t="s">
        <v>1153</v>
      </c>
      <c r="B272" s="7"/>
      <c r="C272" s="8"/>
      <c r="D272" s="7" t="s">
        <v>48</v>
      </c>
      <c r="E272" s="7" t="s">
        <v>854</v>
      </c>
      <c r="F272" s="9" t="s">
        <v>1151</v>
      </c>
      <c r="G272" s="13">
        <v>10000</v>
      </c>
      <c r="H272" s="13">
        <v>921</v>
      </c>
      <c r="I272" s="9"/>
      <c r="J272" s="8"/>
      <c r="K272" s="47">
        <f>K271+Table234535612[[#This Row],[AMOUNT]]-Table234535612[[#This Row],[AMOUNT2]]-Table234535612[[#This Row],[AMOUNT3]]</f>
        <v>55353</v>
      </c>
      <c r="L272" s="94"/>
    </row>
    <row r="273" spans="1:12" x14ac:dyDescent="0.35">
      <c r="A273" s="29" t="s">
        <v>1153</v>
      </c>
      <c r="B273" s="7"/>
      <c r="C273" s="8"/>
      <c r="D273" s="7" t="s">
        <v>48</v>
      </c>
      <c r="E273" s="7" t="s">
        <v>705</v>
      </c>
      <c r="F273" s="9" t="s">
        <v>1157</v>
      </c>
      <c r="G273" s="13">
        <v>4500</v>
      </c>
      <c r="H273" s="13"/>
      <c r="I273" s="9"/>
      <c r="J273" s="8"/>
      <c r="K273" s="47">
        <f>K272+Table234535612[[#This Row],[AMOUNT]]-Table234535612[[#This Row],[AMOUNT2]]-Table234535612[[#This Row],[AMOUNT3]]</f>
        <v>50853</v>
      </c>
      <c r="L273" s="94"/>
    </row>
    <row r="274" spans="1:12" x14ac:dyDescent="0.35">
      <c r="A274" s="29" t="s">
        <v>1158</v>
      </c>
      <c r="B274" s="7"/>
      <c r="C274" s="8"/>
      <c r="D274" s="7" t="s">
        <v>48</v>
      </c>
      <c r="E274" s="7" t="s">
        <v>950</v>
      </c>
      <c r="F274" s="9" t="s">
        <v>1159</v>
      </c>
      <c r="G274" s="13">
        <v>55300</v>
      </c>
      <c r="H274" s="13">
        <v>922</v>
      </c>
      <c r="I274" s="9"/>
      <c r="J274" s="8"/>
      <c r="K274" s="47">
        <f>K273+Table234535612[[#This Row],[AMOUNT]]-Table234535612[[#This Row],[AMOUNT2]]-Table234535612[[#This Row],[AMOUNT3]]</f>
        <v>-4447</v>
      </c>
      <c r="L274" s="94"/>
    </row>
    <row r="275" spans="1:12" x14ac:dyDescent="0.35">
      <c r="A275" s="29" t="s">
        <v>1160</v>
      </c>
      <c r="B275" s="7"/>
      <c r="C275" s="8"/>
      <c r="D275" s="7" t="s">
        <v>48</v>
      </c>
      <c r="E275" s="7" t="s">
        <v>1155</v>
      </c>
      <c r="F275" s="9" t="s">
        <v>1161</v>
      </c>
      <c r="G275" s="13">
        <v>7700</v>
      </c>
      <c r="H275" s="13">
        <v>923</v>
      </c>
      <c r="I275" s="9"/>
      <c r="J275" s="8"/>
      <c r="K275" s="47">
        <f>K274+Table234535612[[#This Row],[AMOUNT]]-Table234535612[[#This Row],[AMOUNT2]]-Table234535612[[#This Row],[AMOUNT3]]</f>
        <v>-12147</v>
      </c>
      <c r="L275" s="94"/>
    </row>
    <row r="276" spans="1:12" x14ac:dyDescent="0.35">
      <c r="A276" s="29" t="s">
        <v>1160</v>
      </c>
      <c r="B276" s="7" t="s">
        <v>1162</v>
      </c>
      <c r="C276" s="8">
        <v>6100</v>
      </c>
      <c r="D276" s="7"/>
      <c r="E276" s="7"/>
      <c r="F276" s="7"/>
      <c r="G276" s="13"/>
      <c r="H276" s="13"/>
      <c r="I276" s="9"/>
      <c r="J276" s="8"/>
      <c r="K276" s="47">
        <f>K275+Table234535612[[#This Row],[AMOUNT]]-Table234535612[[#This Row],[AMOUNT2]]-Table234535612[[#This Row],[AMOUNT3]]</f>
        <v>-6047</v>
      </c>
      <c r="L276" s="94"/>
    </row>
    <row r="277" spans="1:12" x14ac:dyDescent="0.35">
      <c r="A277" s="29" t="s">
        <v>1168</v>
      </c>
      <c r="B277" s="7" t="s">
        <v>1175</v>
      </c>
      <c r="C277" s="8">
        <v>8000</v>
      </c>
      <c r="D277" s="7"/>
      <c r="E277" s="7"/>
      <c r="F277" s="9"/>
      <c r="G277" s="13"/>
      <c r="H277" s="13"/>
      <c r="I277" s="9"/>
      <c r="J277" s="8"/>
      <c r="K277" s="47">
        <f>K276+Table234535612[[#This Row],[AMOUNT]]-Table234535612[[#This Row],[AMOUNT2]]-Table234535612[[#This Row],[AMOUNT3]]</f>
        <v>1953</v>
      </c>
      <c r="L277" s="94"/>
    </row>
    <row r="278" spans="1:12" x14ac:dyDescent="0.35">
      <c r="A278" s="29" t="s">
        <v>1172</v>
      </c>
      <c r="B278" s="7"/>
      <c r="C278" s="8"/>
      <c r="D278" s="7" t="s">
        <v>48</v>
      </c>
      <c r="E278" s="7" t="s">
        <v>682</v>
      </c>
      <c r="F278" s="9" t="s">
        <v>1132</v>
      </c>
      <c r="G278" s="13">
        <v>5000</v>
      </c>
      <c r="H278" s="13">
        <v>924</v>
      </c>
      <c r="I278" s="9"/>
      <c r="J278" s="8"/>
      <c r="K278" s="47">
        <f>K277+Table234535612[[#This Row],[AMOUNT]]-Table234535612[[#This Row],[AMOUNT2]]-Table234535612[[#This Row],[AMOUNT3]]</f>
        <v>-3047</v>
      </c>
      <c r="L278" s="94"/>
    </row>
    <row r="279" spans="1:12" x14ac:dyDescent="0.35">
      <c r="A279" s="29" t="s">
        <v>1172</v>
      </c>
      <c r="B279" s="7"/>
      <c r="C279" s="8"/>
      <c r="D279" s="7" t="s">
        <v>48</v>
      </c>
      <c r="E279" s="7" t="s">
        <v>682</v>
      </c>
      <c r="F279" s="9" t="s">
        <v>1177</v>
      </c>
      <c r="G279" s="13">
        <v>3800</v>
      </c>
      <c r="H279" s="13">
        <v>925</v>
      </c>
      <c r="I279" s="9"/>
      <c r="J279" s="8"/>
      <c r="K279" s="47">
        <f>K278+Table234535612[[#This Row],[AMOUNT]]-Table234535612[[#This Row],[AMOUNT2]]-Table234535612[[#This Row],[AMOUNT3]]</f>
        <v>-6847</v>
      </c>
      <c r="L279" s="94"/>
    </row>
    <row r="280" spans="1:12" x14ac:dyDescent="0.35">
      <c r="A280" s="29" t="s">
        <v>1217</v>
      </c>
      <c r="B280" s="7"/>
      <c r="C280" s="8"/>
      <c r="D280" s="7" t="s">
        <v>48</v>
      </c>
      <c r="E280" s="7" t="s">
        <v>854</v>
      </c>
      <c r="F280" s="7" t="s">
        <v>1176</v>
      </c>
      <c r="G280" s="13">
        <v>2500</v>
      </c>
      <c r="H280" s="13">
        <v>903</v>
      </c>
      <c r="I280" s="9"/>
      <c r="J280" s="8"/>
      <c r="K280" s="47">
        <f>K279+Table234535612[[#This Row],[AMOUNT]]-Table234535612[[#This Row],[AMOUNT2]]-Table234535612[[#This Row],[AMOUNT3]]</f>
        <v>-9347</v>
      </c>
      <c r="L280" s="94"/>
    </row>
    <row r="281" spans="1:12" x14ac:dyDescent="0.35">
      <c r="A281" s="29" t="s">
        <v>1196</v>
      </c>
      <c r="B281" s="7" t="s">
        <v>63</v>
      </c>
      <c r="C281" s="8">
        <v>200000</v>
      </c>
      <c r="D281" s="7" t="s">
        <v>48</v>
      </c>
      <c r="E281" s="7" t="s">
        <v>682</v>
      </c>
      <c r="F281" s="9" t="s">
        <v>1177</v>
      </c>
      <c r="G281" s="13">
        <v>4000</v>
      </c>
      <c r="H281" s="13">
        <v>926</v>
      </c>
      <c r="I281" s="9"/>
      <c r="J281" s="8"/>
      <c r="K281" s="47">
        <f>K280+Table234535612[[#This Row],[AMOUNT]]-Table234535612[[#This Row],[AMOUNT2]]-Table234535612[[#This Row],[AMOUNT3]]</f>
        <v>186653</v>
      </c>
      <c r="L281" s="94"/>
    </row>
    <row r="282" spans="1:12" x14ac:dyDescent="0.35">
      <c r="A282" s="29" t="s">
        <v>1201</v>
      </c>
      <c r="B282" s="7"/>
      <c r="C282" s="8"/>
      <c r="D282" s="7" t="s">
        <v>48</v>
      </c>
      <c r="E282" s="7" t="s">
        <v>682</v>
      </c>
      <c r="F282" s="9" t="s">
        <v>1218</v>
      </c>
      <c r="G282" s="13">
        <v>2000</v>
      </c>
      <c r="H282" s="13">
        <v>927</v>
      </c>
      <c r="I282" s="9"/>
      <c r="J282" s="8"/>
      <c r="K282" s="47">
        <f>K281+Table234535612[[#This Row],[AMOUNT]]-Table234535612[[#This Row],[AMOUNT2]]-Table234535612[[#This Row],[AMOUNT3]]</f>
        <v>184653</v>
      </c>
      <c r="L282" s="94"/>
    </row>
    <row r="283" spans="1:12" x14ac:dyDescent="0.35">
      <c r="A283" s="29" t="s">
        <v>1242</v>
      </c>
      <c r="B283" s="7"/>
      <c r="C283" s="8"/>
      <c r="D283" s="7" t="s">
        <v>48</v>
      </c>
      <c r="E283" s="7" t="s">
        <v>682</v>
      </c>
      <c r="F283" s="9" t="s">
        <v>1243</v>
      </c>
      <c r="G283" s="13">
        <v>4000</v>
      </c>
      <c r="H283" s="13">
        <v>928</v>
      </c>
      <c r="I283" s="9"/>
      <c r="J283" s="8"/>
      <c r="K283" s="47">
        <f>K282+Table234535612[[#This Row],[AMOUNT]]-Table234535612[[#This Row],[AMOUNT2]]-Table234535612[[#This Row],[AMOUNT3]]</f>
        <v>180653</v>
      </c>
      <c r="L283" s="94"/>
    </row>
    <row r="284" spans="1:12" x14ac:dyDescent="0.35">
      <c r="A284" s="29" t="s">
        <v>1245</v>
      </c>
      <c r="B284" s="7"/>
      <c r="C284" s="8"/>
      <c r="D284" s="7" t="s">
        <v>48</v>
      </c>
      <c r="E284" s="7" t="s">
        <v>17</v>
      </c>
      <c r="F284" s="9" t="s">
        <v>1244</v>
      </c>
      <c r="G284" s="13">
        <v>500</v>
      </c>
      <c r="H284" s="13"/>
      <c r="I284" s="9"/>
      <c r="J284" s="8"/>
      <c r="K284" s="47">
        <f>K283+Table234535612[[#This Row],[AMOUNT]]-Table234535612[[#This Row],[AMOUNT2]]-Table234535612[[#This Row],[AMOUNT3]]</f>
        <v>180153</v>
      </c>
      <c r="L284" s="94"/>
    </row>
    <row r="285" spans="1:12" x14ac:dyDescent="0.35">
      <c r="A285" s="29" t="s">
        <v>1245</v>
      </c>
      <c r="B285" s="7"/>
      <c r="C285" s="8"/>
      <c r="D285" s="7" t="s">
        <v>48</v>
      </c>
      <c r="E285" s="7" t="s">
        <v>682</v>
      </c>
      <c r="F285" s="9" t="s">
        <v>1246</v>
      </c>
      <c r="G285" s="13">
        <v>910</v>
      </c>
      <c r="H285" s="13">
        <v>929</v>
      </c>
      <c r="I285" s="9"/>
      <c r="J285" s="8"/>
      <c r="K285" s="47">
        <f>K284+Table234535612[[#This Row],[AMOUNT]]-Table234535612[[#This Row],[AMOUNT2]]-Table234535612[[#This Row],[AMOUNT3]]</f>
        <v>179243</v>
      </c>
      <c r="L285" s="94"/>
    </row>
    <row r="286" spans="1:12" x14ac:dyDescent="0.35">
      <c r="A286" s="29" t="s">
        <v>1245</v>
      </c>
      <c r="B286" s="7"/>
      <c r="C286" s="8"/>
      <c r="D286" s="7" t="s">
        <v>48</v>
      </c>
      <c r="E286" s="7" t="s">
        <v>1248</v>
      </c>
      <c r="F286" s="9" t="s">
        <v>1247</v>
      </c>
      <c r="G286" s="13">
        <f>865+170</f>
        <v>1035</v>
      </c>
      <c r="H286" s="13">
        <v>930</v>
      </c>
      <c r="I286" s="9"/>
      <c r="J286" s="8"/>
      <c r="K286" s="47">
        <f>K285+Table234535612[[#This Row],[AMOUNT]]-Table234535612[[#This Row],[AMOUNT2]]-Table234535612[[#This Row],[AMOUNT3]]</f>
        <v>178208</v>
      </c>
      <c r="L286" s="94"/>
    </row>
    <row r="287" spans="1:12" x14ac:dyDescent="0.35">
      <c r="A287" s="29" t="s">
        <v>1245</v>
      </c>
      <c r="B287" s="7"/>
      <c r="C287" s="8"/>
      <c r="D287" s="7" t="s">
        <v>48</v>
      </c>
      <c r="E287" s="7" t="s">
        <v>710</v>
      </c>
      <c r="F287" s="9" t="s">
        <v>1249</v>
      </c>
      <c r="G287" s="13">
        <v>560</v>
      </c>
      <c r="H287" s="13">
        <v>930</v>
      </c>
      <c r="I287" s="9"/>
      <c r="J287" s="8"/>
      <c r="K287" s="47">
        <f>K286+Table234535612[[#This Row],[AMOUNT]]-Table234535612[[#This Row],[AMOUNT2]]-Table234535612[[#This Row],[AMOUNT3]]</f>
        <v>177648</v>
      </c>
      <c r="L287" s="94"/>
    </row>
    <row r="288" spans="1:12" x14ac:dyDescent="0.35">
      <c r="A288" s="29" t="s">
        <v>1245</v>
      </c>
      <c r="B288" s="7"/>
      <c r="C288" s="8"/>
      <c r="D288" s="7" t="s">
        <v>48</v>
      </c>
      <c r="E288" s="7" t="s">
        <v>1251</v>
      </c>
      <c r="F288" s="9" t="s">
        <v>1250</v>
      </c>
      <c r="G288" s="13">
        <v>280</v>
      </c>
      <c r="H288" s="13">
        <v>930</v>
      </c>
      <c r="I288" s="9"/>
      <c r="J288" s="8"/>
      <c r="K288" s="47">
        <f>K287+Table234535612[[#This Row],[AMOUNT]]-Table234535612[[#This Row],[AMOUNT2]]-Table234535612[[#This Row],[AMOUNT3]]</f>
        <v>177368</v>
      </c>
      <c r="L288" s="94"/>
    </row>
    <row r="289" spans="1:12" x14ac:dyDescent="0.35">
      <c r="A289" s="29" t="s">
        <v>1245</v>
      </c>
      <c r="B289" s="7"/>
      <c r="C289" s="8"/>
      <c r="D289" s="7" t="s">
        <v>48</v>
      </c>
      <c r="E289" s="7" t="s">
        <v>862</v>
      </c>
      <c r="F289" s="9" t="s">
        <v>1252</v>
      </c>
      <c r="G289" s="13">
        <v>2020</v>
      </c>
      <c r="H289" s="13">
        <v>930</v>
      </c>
      <c r="I289" s="9"/>
      <c r="J289" s="8"/>
      <c r="K289" s="47">
        <f>K288+Table234535612[[#This Row],[AMOUNT]]-Table234535612[[#This Row],[AMOUNT2]]-Table234535612[[#This Row],[AMOUNT3]]</f>
        <v>175348</v>
      </c>
      <c r="L289" s="94"/>
    </row>
    <row r="290" spans="1:12" x14ac:dyDescent="0.35">
      <c r="A290" s="29" t="s">
        <v>1245</v>
      </c>
      <c r="B290" s="7"/>
      <c r="C290" s="8"/>
      <c r="D290" s="7" t="s">
        <v>48</v>
      </c>
      <c r="E290" s="7" t="s">
        <v>682</v>
      </c>
      <c r="F290" s="9" t="s">
        <v>1253</v>
      </c>
      <c r="G290" s="13">
        <v>160</v>
      </c>
      <c r="H290" s="13">
        <v>930</v>
      </c>
      <c r="I290" s="9"/>
      <c r="J290" s="8"/>
      <c r="K290" s="47">
        <f>K289+Table234535612[[#This Row],[AMOUNT]]-Table234535612[[#This Row],[AMOUNT2]]-Table234535612[[#This Row],[AMOUNT3]]</f>
        <v>175188</v>
      </c>
      <c r="L290" s="94"/>
    </row>
    <row r="291" spans="1:12" x14ac:dyDescent="0.35">
      <c r="A291" s="29" t="s">
        <v>1245</v>
      </c>
      <c r="B291" s="7"/>
      <c r="C291" s="8"/>
      <c r="D291" s="7" t="s">
        <v>48</v>
      </c>
      <c r="E291" s="9" t="s">
        <v>672</v>
      </c>
      <c r="F291" s="9" t="s">
        <v>1254</v>
      </c>
      <c r="G291" s="13">
        <v>900</v>
      </c>
      <c r="H291" s="13">
        <v>930</v>
      </c>
      <c r="I291" s="9"/>
      <c r="J291" s="8"/>
      <c r="K291" s="47">
        <f>K290+Table234535612[[#This Row],[AMOUNT]]-Table234535612[[#This Row],[AMOUNT2]]-Table234535612[[#This Row],[AMOUNT3]]</f>
        <v>174288</v>
      </c>
      <c r="L291" s="94"/>
    </row>
    <row r="292" spans="1:12" x14ac:dyDescent="0.35">
      <c r="A292" s="29" t="s">
        <v>1245</v>
      </c>
      <c r="B292" s="7"/>
      <c r="C292" s="8"/>
      <c r="D292" s="7" t="s">
        <v>48</v>
      </c>
      <c r="E292" s="7" t="s">
        <v>1115</v>
      </c>
      <c r="F292" s="9" t="s">
        <v>1255</v>
      </c>
      <c r="G292" s="13">
        <v>100</v>
      </c>
      <c r="H292" s="13">
        <v>930</v>
      </c>
      <c r="I292" s="9"/>
      <c r="J292" s="8"/>
      <c r="K292" s="47">
        <f>K291+Table234535612[[#This Row],[AMOUNT]]-Table234535612[[#This Row],[AMOUNT2]]-Table234535612[[#This Row],[AMOUNT3]]</f>
        <v>174188</v>
      </c>
      <c r="L292" s="94"/>
    </row>
    <row r="293" spans="1:12" x14ac:dyDescent="0.35">
      <c r="A293" s="29" t="s">
        <v>1256</v>
      </c>
      <c r="B293" s="7"/>
      <c r="C293" s="8"/>
      <c r="D293" s="7" t="s">
        <v>48</v>
      </c>
      <c r="E293" s="7" t="s">
        <v>682</v>
      </c>
      <c r="F293" s="7" t="s">
        <v>1257</v>
      </c>
      <c r="G293" s="13">
        <v>4000</v>
      </c>
      <c r="H293" s="13">
        <v>931</v>
      </c>
      <c r="I293" s="9"/>
      <c r="J293" s="8"/>
      <c r="K293" s="47">
        <f>K292+Table234535612[[#This Row],[AMOUNT]]-Table234535612[[#This Row],[AMOUNT2]]-Table234535612[[#This Row],[AMOUNT3]]</f>
        <v>170188</v>
      </c>
      <c r="L293" s="94"/>
    </row>
    <row r="294" spans="1:12" x14ac:dyDescent="0.35">
      <c r="A294" s="29" t="s">
        <v>1256</v>
      </c>
      <c r="B294" s="7"/>
      <c r="C294" s="8"/>
      <c r="D294" s="7" t="s">
        <v>48</v>
      </c>
      <c r="E294" s="7" t="s">
        <v>682</v>
      </c>
      <c r="F294" s="9" t="s">
        <v>1258</v>
      </c>
      <c r="G294" s="13">
        <v>3000</v>
      </c>
      <c r="H294" s="13">
        <v>932</v>
      </c>
      <c r="I294" s="9"/>
      <c r="J294" s="8"/>
      <c r="K294" s="47">
        <f>K293+Table234535612[[#This Row],[AMOUNT]]-Table234535612[[#This Row],[AMOUNT2]]-Table234535612[[#This Row],[AMOUNT3]]</f>
        <v>167188</v>
      </c>
      <c r="L294" s="94"/>
    </row>
    <row r="295" spans="1:12" x14ac:dyDescent="0.35">
      <c r="A295" s="29" t="s">
        <v>1256</v>
      </c>
      <c r="B295" s="7"/>
      <c r="C295" s="8"/>
      <c r="D295" s="7" t="s">
        <v>48</v>
      </c>
      <c r="E295" s="7" t="s">
        <v>682</v>
      </c>
      <c r="F295" s="7" t="s">
        <v>1259</v>
      </c>
      <c r="G295" s="13">
        <v>4000</v>
      </c>
      <c r="H295" s="13">
        <v>933</v>
      </c>
      <c r="I295" s="9"/>
      <c r="J295" s="8"/>
      <c r="K295" s="47">
        <f>K294+Table234535612[[#This Row],[AMOUNT]]-Table234535612[[#This Row],[AMOUNT2]]-Table234535612[[#This Row],[AMOUNT3]]</f>
        <v>163188</v>
      </c>
      <c r="L295" s="94"/>
    </row>
    <row r="296" spans="1:12" x14ac:dyDescent="0.35">
      <c r="A296" s="29" t="s">
        <v>1256</v>
      </c>
      <c r="B296" s="7"/>
      <c r="C296" s="8"/>
      <c r="D296" s="7" t="s">
        <v>48</v>
      </c>
      <c r="E296" s="7" t="s">
        <v>24</v>
      </c>
      <c r="F296" s="7" t="s">
        <v>1260</v>
      </c>
      <c r="G296" s="13">
        <v>6000</v>
      </c>
      <c r="H296" s="13">
        <v>934</v>
      </c>
      <c r="I296" s="9"/>
      <c r="J296" s="8"/>
      <c r="K296" s="47">
        <f>K295+Table234535612[[#This Row],[AMOUNT]]-Table234535612[[#This Row],[AMOUNT2]]-Table234535612[[#This Row],[AMOUNT3]]</f>
        <v>157188</v>
      </c>
      <c r="L296" s="94"/>
    </row>
    <row r="297" spans="1:12" x14ac:dyDescent="0.35">
      <c r="A297" s="29" t="s">
        <v>1261</v>
      </c>
      <c r="B297" s="7"/>
      <c r="C297" s="8"/>
      <c r="D297" s="7" t="s">
        <v>48</v>
      </c>
      <c r="E297" s="7" t="s">
        <v>1155</v>
      </c>
      <c r="F297" s="9" t="s">
        <v>1262</v>
      </c>
      <c r="G297" s="13">
        <v>5000</v>
      </c>
      <c r="H297" s="13">
        <v>935</v>
      </c>
      <c r="I297" s="9"/>
      <c r="J297" s="8"/>
      <c r="K297" s="47">
        <f>K296+Table234535612[[#This Row],[AMOUNT]]-Table234535612[[#This Row],[AMOUNT2]]-Table234535612[[#This Row],[AMOUNT3]]</f>
        <v>152188</v>
      </c>
      <c r="L297" s="94"/>
    </row>
    <row r="298" spans="1:12" x14ac:dyDescent="0.35">
      <c r="A298" s="29" t="s">
        <v>1261</v>
      </c>
      <c r="B298" s="7"/>
      <c r="C298" s="8"/>
      <c r="D298" s="7" t="s">
        <v>48</v>
      </c>
      <c r="E298" s="7" t="s">
        <v>854</v>
      </c>
      <c r="F298" s="9" t="s">
        <v>1263</v>
      </c>
      <c r="G298" s="13">
        <v>6800</v>
      </c>
      <c r="H298" s="13">
        <v>936</v>
      </c>
      <c r="I298" s="9"/>
      <c r="J298" s="8"/>
      <c r="K298" s="47">
        <f>K297+Table234535612[[#This Row],[AMOUNT]]-Table234535612[[#This Row],[AMOUNT2]]-Table234535612[[#This Row],[AMOUNT3]]</f>
        <v>145388</v>
      </c>
      <c r="L298" s="94"/>
    </row>
    <row r="299" spans="1:12" x14ac:dyDescent="0.35">
      <c r="A299" s="29" t="s">
        <v>1264</v>
      </c>
      <c r="B299" s="7"/>
      <c r="C299" s="8"/>
      <c r="D299" s="7" t="s">
        <v>48</v>
      </c>
      <c r="E299" s="7" t="s">
        <v>682</v>
      </c>
      <c r="F299" s="9" t="s">
        <v>1265</v>
      </c>
      <c r="G299" s="13">
        <v>1600</v>
      </c>
      <c r="H299" s="13">
        <v>937</v>
      </c>
      <c r="I299" s="9"/>
      <c r="J299" s="8"/>
      <c r="K299" s="47">
        <f>K298+Table234535612[[#This Row],[AMOUNT]]-Table234535612[[#This Row],[AMOUNT2]]-Table234535612[[#This Row],[AMOUNT3]]</f>
        <v>143788</v>
      </c>
      <c r="L299" s="94"/>
    </row>
    <row r="300" spans="1:12" x14ac:dyDescent="0.35">
      <c r="A300" s="29" t="s">
        <v>1266</v>
      </c>
      <c r="B300" s="7"/>
      <c r="C300" s="8"/>
      <c r="D300" s="7" t="s">
        <v>48</v>
      </c>
      <c r="E300" s="7" t="s">
        <v>682</v>
      </c>
      <c r="F300" s="7" t="s">
        <v>1259</v>
      </c>
      <c r="G300" s="13">
        <v>4000</v>
      </c>
      <c r="H300" s="13">
        <v>938</v>
      </c>
      <c r="I300" s="9"/>
      <c r="J300" s="8"/>
      <c r="K300" s="47">
        <f>K299+Table234535612[[#This Row],[AMOUNT]]-Table234535612[[#This Row],[AMOUNT2]]-Table234535612[[#This Row],[AMOUNT3]]</f>
        <v>139788</v>
      </c>
      <c r="L300" s="94"/>
    </row>
    <row r="301" spans="1:12" x14ac:dyDescent="0.35">
      <c r="A301" s="29" t="s">
        <v>1267</v>
      </c>
      <c r="B301" s="7"/>
      <c r="C301" s="8"/>
      <c r="D301" s="7" t="s">
        <v>48</v>
      </c>
      <c r="E301" s="7" t="s">
        <v>1031</v>
      </c>
      <c r="F301" s="9" t="s">
        <v>1268</v>
      </c>
      <c r="G301" s="13">
        <v>95878</v>
      </c>
      <c r="H301" s="13">
        <v>939</v>
      </c>
      <c r="I301" s="9"/>
      <c r="J301" s="8"/>
      <c r="K301" s="47">
        <f>K300+Table234535612[[#This Row],[AMOUNT]]-Table234535612[[#This Row],[AMOUNT2]]-Table234535612[[#This Row],[AMOUNT3]]</f>
        <v>43910</v>
      </c>
      <c r="L301" s="94"/>
    </row>
    <row r="302" spans="1:12" x14ac:dyDescent="0.35">
      <c r="A302" s="29" t="s">
        <v>1267</v>
      </c>
      <c r="B302" s="7"/>
      <c r="C302" s="8"/>
      <c r="D302" s="7" t="s">
        <v>48</v>
      </c>
      <c r="E302" s="7" t="s">
        <v>17</v>
      </c>
      <c r="F302" s="7" t="s">
        <v>1269</v>
      </c>
      <c r="G302" s="13">
        <v>5000</v>
      </c>
      <c r="H302" s="13"/>
      <c r="I302" s="9"/>
      <c r="J302" s="8"/>
      <c r="K302" s="47">
        <f>K301+Table234535612[[#This Row],[AMOUNT]]-Table234535612[[#This Row],[AMOUNT2]]-Table234535612[[#This Row],[AMOUNT3]]</f>
        <v>38910</v>
      </c>
      <c r="L302" s="94"/>
    </row>
    <row r="303" spans="1:12" x14ac:dyDescent="0.35">
      <c r="A303" s="29" t="s">
        <v>1267</v>
      </c>
      <c r="B303" s="7"/>
      <c r="C303" s="8"/>
      <c r="D303" s="7" t="s">
        <v>48</v>
      </c>
      <c r="E303" s="7" t="s">
        <v>312</v>
      </c>
      <c r="F303" s="9" t="s">
        <v>1270</v>
      </c>
      <c r="G303" s="13">
        <v>11610</v>
      </c>
      <c r="H303" s="13">
        <v>940</v>
      </c>
      <c r="I303" s="9"/>
      <c r="J303" s="8"/>
      <c r="K303" s="47">
        <f>K302+Table234535612[[#This Row],[AMOUNT]]-Table234535612[[#This Row],[AMOUNT2]]-Table234535612[[#This Row],[AMOUNT3]]</f>
        <v>27300</v>
      </c>
      <c r="L303" s="94"/>
    </row>
    <row r="304" spans="1:12" x14ac:dyDescent="0.35">
      <c r="A304" s="29" t="s">
        <v>1267</v>
      </c>
      <c r="B304" s="7"/>
      <c r="C304" s="8"/>
      <c r="D304" s="7" t="s">
        <v>48</v>
      </c>
      <c r="E304" s="7" t="s">
        <v>312</v>
      </c>
      <c r="F304" s="9" t="s">
        <v>1271</v>
      </c>
      <c r="G304" s="13">
        <v>10000</v>
      </c>
      <c r="H304" s="13">
        <v>941</v>
      </c>
      <c r="I304" s="9"/>
      <c r="J304" s="8"/>
      <c r="K304" s="47">
        <f>K303+Table234535612[[#This Row],[AMOUNT]]-Table234535612[[#This Row],[AMOUNT2]]-Table234535612[[#This Row],[AMOUNT3]]</f>
        <v>17300</v>
      </c>
      <c r="L304" s="94"/>
    </row>
    <row r="305" spans="1:12" x14ac:dyDescent="0.35">
      <c r="A305" s="29" t="s">
        <v>1267</v>
      </c>
      <c r="B305" s="7"/>
      <c r="C305" s="8"/>
      <c r="D305" s="7" t="s">
        <v>48</v>
      </c>
      <c r="E305" s="7" t="s">
        <v>1251</v>
      </c>
      <c r="F305" s="9" t="s">
        <v>1272</v>
      </c>
      <c r="G305" s="13">
        <v>1800</v>
      </c>
      <c r="H305" s="13">
        <v>942</v>
      </c>
      <c r="I305" s="9"/>
      <c r="J305" s="8"/>
      <c r="K305" s="47">
        <f>K304+Table234535612[[#This Row],[AMOUNT]]-Table234535612[[#This Row],[AMOUNT2]]-Table234535612[[#This Row],[AMOUNT3]]</f>
        <v>15500</v>
      </c>
      <c r="L305" s="94"/>
    </row>
    <row r="306" spans="1:12" x14ac:dyDescent="0.35">
      <c r="A306" s="29"/>
      <c r="B306" s="7"/>
      <c r="C306" s="8"/>
      <c r="D306" s="7"/>
      <c r="E306" s="7"/>
      <c r="F306" s="9"/>
      <c r="G306" s="13"/>
      <c r="H306" s="13"/>
      <c r="I306" s="9"/>
      <c r="J306" s="8"/>
      <c r="K306" s="47">
        <f>K305+Table234535612[[#This Row],[AMOUNT]]-Table234535612[[#This Row],[AMOUNT2]]-Table234535612[[#This Row],[AMOUNT3]]</f>
        <v>15500</v>
      </c>
      <c r="L306" s="94"/>
    </row>
    <row r="307" spans="1:12" x14ac:dyDescent="0.35">
      <c r="A307" s="29"/>
      <c r="B307" s="7"/>
      <c r="C307" s="8"/>
      <c r="D307" s="7"/>
      <c r="E307" s="7"/>
      <c r="F307" s="9"/>
      <c r="G307" s="13"/>
      <c r="H307" s="13"/>
      <c r="I307" s="9"/>
      <c r="J307" s="8"/>
      <c r="K307" s="47">
        <f>K306+Table234535612[[#This Row],[AMOUNT]]-Table234535612[[#This Row],[AMOUNT2]]-Table234535612[[#This Row],[AMOUNT3]]</f>
        <v>15500</v>
      </c>
      <c r="L307" s="94"/>
    </row>
    <row r="308" spans="1:12" x14ac:dyDescent="0.35">
      <c r="A308" s="29"/>
      <c r="B308" s="7"/>
      <c r="C308" s="8"/>
      <c r="D308" s="7"/>
      <c r="E308" s="7"/>
      <c r="F308" s="9"/>
      <c r="G308" s="13"/>
      <c r="H308" s="13"/>
      <c r="I308" s="9"/>
      <c r="J308" s="8"/>
      <c r="K308" s="47">
        <f>K307+Table234535612[[#This Row],[AMOUNT]]-Table234535612[[#This Row],[AMOUNT2]]-Table234535612[[#This Row],[AMOUNT3]]</f>
        <v>15500</v>
      </c>
      <c r="L308" s="94"/>
    </row>
    <row r="309" spans="1:12" x14ac:dyDescent="0.35">
      <c r="A309" s="29"/>
      <c r="B309" s="7"/>
      <c r="C309" s="8"/>
      <c r="D309" s="7"/>
      <c r="E309" s="7"/>
      <c r="F309" s="9"/>
      <c r="G309" s="13"/>
      <c r="H309" s="13"/>
      <c r="I309" s="9"/>
      <c r="J309" s="8"/>
      <c r="K309" s="47">
        <f>K308+Table234535612[[#This Row],[AMOUNT]]-Table234535612[[#This Row],[AMOUNT2]]-Table234535612[[#This Row],[AMOUNT3]]</f>
        <v>15500</v>
      </c>
      <c r="L309" s="94"/>
    </row>
    <row r="310" spans="1:12" x14ac:dyDescent="0.35">
      <c r="A310" s="29"/>
      <c r="B310" s="7"/>
      <c r="C310" s="8"/>
      <c r="D310" s="7"/>
      <c r="E310" s="7"/>
      <c r="F310" s="9"/>
      <c r="G310" s="13"/>
      <c r="H310" s="13"/>
      <c r="I310" s="9"/>
      <c r="J310" s="8"/>
      <c r="K310" s="47">
        <f>K309+Table234535612[[#This Row],[AMOUNT]]-Table234535612[[#This Row],[AMOUNT2]]-Table234535612[[#This Row],[AMOUNT3]]</f>
        <v>15500</v>
      </c>
      <c r="L310" s="94"/>
    </row>
    <row r="311" spans="1:12" x14ac:dyDescent="0.35">
      <c r="A311" s="29"/>
      <c r="B311" s="7"/>
      <c r="C311" s="8"/>
      <c r="D311" s="7"/>
      <c r="E311" s="7"/>
      <c r="F311" s="9"/>
      <c r="G311" s="13"/>
      <c r="H311" s="13"/>
      <c r="I311" s="9"/>
      <c r="J311" s="8"/>
      <c r="K311" s="47">
        <f>K310+Table234535612[[#This Row],[AMOUNT]]-Table234535612[[#This Row],[AMOUNT2]]-Table234535612[[#This Row],[AMOUNT3]]</f>
        <v>15500</v>
      </c>
      <c r="L311" s="94"/>
    </row>
    <row r="312" spans="1:12" x14ac:dyDescent="0.35">
      <c r="A312" s="29"/>
      <c r="B312" s="7"/>
      <c r="C312" s="8"/>
      <c r="D312" s="7"/>
      <c r="E312" s="7"/>
      <c r="F312" s="7"/>
      <c r="G312" s="13"/>
      <c r="H312" s="13"/>
      <c r="I312" s="9"/>
      <c r="J312" s="8"/>
      <c r="K312" s="47">
        <f>K311+Table234535612[[#This Row],[AMOUNT]]-Table234535612[[#This Row],[AMOUNT2]]-Table234535612[[#This Row],[AMOUNT3]]</f>
        <v>15500</v>
      </c>
      <c r="L312" s="94"/>
    </row>
    <row r="313" spans="1:12" x14ac:dyDescent="0.35">
      <c r="A313" s="29"/>
      <c r="B313" s="7"/>
      <c r="C313" s="8"/>
      <c r="D313" s="7"/>
      <c r="E313" s="7"/>
      <c r="F313" s="9"/>
      <c r="G313" s="13"/>
      <c r="H313" s="13"/>
      <c r="I313" s="9"/>
      <c r="J313" s="8"/>
      <c r="K313" s="47">
        <f>K312+Table234535612[[#This Row],[AMOUNT]]-Table234535612[[#This Row],[AMOUNT2]]-Table234535612[[#This Row],[AMOUNT3]]</f>
        <v>15500</v>
      </c>
      <c r="L313" s="94"/>
    </row>
    <row r="314" spans="1:12" x14ac:dyDescent="0.35">
      <c r="A314" s="29"/>
      <c r="B314" s="7"/>
      <c r="C314" s="8"/>
      <c r="D314" s="7"/>
      <c r="E314" s="7"/>
      <c r="F314" s="9"/>
      <c r="G314" s="13"/>
      <c r="H314" s="13"/>
      <c r="I314" s="9"/>
      <c r="J314" s="8"/>
      <c r="K314" s="47">
        <f>K313+Table234535612[[#This Row],[AMOUNT]]-Table234535612[[#This Row],[AMOUNT2]]-Table234535612[[#This Row],[AMOUNT3]]</f>
        <v>15500</v>
      </c>
      <c r="L314" s="94"/>
    </row>
    <row r="315" spans="1:12" x14ac:dyDescent="0.35">
      <c r="A315" s="29"/>
      <c r="B315" s="7"/>
      <c r="C315" s="8"/>
      <c r="D315" s="7"/>
      <c r="E315" s="7"/>
      <c r="F315" s="7"/>
      <c r="G315" s="13"/>
      <c r="H315" s="13"/>
      <c r="I315" s="9"/>
      <c r="J315" s="8"/>
      <c r="K315" s="47">
        <f>K314+Table234535612[[#This Row],[AMOUNT]]-Table234535612[[#This Row],[AMOUNT2]]-Table234535612[[#This Row],[AMOUNT3]]</f>
        <v>15500</v>
      </c>
      <c r="L315" s="94"/>
    </row>
    <row r="316" spans="1:12" x14ac:dyDescent="0.35">
      <c r="A316" s="29"/>
      <c r="B316" s="7"/>
      <c r="C316" s="8"/>
      <c r="D316" s="7"/>
      <c r="E316" s="7"/>
      <c r="F316" s="9"/>
      <c r="G316" s="13"/>
      <c r="H316" s="13"/>
      <c r="I316" s="9"/>
      <c r="J316" s="8"/>
      <c r="K316" s="47">
        <f>K315+Table234535612[[#This Row],[AMOUNT]]-Table234535612[[#This Row],[AMOUNT2]]-Table234535612[[#This Row],[AMOUNT3]]</f>
        <v>15500</v>
      </c>
      <c r="L316" s="94"/>
    </row>
    <row r="317" spans="1:12" x14ac:dyDescent="0.35">
      <c r="A317" s="29"/>
      <c r="B317" s="7"/>
      <c r="C317" s="8"/>
      <c r="D317" s="7"/>
      <c r="E317" s="7"/>
      <c r="F317" s="9"/>
      <c r="G317" s="13"/>
      <c r="H317" s="13"/>
      <c r="I317" s="9"/>
      <c r="J317" s="8"/>
      <c r="K317" s="47">
        <f>K316+Table234535612[[#This Row],[AMOUNT]]-Table234535612[[#This Row],[AMOUNT2]]-Table234535612[[#This Row],[AMOUNT3]]</f>
        <v>15500</v>
      </c>
      <c r="L317" s="94"/>
    </row>
    <row r="318" spans="1:12" x14ac:dyDescent="0.35">
      <c r="A318" s="29"/>
      <c r="B318" s="7"/>
      <c r="C318" s="8"/>
      <c r="D318" s="7"/>
      <c r="E318" s="7"/>
      <c r="F318" s="9"/>
      <c r="G318" s="13"/>
      <c r="H318" s="13"/>
      <c r="I318" s="9"/>
      <c r="J318" s="8"/>
      <c r="K318" s="47">
        <f>K317+Table234535612[[#This Row],[AMOUNT]]-Table234535612[[#This Row],[AMOUNT2]]-Table234535612[[#This Row],[AMOUNT3]]</f>
        <v>15500</v>
      </c>
      <c r="L318" s="94"/>
    </row>
    <row r="319" spans="1:12" x14ac:dyDescent="0.35">
      <c r="A319" s="29"/>
      <c r="B319" s="7"/>
      <c r="C319" s="8"/>
      <c r="D319" s="7"/>
      <c r="E319" s="7"/>
      <c r="F319" s="9"/>
      <c r="G319" s="13"/>
      <c r="H319" s="13"/>
      <c r="I319" s="9"/>
      <c r="J319" s="8"/>
      <c r="K319" s="47">
        <f>K318+Table234535612[[#This Row],[AMOUNT]]-Table234535612[[#This Row],[AMOUNT2]]-Table234535612[[#This Row],[AMOUNT3]]</f>
        <v>15500</v>
      </c>
      <c r="L319" s="94"/>
    </row>
    <row r="320" spans="1:12" x14ac:dyDescent="0.35">
      <c r="A320" s="29"/>
      <c r="B320" s="7"/>
      <c r="C320" s="8"/>
      <c r="D320" s="7"/>
      <c r="E320" s="7"/>
      <c r="F320" s="9"/>
      <c r="G320" s="13"/>
      <c r="H320" s="13"/>
      <c r="I320" s="9"/>
      <c r="J320" s="8"/>
      <c r="K320" s="47">
        <f>K319+Table234535612[[#This Row],[AMOUNT]]-Table234535612[[#This Row],[AMOUNT2]]-Table234535612[[#This Row],[AMOUNT3]]</f>
        <v>15500</v>
      </c>
      <c r="L320" s="94"/>
    </row>
    <row r="321" spans="1:12" x14ac:dyDescent="0.35">
      <c r="A321" s="29"/>
      <c r="B321" s="7"/>
      <c r="C321" s="8"/>
      <c r="D321" s="7"/>
      <c r="E321" s="7"/>
      <c r="F321" s="7"/>
      <c r="G321" s="13"/>
      <c r="H321" s="13"/>
      <c r="I321" s="9"/>
      <c r="J321" s="8"/>
      <c r="K321" s="47">
        <f>K320+Table234535612[[#This Row],[AMOUNT]]-Table234535612[[#This Row],[AMOUNT2]]-Table234535612[[#This Row],[AMOUNT3]]</f>
        <v>15500</v>
      </c>
      <c r="L321" s="94"/>
    </row>
    <row r="322" spans="1:12" x14ac:dyDescent="0.35">
      <c r="A322" s="29"/>
      <c r="B322" s="7"/>
      <c r="C322" s="8"/>
      <c r="D322" s="7"/>
      <c r="E322" s="7"/>
      <c r="F322" s="9"/>
      <c r="G322" s="13"/>
      <c r="H322" s="13"/>
      <c r="I322" s="9"/>
      <c r="J322" s="8"/>
      <c r="K322" s="47">
        <f>K321+Table234535612[[#This Row],[AMOUNT]]-Table234535612[[#This Row],[AMOUNT2]]-Table234535612[[#This Row],[AMOUNT3]]</f>
        <v>15500</v>
      </c>
      <c r="L322" s="94"/>
    </row>
    <row r="323" spans="1:12" x14ac:dyDescent="0.35">
      <c r="A323" s="29"/>
      <c r="B323" s="7"/>
      <c r="C323" s="8"/>
      <c r="D323" s="7"/>
      <c r="E323" s="7"/>
      <c r="F323" s="7"/>
      <c r="G323" s="13"/>
      <c r="H323" s="13"/>
      <c r="I323" s="9"/>
      <c r="J323" s="8"/>
      <c r="K323" s="47">
        <f>K322+Table234535612[[#This Row],[AMOUNT]]-Table234535612[[#This Row],[AMOUNT2]]-Table234535612[[#This Row],[AMOUNT3]]</f>
        <v>15500</v>
      </c>
      <c r="L323" s="94"/>
    </row>
    <row r="324" spans="1:12" x14ac:dyDescent="0.35">
      <c r="A324" s="29"/>
      <c r="B324" s="7"/>
      <c r="C324" s="8"/>
      <c r="D324" s="7"/>
      <c r="E324" s="7"/>
      <c r="F324" s="7"/>
      <c r="G324" s="13"/>
      <c r="H324" s="13"/>
      <c r="I324" s="9"/>
      <c r="J324" s="8"/>
      <c r="K324" s="47">
        <f>K323+Table234535612[[#This Row],[AMOUNT]]-Table234535612[[#This Row],[AMOUNT2]]-Table234535612[[#This Row],[AMOUNT3]]</f>
        <v>15500</v>
      </c>
      <c r="L324" s="94"/>
    </row>
    <row r="325" spans="1:12" x14ac:dyDescent="0.35">
      <c r="A325" s="29"/>
      <c r="B325" s="7"/>
      <c r="C325" s="8"/>
      <c r="D325" s="7"/>
      <c r="E325" s="7"/>
      <c r="F325" s="9"/>
      <c r="G325" s="13"/>
      <c r="H325" s="13"/>
      <c r="I325" s="9"/>
      <c r="J325" s="8"/>
      <c r="K325" s="47">
        <f>K324+Table234535612[[#This Row],[AMOUNT]]-Table234535612[[#This Row],[AMOUNT2]]-Table234535612[[#This Row],[AMOUNT3]]</f>
        <v>15500</v>
      </c>
      <c r="L325" s="94"/>
    </row>
    <row r="326" spans="1:12" x14ac:dyDescent="0.35">
      <c r="A326" s="29"/>
      <c r="B326" s="7"/>
      <c r="C326" s="8"/>
      <c r="D326" s="7"/>
      <c r="E326" s="7"/>
      <c r="F326" s="9"/>
      <c r="G326" s="13"/>
      <c r="H326" s="13"/>
      <c r="I326" s="9"/>
      <c r="J326" s="8"/>
      <c r="K326" s="47">
        <f>K325+Table234535612[[#This Row],[AMOUNT]]-Table234535612[[#This Row],[AMOUNT2]]-Table234535612[[#This Row],[AMOUNT3]]</f>
        <v>15500</v>
      </c>
      <c r="L326" s="94"/>
    </row>
    <row r="327" spans="1:12" x14ac:dyDescent="0.35">
      <c r="A327" s="29"/>
      <c r="B327" s="7"/>
      <c r="C327" s="8"/>
      <c r="D327" s="7"/>
      <c r="E327" s="7"/>
      <c r="F327" s="9"/>
      <c r="G327" s="13"/>
      <c r="H327" s="13"/>
      <c r="I327" s="9"/>
      <c r="J327" s="8"/>
      <c r="K327" s="47">
        <f>K326+Table234535612[[#This Row],[AMOUNT]]-Table234535612[[#This Row],[AMOUNT2]]-Table234535612[[#This Row],[AMOUNT3]]</f>
        <v>15500</v>
      </c>
      <c r="L327" s="94"/>
    </row>
    <row r="328" spans="1:12" x14ac:dyDescent="0.35">
      <c r="A328" s="29"/>
      <c r="B328" s="7"/>
      <c r="C328" s="8"/>
      <c r="D328" s="7"/>
      <c r="E328" s="7"/>
      <c r="F328" s="9"/>
      <c r="G328" s="13"/>
      <c r="H328" s="13"/>
      <c r="I328" s="9"/>
      <c r="J328" s="8"/>
      <c r="K328" s="47">
        <f>K327+Table234535612[[#This Row],[AMOUNT]]-Table234535612[[#This Row],[AMOUNT2]]-Table234535612[[#This Row],[AMOUNT3]]</f>
        <v>15500</v>
      </c>
      <c r="L328" s="94"/>
    </row>
    <row r="329" spans="1:12" x14ac:dyDescent="0.35">
      <c r="A329" s="29"/>
      <c r="B329" s="7"/>
      <c r="C329" s="8"/>
      <c r="D329" s="7"/>
      <c r="E329" s="7"/>
      <c r="F329" s="9"/>
      <c r="G329" s="13"/>
      <c r="H329" s="13"/>
      <c r="I329" s="9"/>
      <c r="J329" s="8"/>
      <c r="K329" s="47">
        <f>K328+Table234535612[[#This Row],[AMOUNT]]-Table234535612[[#This Row],[AMOUNT2]]-Table234535612[[#This Row],[AMOUNT3]]</f>
        <v>15500</v>
      </c>
      <c r="L329" s="94"/>
    </row>
    <row r="330" spans="1:12" x14ac:dyDescent="0.35">
      <c r="A330" s="29"/>
      <c r="B330" s="7"/>
      <c r="C330" s="8"/>
      <c r="D330" s="7"/>
      <c r="E330" s="7"/>
      <c r="F330" s="9"/>
      <c r="G330" s="13"/>
      <c r="H330" s="13"/>
      <c r="I330" s="9"/>
      <c r="J330" s="8"/>
      <c r="K330" s="47">
        <f>K329+Table234535612[[#This Row],[AMOUNT]]-Table234535612[[#This Row],[AMOUNT2]]-Table234535612[[#This Row],[AMOUNT3]]</f>
        <v>15500</v>
      </c>
      <c r="L330" s="94"/>
    </row>
    <row r="331" spans="1:12" x14ac:dyDescent="0.35">
      <c r="A331" s="29"/>
      <c r="B331" s="7"/>
      <c r="C331" s="8"/>
      <c r="D331" s="7"/>
      <c r="E331" s="7"/>
      <c r="F331" s="7"/>
      <c r="G331" s="13"/>
      <c r="H331" s="13"/>
      <c r="I331" s="9"/>
      <c r="J331" s="8"/>
      <c r="K331" s="47">
        <f>K330+Table234535612[[#This Row],[AMOUNT]]-Table234535612[[#This Row],[AMOUNT2]]-Table234535612[[#This Row],[AMOUNT3]]</f>
        <v>15500</v>
      </c>
      <c r="L331" s="94"/>
    </row>
    <row r="332" spans="1:12" x14ac:dyDescent="0.35">
      <c r="A332" s="29"/>
      <c r="B332" s="7"/>
      <c r="C332" s="8"/>
      <c r="D332" s="7"/>
      <c r="E332" s="7"/>
      <c r="F332" s="9"/>
      <c r="G332" s="13"/>
      <c r="H332" s="13"/>
      <c r="I332" s="9"/>
      <c r="J332" s="8"/>
      <c r="K332" s="47">
        <f>K331+Table234535612[[#This Row],[AMOUNT]]-Table234535612[[#This Row],[AMOUNT2]]-Table234535612[[#This Row],[AMOUNT3]]</f>
        <v>15500</v>
      </c>
      <c r="L332" s="94"/>
    </row>
    <row r="333" spans="1:12" x14ac:dyDescent="0.35">
      <c r="A333" s="29"/>
      <c r="B333" s="7"/>
      <c r="C333" s="8"/>
      <c r="D333" s="7"/>
      <c r="E333" s="7"/>
      <c r="F333" s="9"/>
      <c r="G333" s="13"/>
      <c r="H333" s="13"/>
      <c r="I333" s="9"/>
      <c r="J333" s="8"/>
      <c r="K333" s="47">
        <f>K332+Table234535612[[#This Row],[AMOUNT]]-Table234535612[[#This Row],[AMOUNT2]]-Table234535612[[#This Row],[AMOUNT3]]</f>
        <v>15500</v>
      </c>
      <c r="L333" s="94"/>
    </row>
    <row r="334" spans="1:12" x14ac:dyDescent="0.35">
      <c r="A334" s="29"/>
      <c r="B334" s="7"/>
      <c r="C334" s="8"/>
      <c r="D334" s="7"/>
      <c r="E334" s="7"/>
      <c r="F334" s="7"/>
      <c r="G334" s="13"/>
      <c r="H334" s="13"/>
      <c r="I334" s="9"/>
      <c r="J334" s="8"/>
      <c r="K334" s="47">
        <f>K333+Table234535612[[#This Row],[AMOUNT]]-Table234535612[[#This Row],[AMOUNT2]]-Table234535612[[#This Row],[AMOUNT3]]</f>
        <v>15500</v>
      </c>
      <c r="L334" s="94"/>
    </row>
    <row r="335" spans="1:12" x14ac:dyDescent="0.35">
      <c r="A335" s="29"/>
      <c r="B335" s="7"/>
      <c r="C335" s="8"/>
      <c r="D335" s="7"/>
      <c r="E335" s="7"/>
      <c r="F335" s="9"/>
      <c r="G335" s="13"/>
      <c r="H335" s="13"/>
      <c r="I335" s="9"/>
      <c r="J335" s="8"/>
      <c r="K335" s="47">
        <f>K334+Table234535612[[#This Row],[AMOUNT]]-Table234535612[[#This Row],[AMOUNT2]]-Table234535612[[#This Row],[AMOUNT3]]</f>
        <v>15500</v>
      </c>
      <c r="L335" s="94"/>
    </row>
    <row r="336" spans="1:12" x14ac:dyDescent="0.35">
      <c r="A336" s="29"/>
      <c r="B336" s="7"/>
      <c r="C336" s="8"/>
      <c r="D336" s="7"/>
      <c r="E336" s="7"/>
      <c r="F336" s="9"/>
      <c r="G336" s="13"/>
      <c r="H336" s="13"/>
      <c r="I336" s="9"/>
      <c r="J336" s="8"/>
      <c r="K336" s="47">
        <f>K335+Table234535612[[#This Row],[AMOUNT]]-Table234535612[[#This Row],[AMOUNT2]]-Table234535612[[#This Row],[AMOUNT3]]</f>
        <v>15500</v>
      </c>
      <c r="L336" s="94"/>
    </row>
    <row r="337" spans="1:12" x14ac:dyDescent="0.35">
      <c r="A337" s="29"/>
      <c r="B337" s="7"/>
      <c r="C337" s="8"/>
      <c r="D337" s="7"/>
      <c r="E337" s="7"/>
      <c r="F337" s="9"/>
      <c r="G337" s="13"/>
      <c r="H337" s="13"/>
      <c r="I337" s="9"/>
      <c r="J337" s="8"/>
      <c r="K337" s="47">
        <f>K336+Table234535612[[#This Row],[AMOUNT]]-Table234535612[[#This Row],[AMOUNT2]]-Table234535612[[#This Row],[AMOUNT3]]</f>
        <v>15500</v>
      </c>
      <c r="L337" s="94"/>
    </row>
    <row r="338" spans="1:12" x14ac:dyDescent="0.35">
      <c r="A338" s="29"/>
      <c r="B338" s="7"/>
      <c r="C338" s="8"/>
      <c r="D338" s="7"/>
      <c r="E338" s="7"/>
      <c r="F338" s="9"/>
      <c r="G338" s="13"/>
      <c r="H338" s="13"/>
      <c r="I338" s="9"/>
      <c r="J338" s="8"/>
      <c r="K338" s="47">
        <f>K337+Table234535612[[#This Row],[AMOUNT]]-Table234535612[[#This Row],[AMOUNT2]]-Table234535612[[#This Row],[AMOUNT3]]</f>
        <v>15500</v>
      </c>
      <c r="L338" s="94"/>
    </row>
    <row r="339" spans="1:12" x14ac:dyDescent="0.35">
      <c r="A339" s="29"/>
      <c r="B339" s="7"/>
      <c r="C339" s="8"/>
      <c r="D339" s="7"/>
      <c r="E339" s="7"/>
      <c r="F339" s="9"/>
      <c r="G339" s="13"/>
      <c r="H339" s="13"/>
      <c r="I339" s="9"/>
      <c r="J339" s="8"/>
      <c r="K339" s="47">
        <f>K338+Table234535612[[#This Row],[AMOUNT]]-Table234535612[[#This Row],[AMOUNT2]]-Table234535612[[#This Row],[AMOUNT3]]</f>
        <v>15500</v>
      </c>
      <c r="L339" s="94"/>
    </row>
    <row r="340" spans="1:12" x14ac:dyDescent="0.35">
      <c r="A340" s="29"/>
      <c r="B340" s="7"/>
      <c r="C340" s="8"/>
      <c r="D340" s="7"/>
      <c r="E340" s="7"/>
      <c r="F340" s="9"/>
      <c r="G340" s="13"/>
      <c r="H340" s="13"/>
      <c r="I340" s="9"/>
      <c r="J340" s="8"/>
      <c r="K340" s="47">
        <f>K339+Table234535612[[#This Row],[AMOUNT]]-Table234535612[[#This Row],[AMOUNT2]]-Table234535612[[#This Row],[AMOUNT3]]</f>
        <v>15500</v>
      </c>
      <c r="L340" s="94"/>
    </row>
    <row r="341" spans="1:12" x14ac:dyDescent="0.35">
      <c r="A341" s="29"/>
      <c r="B341" s="7"/>
      <c r="C341" s="8"/>
      <c r="D341" s="7"/>
      <c r="E341" s="7"/>
      <c r="F341" s="9"/>
      <c r="G341" s="13"/>
      <c r="H341" s="13"/>
      <c r="I341" s="9"/>
      <c r="J341" s="8"/>
      <c r="K341" s="47">
        <f>K340+Table234535612[[#This Row],[AMOUNT]]-Table234535612[[#This Row],[AMOUNT2]]-Table234535612[[#This Row],[AMOUNT3]]</f>
        <v>15500</v>
      </c>
      <c r="L341" s="94"/>
    </row>
    <row r="342" spans="1:12" x14ac:dyDescent="0.35">
      <c r="A342" s="29"/>
      <c r="B342" s="7"/>
      <c r="C342" s="8"/>
      <c r="D342" s="7"/>
      <c r="E342" s="7"/>
      <c r="F342" s="9"/>
      <c r="G342" s="13"/>
      <c r="H342" s="13"/>
      <c r="I342" s="9"/>
      <c r="J342" s="8"/>
      <c r="K342" s="47">
        <f>K341+Table234535612[[#This Row],[AMOUNT]]-Table234535612[[#This Row],[AMOUNT2]]-Table234535612[[#This Row],[AMOUNT3]]</f>
        <v>15500</v>
      </c>
      <c r="L342" s="94"/>
    </row>
    <row r="343" spans="1:12" x14ac:dyDescent="0.35">
      <c r="A343" s="29"/>
      <c r="B343" s="7"/>
      <c r="C343" s="8"/>
      <c r="D343" s="7"/>
      <c r="E343" s="7"/>
      <c r="F343" s="9"/>
      <c r="G343" s="13"/>
      <c r="H343" s="13"/>
      <c r="I343" s="9"/>
      <c r="J343" s="8"/>
      <c r="K343" s="47">
        <f>K342+Table234535612[[#This Row],[AMOUNT]]-Table234535612[[#This Row],[AMOUNT2]]-Table234535612[[#This Row],[AMOUNT3]]</f>
        <v>15500</v>
      </c>
      <c r="L343" s="94"/>
    </row>
    <row r="344" spans="1:12" x14ac:dyDescent="0.35">
      <c r="A344" s="29"/>
      <c r="B344" s="7"/>
      <c r="C344" s="8"/>
      <c r="D344" s="7"/>
      <c r="E344" s="7"/>
      <c r="F344" s="9"/>
      <c r="G344" s="13"/>
      <c r="H344" s="13"/>
      <c r="I344" s="9"/>
      <c r="J344" s="8"/>
      <c r="K344" s="47">
        <f>K343+Table234535612[[#This Row],[AMOUNT]]-Table234535612[[#This Row],[AMOUNT2]]-Table234535612[[#This Row],[AMOUNT3]]</f>
        <v>15500</v>
      </c>
      <c r="L344" s="94"/>
    </row>
    <row r="345" spans="1:12" x14ac:dyDescent="0.35">
      <c r="A345" s="29"/>
      <c r="B345" s="7"/>
      <c r="C345" s="8"/>
      <c r="D345" s="7"/>
      <c r="E345" s="7"/>
      <c r="F345" s="9"/>
      <c r="G345" s="13"/>
      <c r="H345" s="13"/>
      <c r="I345" s="9"/>
      <c r="J345" s="8"/>
      <c r="K345" s="47">
        <f>K344+Table234535612[[#This Row],[AMOUNT]]-Table234535612[[#This Row],[AMOUNT2]]-Table234535612[[#This Row],[AMOUNT3]]</f>
        <v>15500</v>
      </c>
      <c r="L345" s="94"/>
    </row>
    <row r="346" spans="1:12" x14ac:dyDescent="0.35">
      <c r="A346" s="29"/>
      <c r="B346" s="7"/>
      <c r="C346" s="8"/>
      <c r="D346" s="7"/>
      <c r="E346" s="7"/>
      <c r="F346" s="9"/>
      <c r="G346" s="13"/>
      <c r="H346" s="13"/>
      <c r="I346" s="9"/>
      <c r="J346" s="8"/>
      <c r="K346" s="47">
        <f>K345+Table234535612[[#This Row],[AMOUNT]]-Table234535612[[#This Row],[AMOUNT2]]-Table234535612[[#This Row],[AMOUNT3]]</f>
        <v>15500</v>
      </c>
      <c r="L346" s="94"/>
    </row>
    <row r="347" spans="1:12" x14ac:dyDescent="0.35">
      <c r="A347" s="29"/>
      <c r="B347" s="7"/>
      <c r="C347" s="8"/>
      <c r="D347" s="7"/>
      <c r="E347" s="7"/>
      <c r="F347" s="9"/>
      <c r="G347" s="13"/>
      <c r="H347" s="13"/>
      <c r="I347" s="9"/>
      <c r="J347" s="8"/>
      <c r="K347" s="47">
        <f>K346+Table234535612[[#This Row],[AMOUNT]]-Table234535612[[#This Row],[AMOUNT2]]-Table234535612[[#This Row],[AMOUNT3]]</f>
        <v>15500</v>
      </c>
      <c r="L347" s="94"/>
    </row>
    <row r="348" spans="1:12" x14ac:dyDescent="0.35">
      <c r="A348" s="29"/>
      <c r="B348" s="7"/>
      <c r="C348" s="8"/>
      <c r="D348" s="7"/>
      <c r="E348" s="7"/>
      <c r="F348" s="9"/>
      <c r="G348" s="13"/>
      <c r="H348" s="13"/>
      <c r="I348" s="9"/>
      <c r="J348" s="8"/>
      <c r="K348" s="47">
        <f>K347+Table234535612[[#This Row],[AMOUNT]]-Table234535612[[#This Row],[AMOUNT2]]-Table234535612[[#This Row],[AMOUNT3]]</f>
        <v>15500</v>
      </c>
      <c r="L348" s="94"/>
    </row>
    <row r="349" spans="1:12" x14ac:dyDescent="0.35">
      <c r="A349" s="29"/>
      <c r="B349" s="7"/>
      <c r="C349" s="8"/>
      <c r="D349" s="7"/>
      <c r="E349" s="7"/>
      <c r="F349" s="7"/>
      <c r="G349" s="13"/>
      <c r="H349" s="13"/>
      <c r="I349" s="9"/>
      <c r="J349" s="8"/>
      <c r="K349" s="47">
        <f>K348+Table234535612[[#This Row],[AMOUNT]]-Table234535612[[#This Row],[AMOUNT2]]-Table234535612[[#This Row],[AMOUNT3]]</f>
        <v>15500</v>
      </c>
      <c r="L349" s="94"/>
    </row>
    <row r="350" spans="1:12" x14ac:dyDescent="0.35">
      <c r="A350" s="29"/>
      <c r="B350" s="7"/>
      <c r="C350" s="8"/>
      <c r="D350" s="7"/>
      <c r="E350" s="7"/>
      <c r="F350" s="9"/>
      <c r="G350" s="13"/>
      <c r="H350" s="13"/>
      <c r="I350" s="9"/>
      <c r="J350" s="8"/>
      <c r="K350" s="47">
        <f>K349+Table234535612[[#This Row],[AMOUNT]]-Table234535612[[#This Row],[AMOUNT2]]-Table234535612[[#This Row],[AMOUNT3]]</f>
        <v>15500</v>
      </c>
      <c r="L350" s="94"/>
    </row>
    <row r="351" spans="1:12" x14ac:dyDescent="0.35">
      <c r="A351" s="29"/>
      <c r="B351" s="7"/>
      <c r="C351" s="8"/>
      <c r="D351" s="7"/>
      <c r="E351" s="7"/>
      <c r="F351" s="9"/>
      <c r="G351" s="13"/>
      <c r="H351" s="13"/>
      <c r="I351" s="9"/>
      <c r="J351" s="8"/>
      <c r="K351" s="47">
        <f>K350+Table234535612[[#This Row],[AMOUNT]]-Table234535612[[#This Row],[AMOUNT2]]-Table234535612[[#This Row],[AMOUNT3]]</f>
        <v>15500</v>
      </c>
      <c r="L351" s="94"/>
    </row>
    <row r="352" spans="1:12" x14ac:dyDescent="0.35">
      <c r="A352" s="29"/>
      <c r="B352" s="7"/>
      <c r="C352" s="8"/>
      <c r="D352" s="7"/>
      <c r="E352" s="7"/>
      <c r="F352" s="9"/>
      <c r="G352" s="13"/>
      <c r="H352" s="13"/>
      <c r="I352" s="9"/>
      <c r="J352" s="8"/>
      <c r="K352" s="47">
        <f>K351+Table234535612[[#This Row],[AMOUNT]]-Table234535612[[#This Row],[AMOUNT2]]-Table234535612[[#This Row],[AMOUNT3]]</f>
        <v>15500</v>
      </c>
      <c r="L352" s="94"/>
    </row>
    <row r="353" spans="1:12" x14ac:dyDescent="0.35">
      <c r="A353" s="29"/>
      <c r="B353" s="7"/>
      <c r="C353" s="8"/>
      <c r="D353" s="7"/>
      <c r="E353" s="7"/>
      <c r="F353" s="9"/>
      <c r="G353" s="13"/>
      <c r="H353" s="13"/>
      <c r="I353" s="9"/>
      <c r="J353" s="8"/>
      <c r="K353" s="47">
        <f>K352+Table234535612[[#This Row],[AMOUNT]]-Table234535612[[#This Row],[AMOUNT2]]-Table234535612[[#This Row],[AMOUNT3]]</f>
        <v>15500</v>
      </c>
      <c r="L353" s="94"/>
    </row>
    <row r="354" spans="1:12" x14ac:dyDescent="0.35">
      <c r="A354" s="29"/>
      <c r="B354" s="7"/>
      <c r="C354" s="8"/>
      <c r="D354" s="7"/>
      <c r="E354" s="7"/>
      <c r="F354" s="9"/>
      <c r="G354" s="13"/>
      <c r="H354" s="13"/>
      <c r="I354" s="9"/>
      <c r="J354" s="8"/>
      <c r="K354" s="47">
        <f>K353+Table234535612[[#This Row],[AMOUNT]]-Table234535612[[#This Row],[AMOUNT2]]-Table234535612[[#This Row],[AMOUNT3]]</f>
        <v>15500</v>
      </c>
      <c r="L354" s="94"/>
    </row>
    <row r="355" spans="1:12" x14ac:dyDescent="0.35">
      <c r="A355" s="29"/>
      <c r="B355" s="7"/>
      <c r="C355" s="8"/>
      <c r="D355" s="7"/>
      <c r="E355" s="7"/>
      <c r="F355" s="7"/>
      <c r="G355" s="13"/>
      <c r="H355" s="13"/>
      <c r="I355" s="9"/>
      <c r="J355" s="8"/>
      <c r="K355" s="47">
        <f>K354+Table234535612[[#This Row],[AMOUNT]]-Table234535612[[#This Row],[AMOUNT2]]-Table234535612[[#This Row],[AMOUNT3]]</f>
        <v>15500</v>
      </c>
      <c r="L355" s="94"/>
    </row>
    <row r="356" spans="1:12" x14ac:dyDescent="0.35">
      <c r="A356" s="29"/>
      <c r="B356" s="7"/>
      <c r="C356" s="8"/>
      <c r="D356" s="7"/>
      <c r="E356" s="7"/>
      <c r="F356" s="9"/>
      <c r="G356" s="13"/>
      <c r="H356" s="13"/>
      <c r="I356" s="9"/>
      <c r="J356" s="8"/>
      <c r="K356" s="47">
        <f>K355+Table234535612[[#This Row],[AMOUNT]]-Table234535612[[#This Row],[AMOUNT2]]-Table234535612[[#This Row],[AMOUNT3]]</f>
        <v>15500</v>
      </c>
      <c r="L356" s="94"/>
    </row>
    <row r="357" spans="1:12" x14ac:dyDescent="0.35">
      <c r="A357" s="29"/>
      <c r="B357" s="7"/>
      <c r="C357" s="8"/>
      <c r="D357" s="7"/>
      <c r="E357" s="7"/>
      <c r="F357" s="9"/>
      <c r="G357" s="13"/>
      <c r="H357" s="13"/>
      <c r="I357" s="9"/>
      <c r="J357" s="8"/>
      <c r="K357" s="47">
        <f>K356+Table234535612[[#This Row],[AMOUNT]]-Table234535612[[#This Row],[AMOUNT2]]-Table234535612[[#This Row],[AMOUNT3]]</f>
        <v>15500</v>
      </c>
      <c r="L357" s="94"/>
    </row>
    <row r="358" spans="1:12" x14ac:dyDescent="0.35">
      <c r="A358" s="29"/>
      <c r="B358" s="7"/>
      <c r="C358" s="8"/>
      <c r="D358" s="7"/>
      <c r="E358" s="7"/>
      <c r="F358" s="9"/>
      <c r="G358" s="13"/>
      <c r="H358" s="13"/>
      <c r="I358" s="9"/>
      <c r="J358" s="8"/>
      <c r="K358" s="47">
        <f>K357+Table234535612[[#This Row],[AMOUNT]]-Table234535612[[#This Row],[AMOUNT2]]-Table234535612[[#This Row],[AMOUNT3]]</f>
        <v>15500</v>
      </c>
      <c r="L358" s="94"/>
    </row>
    <row r="359" spans="1:12" x14ac:dyDescent="0.35">
      <c r="A359" s="29"/>
      <c r="B359" s="7"/>
      <c r="C359" s="8"/>
      <c r="D359" s="7"/>
      <c r="E359" s="7"/>
      <c r="F359" s="9"/>
      <c r="G359" s="13"/>
      <c r="H359" s="13"/>
      <c r="I359" s="9"/>
      <c r="J359" s="8"/>
      <c r="K359" s="47">
        <f>K358+Table234535612[[#This Row],[AMOUNT]]-Table234535612[[#This Row],[AMOUNT2]]-Table234535612[[#This Row],[AMOUNT3]]</f>
        <v>15500</v>
      </c>
      <c r="L359" s="94"/>
    </row>
    <row r="360" spans="1:12" x14ac:dyDescent="0.35">
      <c r="A360" s="29"/>
      <c r="B360" s="7"/>
      <c r="C360" s="8"/>
      <c r="D360" s="7"/>
      <c r="E360" s="7"/>
      <c r="F360" s="9"/>
      <c r="G360" s="13"/>
      <c r="H360" s="13"/>
      <c r="I360" s="9"/>
      <c r="J360" s="8"/>
      <c r="K360" s="47">
        <f>K359+Table234535612[[#This Row],[AMOUNT]]-Table234535612[[#This Row],[AMOUNT2]]-Table234535612[[#This Row],[AMOUNT3]]</f>
        <v>15500</v>
      </c>
      <c r="L360" s="94"/>
    </row>
    <row r="361" spans="1:12" x14ac:dyDescent="0.35">
      <c r="A361" s="29"/>
      <c r="B361" s="7"/>
      <c r="C361" s="8"/>
      <c r="D361" s="7"/>
      <c r="E361" s="7"/>
      <c r="F361" s="9"/>
      <c r="G361" s="13"/>
      <c r="H361" s="13"/>
      <c r="I361" s="9"/>
      <c r="J361" s="8"/>
      <c r="K361" s="47">
        <f>K360+Table234535612[[#This Row],[AMOUNT]]-Table234535612[[#This Row],[AMOUNT2]]-Table234535612[[#This Row],[AMOUNT3]]</f>
        <v>15500</v>
      </c>
      <c r="L361" s="94"/>
    </row>
    <row r="362" spans="1:12" x14ac:dyDescent="0.35">
      <c r="A362" s="29"/>
      <c r="B362" s="7"/>
      <c r="C362" s="8"/>
      <c r="D362" s="7"/>
      <c r="E362" s="7"/>
      <c r="F362" s="9"/>
      <c r="G362" s="13"/>
      <c r="H362" s="13"/>
      <c r="I362" s="9"/>
      <c r="J362" s="8"/>
      <c r="K362" s="47">
        <f>K361+Table234535612[[#This Row],[AMOUNT]]-Table234535612[[#This Row],[AMOUNT2]]-Table234535612[[#This Row],[AMOUNT3]]</f>
        <v>15500</v>
      </c>
      <c r="L362" s="94"/>
    </row>
    <row r="363" spans="1:12" x14ac:dyDescent="0.35">
      <c r="A363" s="29"/>
      <c r="B363" s="7"/>
      <c r="C363" s="8"/>
      <c r="D363" s="7"/>
      <c r="E363" s="7"/>
      <c r="F363" s="9"/>
      <c r="G363" s="13"/>
      <c r="H363" s="13"/>
      <c r="I363" s="9"/>
      <c r="J363" s="8"/>
      <c r="K363" s="47">
        <f>K362+Table234535612[[#This Row],[AMOUNT]]-Table234535612[[#This Row],[AMOUNT2]]-Table234535612[[#This Row],[AMOUNT3]]</f>
        <v>15500</v>
      </c>
      <c r="L363" s="94"/>
    </row>
    <row r="364" spans="1:12" x14ac:dyDescent="0.35">
      <c r="A364" s="29"/>
      <c r="B364" s="7"/>
      <c r="C364" s="8"/>
      <c r="D364" s="7"/>
      <c r="E364" s="7"/>
      <c r="F364" s="7"/>
      <c r="G364" s="13"/>
      <c r="H364" s="13"/>
      <c r="I364" s="9"/>
      <c r="J364" s="8"/>
      <c r="K364" s="47">
        <f>K363+Table234535612[[#This Row],[AMOUNT]]-Table234535612[[#This Row],[AMOUNT2]]-Table234535612[[#This Row],[AMOUNT3]]</f>
        <v>15500</v>
      </c>
      <c r="L364" s="94"/>
    </row>
    <row r="365" spans="1:12" x14ac:dyDescent="0.35">
      <c r="A365" s="29"/>
      <c r="B365" s="7"/>
      <c r="C365" s="8"/>
      <c r="D365" s="7"/>
      <c r="E365" s="7"/>
      <c r="F365" s="9"/>
      <c r="G365" s="13"/>
      <c r="H365" s="13"/>
      <c r="I365" s="9"/>
      <c r="J365" s="8"/>
      <c r="K365" s="47">
        <f>K364+Table234535612[[#This Row],[AMOUNT]]-Table234535612[[#This Row],[AMOUNT2]]-Table234535612[[#This Row],[AMOUNT3]]</f>
        <v>15500</v>
      </c>
      <c r="L365" s="94"/>
    </row>
    <row r="366" spans="1:12" x14ac:dyDescent="0.35">
      <c r="A366" s="29"/>
      <c r="B366" s="7"/>
      <c r="C366" s="8"/>
      <c r="D366" s="7"/>
      <c r="E366" s="7"/>
      <c r="F366" s="7"/>
      <c r="G366" s="13"/>
      <c r="H366" s="13"/>
      <c r="I366" s="9"/>
      <c r="J366" s="8"/>
      <c r="K366" s="47">
        <f>K365+Table234535612[[#This Row],[AMOUNT]]-Table234535612[[#This Row],[AMOUNT2]]-Table234535612[[#This Row],[AMOUNT3]]</f>
        <v>15500</v>
      </c>
      <c r="L366" s="94"/>
    </row>
    <row r="367" spans="1:12" x14ac:dyDescent="0.35">
      <c r="A367" s="29"/>
      <c r="B367" s="7"/>
      <c r="C367" s="8"/>
      <c r="D367" s="7"/>
      <c r="E367" s="7"/>
      <c r="F367" s="9"/>
      <c r="G367" s="13"/>
      <c r="H367" s="13"/>
      <c r="I367" s="9"/>
      <c r="J367" s="8"/>
      <c r="K367" s="47">
        <f>K366+Table234535612[[#This Row],[AMOUNT]]-Table234535612[[#This Row],[AMOUNT2]]-Table234535612[[#This Row],[AMOUNT3]]</f>
        <v>15500</v>
      </c>
      <c r="L367" s="94"/>
    </row>
    <row r="368" spans="1:12" x14ac:dyDescent="0.35">
      <c r="A368" s="29"/>
      <c r="B368" s="7"/>
      <c r="C368" s="8"/>
      <c r="D368" s="7"/>
      <c r="E368" s="7"/>
      <c r="F368" s="9"/>
      <c r="G368" s="13"/>
      <c r="H368" s="13"/>
      <c r="I368" s="9"/>
      <c r="J368" s="8"/>
      <c r="K368" s="47">
        <f>K367+Table234535612[[#This Row],[AMOUNT]]-Table234535612[[#This Row],[AMOUNT2]]-Table234535612[[#This Row],[AMOUNT3]]</f>
        <v>15500</v>
      </c>
      <c r="L368" s="94"/>
    </row>
    <row r="369" spans="1:12" x14ac:dyDescent="0.35">
      <c r="A369" s="29"/>
      <c r="B369" s="36"/>
      <c r="C369" s="37"/>
      <c r="D369" s="7"/>
      <c r="E369" s="7"/>
      <c r="F369" s="9"/>
      <c r="G369" s="13"/>
      <c r="H369" s="13"/>
      <c r="I369" s="9"/>
      <c r="J369" s="8"/>
      <c r="K369" s="47">
        <f>K368+Table234535612[[#This Row],[AMOUNT]]-Table234535612[[#This Row],[AMOUNT2]]-Table234535612[[#This Row],[AMOUNT3]]</f>
        <v>15500</v>
      </c>
      <c r="L369" s="94"/>
    </row>
    <row r="370" spans="1:12" x14ac:dyDescent="0.35">
      <c r="A370" s="29"/>
      <c r="B370" s="7"/>
      <c r="C370" s="8"/>
      <c r="D370" s="7"/>
      <c r="E370" s="7"/>
      <c r="F370" s="7"/>
      <c r="G370" s="13"/>
      <c r="H370" s="13"/>
      <c r="I370" s="9"/>
      <c r="J370" s="8"/>
      <c r="K370" s="47">
        <f>K369+Table234535612[[#This Row],[AMOUNT]]-Table234535612[[#This Row],[AMOUNT2]]-Table234535612[[#This Row],[AMOUNT3]]</f>
        <v>15500</v>
      </c>
      <c r="L370" s="94"/>
    </row>
    <row r="371" spans="1:12" x14ac:dyDescent="0.35">
      <c r="A371" s="38"/>
      <c r="B371" s="7"/>
      <c r="C371" s="8"/>
      <c r="D371" s="7"/>
      <c r="E371" s="7"/>
      <c r="F371" s="34"/>
      <c r="G371" s="13"/>
      <c r="H371" s="13"/>
      <c r="I371" s="9"/>
      <c r="J371" s="8"/>
      <c r="K371" s="47">
        <f>K370+Table234535612[[#This Row],[AMOUNT]]-Table234535612[[#This Row],[AMOUNT2]]-Table234535612[[#This Row],[AMOUNT3]]</f>
        <v>15500</v>
      </c>
      <c r="L371" s="94"/>
    </row>
    <row r="372" spans="1:12" x14ac:dyDescent="0.35">
      <c r="A372" s="43"/>
      <c r="B372" s="7"/>
      <c r="C372" s="8"/>
      <c r="D372" s="7"/>
      <c r="E372" s="7"/>
      <c r="F372" s="9"/>
      <c r="G372" s="13"/>
      <c r="H372" s="13"/>
      <c r="I372" s="9"/>
      <c r="J372" s="8"/>
      <c r="K372" s="47">
        <f>K371+Table234535612[[#This Row],[AMOUNT]]-Table234535612[[#This Row],[AMOUNT2]]-Table234535612[[#This Row],[AMOUNT3]]</f>
        <v>15500</v>
      </c>
      <c r="L372" s="94"/>
    </row>
    <row r="373" spans="1:12" x14ac:dyDescent="0.35">
      <c r="A373" s="43"/>
      <c r="B373" s="44"/>
      <c r="C373" s="8"/>
      <c r="D373" s="7"/>
      <c r="E373" s="7"/>
      <c r="F373" s="7"/>
      <c r="G373" s="13"/>
      <c r="H373" s="13"/>
      <c r="I373" s="9"/>
      <c r="J373" s="8"/>
      <c r="K373" s="47">
        <f>K372+Table234535612[[#This Row],[AMOUNT]]-Table234535612[[#This Row],[AMOUNT2]]-Table234535612[[#This Row],[AMOUNT3]]</f>
        <v>15500</v>
      </c>
      <c r="L373" s="94"/>
    </row>
    <row r="374" spans="1:12" x14ac:dyDescent="0.35">
      <c r="A374" s="43"/>
      <c r="B374" s="7"/>
      <c r="C374" s="8"/>
      <c r="D374" s="7"/>
      <c r="E374" s="7"/>
      <c r="F374" s="7"/>
      <c r="G374" s="13"/>
      <c r="H374" s="13"/>
      <c r="I374" s="9"/>
      <c r="J374" s="8"/>
      <c r="K374" s="47">
        <f>K373+Table234535612[[#This Row],[AMOUNT]]-Table234535612[[#This Row],[AMOUNT2]]-Table234535612[[#This Row],[AMOUNT3]]</f>
        <v>15500</v>
      </c>
      <c r="L374" s="94"/>
    </row>
    <row r="375" spans="1:12" x14ac:dyDescent="0.35">
      <c r="A375" s="43"/>
      <c r="B375" s="44"/>
      <c r="C375" s="8"/>
      <c r="D375" s="7"/>
      <c r="E375" s="7"/>
      <c r="F375" s="7"/>
      <c r="G375" s="13"/>
      <c r="H375" s="13"/>
      <c r="I375" s="9"/>
      <c r="J375" s="8"/>
      <c r="K375" s="47">
        <f>K374+Table234535612[[#This Row],[AMOUNT]]-Table234535612[[#This Row],[AMOUNT2]]-Table234535612[[#This Row],[AMOUNT3]]</f>
        <v>15500</v>
      </c>
      <c r="L375" s="94"/>
    </row>
    <row r="376" spans="1:12" x14ac:dyDescent="0.35">
      <c r="A376" s="43"/>
      <c r="B376" s="44"/>
      <c r="C376" s="8"/>
      <c r="D376" s="7"/>
      <c r="E376" s="7"/>
      <c r="F376" s="7"/>
      <c r="G376" s="13"/>
      <c r="H376" s="13"/>
      <c r="I376" s="9"/>
      <c r="J376" s="8"/>
      <c r="K376" s="47">
        <f>K375+Table234535612[[#This Row],[AMOUNT]]-Table234535612[[#This Row],[AMOUNT2]]-Table234535612[[#This Row],[AMOUNT3]]</f>
        <v>15500</v>
      </c>
      <c r="L376" s="94"/>
    </row>
    <row r="377" spans="1:12" x14ac:dyDescent="0.35">
      <c r="A377" s="43"/>
      <c r="B377" s="44"/>
      <c r="C377" s="8"/>
      <c r="D377" s="7"/>
      <c r="E377" s="7"/>
      <c r="F377" s="7"/>
      <c r="G377" s="13"/>
      <c r="H377" s="13"/>
      <c r="I377" s="9"/>
      <c r="J377" s="8"/>
      <c r="K377" s="47">
        <f>K376+Table234535612[[#This Row],[AMOUNT]]-Table234535612[[#This Row],[AMOUNT2]]-Table234535612[[#This Row],[AMOUNT3]]</f>
        <v>15500</v>
      </c>
      <c r="L377" s="94"/>
    </row>
    <row r="378" spans="1:12" x14ac:dyDescent="0.35">
      <c r="A378" s="43"/>
      <c r="B378" s="7"/>
      <c r="C378" s="37"/>
      <c r="D378" s="7"/>
      <c r="E378" s="7"/>
      <c r="F378" s="9"/>
      <c r="G378" s="13"/>
      <c r="H378" s="13"/>
      <c r="I378" s="9"/>
      <c r="J378" s="8"/>
      <c r="K378" s="47">
        <f>K377+Table234535612[[#This Row],[AMOUNT]]-Table234535612[[#This Row],[AMOUNT2]]-Table234535612[[#This Row],[AMOUNT3]]</f>
        <v>15500</v>
      </c>
      <c r="L378" s="94"/>
    </row>
    <row r="379" spans="1:12" x14ac:dyDescent="0.35">
      <c r="A379" s="43"/>
      <c r="B379" s="7"/>
      <c r="C379" s="8"/>
      <c r="D379" s="7"/>
      <c r="E379" s="26"/>
      <c r="F379" s="9"/>
      <c r="G379" s="13"/>
      <c r="H379" s="13"/>
      <c r="I379" s="9"/>
      <c r="J379" s="8"/>
      <c r="K379" s="47">
        <f>K378+Table234535612[[#This Row],[AMOUNT]]-Table234535612[[#This Row],[AMOUNT2]]-Table234535612[[#This Row],[AMOUNT3]]</f>
        <v>15500</v>
      </c>
      <c r="L379" s="94"/>
    </row>
    <row r="380" spans="1:12" x14ac:dyDescent="0.35">
      <c r="A380" s="43"/>
      <c r="B380" s="7"/>
      <c r="C380" s="8"/>
      <c r="D380" s="7"/>
      <c r="E380" s="7"/>
      <c r="F380" s="9"/>
      <c r="G380" s="13"/>
      <c r="H380" s="13"/>
      <c r="I380" s="9"/>
      <c r="J380" s="8"/>
      <c r="K380" s="47">
        <f>K379+Table234535612[[#This Row],[AMOUNT]]-Table234535612[[#This Row],[AMOUNT2]]-Table234535612[[#This Row],[AMOUNT3]]</f>
        <v>15500</v>
      </c>
      <c r="L380" s="94"/>
    </row>
    <row r="381" spans="1:12" x14ac:dyDescent="0.35">
      <c r="A381" s="43"/>
      <c r="B381" s="7"/>
      <c r="C381" s="8"/>
      <c r="D381" s="26"/>
      <c r="E381" s="7"/>
      <c r="F381" s="9"/>
      <c r="G381" s="13"/>
      <c r="H381" s="13"/>
      <c r="I381" s="9"/>
      <c r="J381" s="8"/>
      <c r="K381" s="47">
        <f>K380+Table234535612[[#This Row],[AMOUNT]]-Table234535612[[#This Row],[AMOUNT2]]-Table234535612[[#This Row],[AMOUNT3]]</f>
        <v>15500</v>
      </c>
      <c r="L381" s="94"/>
    </row>
    <row r="382" spans="1:12" x14ac:dyDescent="0.35">
      <c r="A382" s="43"/>
      <c r="B382" s="7"/>
      <c r="C382" s="8"/>
      <c r="D382" s="7"/>
      <c r="E382" s="7"/>
      <c r="F382" s="9"/>
      <c r="G382" s="13"/>
      <c r="H382" s="13"/>
      <c r="I382" s="9"/>
      <c r="J382" s="8"/>
      <c r="K382" s="47">
        <f>K381+Table234535612[[#This Row],[AMOUNT]]-Table234535612[[#This Row],[AMOUNT2]]-Table234535612[[#This Row],[AMOUNT3]]</f>
        <v>15500</v>
      </c>
      <c r="L382" s="94"/>
    </row>
    <row r="383" spans="1:12" x14ac:dyDescent="0.35">
      <c r="A383" s="44"/>
      <c r="B383" s="7"/>
      <c r="C383" s="8"/>
      <c r="D383" s="7"/>
      <c r="E383" s="7"/>
      <c r="F383" s="9"/>
      <c r="G383" s="13"/>
      <c r="H383" s="13"/>
      <c r="I383" s="9"/>
      <c r="J383" s="8"/>
      <c r="K383" s="47">
        <f>K382+Table234535612[[#This Row],[AMOUNT]]-Table234535612[[#This Row],[AMOUNT2]]-Table234535612[[#This Row],[AMOUNT3]]</f>
        <v>15500</v>
      </c>
      <c r="L383" s="94"/>
    </row>
    <row r="384" spans="1:12" x14ac:dyDescent="0.35">
      <c r="A384" s="44"/>
      <c r="B384" s="7"/>
      <c r="C384" s="8"/>
      <c r="D384" s="7"/>
      <c r="E384" s="7"/>
      <c r="F384" s="9"/>
      <c r="G384" s="13"/>
      <c r="H384" s="13"/>
      <c r="I384" s="9"/>
      <c r="J384" s="8"/>
      <c r="K384" s="47">
        <f>K383+Table234535612[[#This Row],[AMOUNT]]-Table234535612[[#This Row],[AMOUNT2]]-Table234535612[[#This Row],[AMOUNT3]]</f>
        <v>15500</v>
      </c>
      <c r="L384" s="94"/>
    </row>
    <row r="385" spans="1:12" x14ac:dyDescent="0.35">
      <c r="A385" s="44"/>
      <c r="B385" s="7"/>
      <c r="C385" s="8"/>
      <c r="D385" s="7"/>
      <c r="E385" s="26"/>
      <c r="F385" s="9"/>
      <c r="G385" s="13"/>
      <c r="H385" s="13"/>
      <c r="I385" s="9"/>
      <c r="J385" s="8"/>
      <c r="K385" s="47">
        <f>K384+Table234535612[[#This Row],[AMOUNT]]-Table234535612[[#This Row],[AMOUNT2]]-Table234535612[[#This Row],[AMOUNT3]]</f>
        <v>15500</v>
      </c>
      <c r="L385" s="94"/>
    </row>
    <row r="386" spans="1:12" x14ac:dyDescent="0.35">
      <c r="A386" s="44"/>
      <c r="B386" s="7"/>
      <c r="C386" s="8"/>
      <c r="D386" s="7"/>
      <c r="E386" s="7"/>
      <c r="F386" s="9"/>
      <c r="G386" s="13"/>
      <c r="H386" s="13"/>
      <c r="I386" s="9"/>
      <c r="J386" s="8"/>
      <c r="K386" s="47">
        <f>K385+Table234535612[[#This Row],[AMOUNT]]-Table234535612[[#This Row],[AMOUNT2]]-Table234535612[[#This Row],[AMOUNT3]]</f>
        <v>15500</v>
      </c>
      <c r="L386" s="94"/>
    </row>
    <row r="387" spans="1:12" x14ac:dyDescent="0.35">
      <c r="A387" s="44"/>
      <c r="B387" s="7"/>
      <c r="C387" s="8"/>
      <c r="D387" s="7"/>
      <c r="E387" s="7"/>
      <c r="F387" s="9"/>
      <c r="G387" s="13"/>
      <c r="H387" s="13"/>
      <c r="I387" s="9"/>
      <c r="J387" s="8"/>
      <c r="K387" s="47">
        <f>K386+Table234535612[[#This Row],[AMOUNT]]-Table234535612[[#This Row],[AMOUNT2]]-Table234535612[[#This Row],[AMOUNT3]]</f>
        <v>15500</v>
      </c>
      <c r="L387" s="94"/>
    </row>
    <row r="388" spans="1:12" x14ac:dyDescent="0.35">
      <c r="A388" s="44"/>
      <c r="B388" s="7"/>
      <c r="C388" s="8"/>
      <c r="D388" s="7"/>
      <c r="E388" s="26"/>
      <c r="F388" s="9"/>
      <c r="G388" s="13"/>
      <c r="H388" s="13"/>
      <c r="I388" s="9"/>
      <c r="J388" s="8"/>
      <c r="K388" s="47">
        <f>K387+Table234535612[[#This Row],[AMOUNT]]-Table234535612[[#This Row],[AMOUNT2]]-Table234535612[[#This Row],[AMOUNT3]]</f>
        <v>15500</v>
      </c>
      <c r="L388" s="94"/>
    </row>
    <row r="389" spans="1:12" x14ac:dyDescent="0.35">
      <c r="A389" s="44"/>
      <c r="B389" s="7"/>
      <c r="C389" s="8"/>
      <c r="D389" s="7"/>
      <c r="E389" s="26"/>
      <c r="F389" s="9"/>
      <c r="G389" s="13"/>
      <c r="H389" s="13"/>
      <c r="I389" s="9"/>
      <c r="J389" s="8"/>
      <c r="K389" s="47">
        <f>K388+Table234535612[[#This Row],[AMOUNT]]-Table234535612[[#This Row],[AMOUNT2]]-Table234535612[[#This Row],[AMOUNT3]]</f>
        <v>15500</v>
      </c>
      <c r="L389" s="94"/>
    </row>
    <row r="390" spans="1:12" x14ac:dyDescent="0.35">
      <c r="A390" s="44"/>
      <c r="B390" s="7"/>
      <c r="C390" s="8"/>
      <c r="D390" s="7"/>
      <c r="E390" s="7"/>
      <c r="F390" s="9"/>
      <c r="G390" s="13"/>
      <c r="H390" s="13"/>
      <c r="I390" s="9"/>
      <c r="J390" s="8"/>
      <c r="K390" s="47">
        <f>K389+Table234535612[[#This Row],[AMOUNT]]-Table234535612[[#This Row],[AMOUNT2]]-Table234535612[[#This Row],[AMOUNT3]]</f>
        <v>15500</v>
      </c>
      <c r="L390" s="94"/>
    </row>
    <row r="391" spans="1:12" x14ac:dyDescent="0.35">
      <c r="A391" s="44"/>
      <c r="B391" s="7"/>
      <c r="C391" s="8"/>
      <c r="D391" s="7"/>
      <c r="E391" s="26"/>
      <c r="F391" s="9"/>
      <c r="G391" s="13"/>
      <c r="H391" s="13"/>
      <c r="I391" s="9"/>
      <c r="J391" s="8"/>
      <c r="K391" s="47">
        <f>K390+Table234535612[[#This Row],[AMOUNT]]-Table234535612[[#This Row],[AMOUNT2]]-Table234535612[[#This Row],[AMOUNT3]]</f>
        <v>15500</v>
      </c>
      <c r="L391" s="94"/>
    </row>
    <row r="392" spans="1:12" x14ac:dyDescent="0.35">
      <c r="A392" s="44"/>
      <c r="B392" s="7"/>
      <c r="C392" s="8"/>
      <c r="D392" s="7"/>
      <c r="E392" s="7"/>
      <c r="F392" s="9"/>
      <c r="G392" s="13"/>
      <c r="H392" s="13"/>
      <c r="I392" s="9"/>
      <c r="J392" s="8"/>
      <c r="K392" s="47">
        <f>K391+Table234535612[[#This Row],[AMOUNT]]-Table234535612[[#This Row],[AMOUNT2]]-Table234535612[[#This Row],[AMOUNT3]]</f>
        <v>15500</v>
      </c>
      <c r="L392" s="94"/>
    </row>
    <row r="393" spans="1:12" x14ac:dyDescent="0.35">
      <c r="A393" s="44"/>
      <c r="B393" s="7"/>
      <c r="C393" s="8"/>
      <c r="D393" s="7"/>
      <c r="E393" s="7"/>
      <c r="F393" s="9"/>
      <c r="G393" s="13"/>
      <c r="H393" s="13"/>
      <c r="I393" s="9"/>
      <c r="J393" s="8"/>
      <c r="K393" s="47">
        <f>K392+Table234535612[[#This Row],[AMOUNT]]-Table234535612[[#This Row],[AMOUNT2]]-Table234535612[[#This Row],[AMOUNT3]]</f>
        <v>15500</v>
      </c>
      <c r="L393" s="94"/>
    </row>
    <row r="394" spans="1:12" x14ac:dyDescent="0.35">
      <c r="A394" s="44"/>
      <c r="B394" s="7"/>
      <c r="C394" s="8"/>
      <c r="D394" s="7"/>
      <c r="E394" s="26"/>
      <c r="F394" s="9"/>
      <c r="G394" s="13"/>
      <c r="H394" s="13"/>
      <c r="I394" s="9"/>
      <c r="J394" s="8"/>
      <c r="K394" s="47">
        <f>K393+Table234535612[[#This Row],[AMOUNT]]-Table234535612[[#This Row],[AMOUNT2]]-Table234535612[[#This Row],[AMOUNT3]]</f>
        <v>15500</v>
      </c>
      <c r="L394" s="94"/>
    </row>
    <row r="395" spans="1:12" x14ac:dyDescent="0.35">
      <c r="A395" s="44"/>
      <c r="B395" s="7"/>
      <c r="C395" s="8"/>
      <c r="D395" s="7"/>
      <c r="E395" s="7"/>
      <c r="F395" s="9"/>
      <c r="G395" s="13"/>
      <c r="H395" s="13"/>
      <c r="I395" s="9"/>
      <c r="J395" s="8"/>
      <c r="K395" s="47">
        <f>K394+Table234535612[[#This Row],[AMOUNT]]-Table234535612[[#This Row],[AMOUNT2]]-Table234535612[[#This Row],[AMOUNT3]]</f>
        <v>15500</v>
      </c>
      <c r="L395" s="94"/>
    </row>
    <row r="396" spans="1:12" x14ac:dyDescent="0.35">
      <c r="A396" s="44"/>
      <c r="B396" s="7"/>
      <c r="C396" s="8"/>
      <c r="D396" s="7"/>
      <c r="E396" s="7"/>
      <c r="F396" s="9"/>
      <c r="G396" s="13"/>
      <c r="H396" s="13"/>
      <c r="I396" s="9"/>
      <c r="J396" s="8"/>
      <c r="K396" s="47">
        <f>K395+Table234535612[[#This Row],[AMOUNT]]-Table234535612[[#This Row],[AMOUNT2]]-Table234535612[[#This Row],[AMOUNT3]]</f>
        <v>15500</v>
      </c>
      <c r="L396" s="94"/>
    </row>
    <row r="397" spans="1:12" x14ac:dyDescent="0.35">
      <c r="A397" s="44"/>
      <c r="B397" s="7"/>
      <c r="C397" s="8"/>
      <c r="D397" s="7"/>
      <c r="E397" s="7"/>
      <c r="F397" s="9"/>
      <c r="G397" s="13"/>
      <c r="H397" s="13"/>
      <c r="I397" s="9"/>
      <c r="J397" s="8"/>
      <c r="K397" s="47">
        <f>K396+Table234535612[[#This Row],[AMOUNT]]-Table234535612[[#This Row],[AMOUNT2]]-Table234535612[[#This Row],[AMOUNT3]]</f>
        <v>15500</v>
      </c>
      <c r="L397" s="94"/>
    </row>
    <row r="398" spans="1:12" x14ac:dyDescent="0.35">
      <c r="A398" s="44"/>
      <c r="B398" s="7"/>
      <c r="C398" s="8"/>
      <c r="D398" s="7"/>
      <c r="E398" s="7"/>
      <c r="F398" s="9"/>
      <c r="G398" s="13"/>
      <c r="H398" s="13"/>
      <c r="I398" s="9"/>
      <c r="J398" s="8"/>
      <c r="K398" s="47">
        <f>K397+Table234535612[[#This Row],[AMOUNT]]-Table234535612[[#This Row],[AMOUNT2]]-Table234535612[[#This Row],[AMOUNT3]]</f>
        <v>15500</v>
      </c>
      <c r="L398" s="94"/>
    </row>
    <row r="399" spans="1:12" x14ac:dyDescent="0.35">
      <c r="A399" s="44"/>
      <c r="B399" s="7"/>
      <c r="C399" s="8"/>
      <c r="D399" s="7"/>
      <c r="E399" s="7"/>
      <c r="F399" s="9"/>
      <c r="G399" s="13"/>
      <c r="H399" s="13"/>
      <c r="I399" s="9"/>
      <c r="J399" s="8"/>
      <c r="K399" s="47">
        <f>K398+Table234535612[[#This Row],[AMOUNT]]-Table234535612[[#This Row],[AMOUNT2]]-Table234535612[[#This Row],[AMOUNT3]]</f>
        <v>15500</v>
      </c>
      <c r="L399" s="94"/>
    </row>
    <row r="400" spans="1:12" x14ac:dyDescent="0.35">
      <c r="A400" s="44"/>
      <c r="B400" s="7"/>
      <c r="C400" s="8"/>
      <c r="D400" s="7"/>
      <c r="E400" s="7"/>
      <c r="F400" s="9"/>
      <c r="G400" s="13"/>
      <c r="H400" s="13"/>
      <c r="I400" s="9"/>
      <c r="J400" s="8"/>
      <c r="K400" s="47">
        <f>K399+Table234535612[[#This Row],[AMOUNT]]-Table234535612[[#This Row],[AMOUNT2]]-Table234535612[[#This Row],[AMOUNT3]]</f>
        <v>15500</v>
      </c>
      <c r="L400" s="94"/>
    </row>
    <row r="401" spans="1:12" x14ac:dyDescent="0.35">
      <c r="A401" s="44"/>
      <c r="B401" s="7"/>
      <c r="C401" s="8"/>
      <c r="D401" s="7"/>
      <c r="E401" s="26"/>
      <c r="F401" s="9"/>
      <c r="G401" s="13"/>
      <c r="H401" s="13"/>
      <c r="I401" s="9"/>
      <c r="J401" s="8"/>
      <c r="K401" s="47">
        <f>K400+Table234535612[[#This Row],[AMOUNT]]-Table234535612[[#This Row],[AMOUNT2]]-Table234535612[[#This Row],[AMOUNT3]]</f>
        <v>15500</v>
      </c>
      <c r="L401" s="94"/>
    </row>
    <row r="402" spans="1:12" x14ac:dyDescent="0.35">
      <c r="A402" s="44"/>
      <c r="B402" s="7"/>
      <c r="C402" s="8"/>
      <c r="D402" s="26"/>
      <c r="E402" s="7"/>
      <c r="F402" s="9"/>
      <c r="G402" s="13"/>
      <c r="H402" s="13"/>
      <c r="I402" s="9"/>
      <c r="J402" s="8"/>
      <c r="K402" s="47">
        <f>K401+Table234535612[[#This Row],[AMOUNT]]-Table234535612[[#This Row],[AMOUNT2]]-Table234535612[[#This Row],[AMOUNT3]]</f>
        <v>15500</v>
      </c>
      <c r="L402" s="94"/>
    </row>
    <row r="403" spans="1:12" x14ac:dyDescent="0.35">
      <c r="A403" s="44"/>
      <c r="B403" s="7"/>
      <c r="C403" s="8"/>
      <c r="D403" s="26"/>
      <c r="E403" s="26"/>
      <c r="F403" s="9"/>
      <c r="G403" s="13"/>
      <c r="H403" s="13"/>
      <c r="I403" s="9"/>
      <c r="J403" s="8"/>
      <c r="K403" s="47">
        <f>K402+Table234535612[[#This Row],[AMOUNT]]-Table234535612[[#This Row],[AMOUNT2]]-Table234535612[[#This Row],[AMOUNT3]]</f>
        <v>15500</v>
      </c>
      <c r="L403" s="94"/>
    </row>
    <row r="404" spans="1:12" x14ac:dyDescent="0.35">
      <c r="A404" s="29"/>
      <c r="B404" s="7"/>
      <c r="C404" s="8"/>
      <c r="D404" s="26"/>
      <c r="E404" s="7"/>
      <c r="F404" s="9"/>
      <c r="G404" s="13"/>
      <c r="H404" s="13"/>
      <c r="I404" s="9"/>
      <c r="J404" s="8"/>
      <c r="K404" s="47">
        <f>K403+Table234535612[[#This Row],[AMOUNT]]-Table234535612[[#This Row],[AMOUNT2]]-Table234535612[[#This Row],[AMOUNT3]]</f>
        <v>15500</v>
      </c>
      <c r="L404" s="94"/>
    </row>
    <row r="405" spans="1:12" x14ac:dyDescent="0.35">
      <c r="A405" s="29"/>
      <c r="B405" s="7"/>
      <c r="C405" s="8"/>
      <c r="D405" s="26"/>
      <c r="E405" s="26"/>
      <c r="F405" s="9"/>
      <c r="G405" s="13"/>
      <c r="H405" s="13"/>
      <c r="I405" s="9"/>
      <c r="J405" s="8"/>
      <c r="K405" s="47">
        <f>K404+Table234535612[[#This Row],[AMOUNT]]-Table234535612[[#This Row],[AMOUNT2]]-Table234535612[[#This Row],[AMOUNT3]]</f>
        <v>15500</v>
      </c>
      <c r="L405" s="94"/>
    </row>
    <row r="406" spans="1:12" x14ac:dyDescent="0.35">
      <c r="A406" s="29"/>
      <c r="B406" s="7"/>
      <c r="C406" s="8"/>
      <c r="D406" s="7"/>
      <c r="E406" s="7"/>
      <c r="F406" s="9"/>
      <c r="G406" s="13"/>
      <c r="H406" s="13"/>
      <c r="I406" s="9"/>
      <c r="J406" s="8"/>
      <c r="K406" s="47">
        <f>K405+Table234535612[[#This Row],[AMOUNT]]-Table234535612[[#This Row],[AMOUNT2]]-Table234535612[[#This Row],[AMOUNT3]]</f>
        <v>15500</v>
      </c>
      <c r="L406" s="94"/>
    </row>
    <row r="407" spans="1:12" x14ac:dyDescent="0.35">
      <c r="A407" s="29"/>
      <c r="B407" s="7"/>
      <c r="C407" s="8"/>
      <c r="D407" s="7"/>
      <c r="E407" s="26"/>
      <c r="F407" s="9"/>
      <c r="G407" s="13"/>
      <c r="H407" s="13"/>
      <c r="I407" s="9"/>
      <c r="J407" s="8"/>
      <c r="K407" s="47">
        <f>K406+Table234535612[[#This Row],[AMOUNT]]-Table234535612[[#This Row],[AMOUNT2]]-Table234535612[[#This Row],[AMOUNT3]]</f>
        <v>15500</v>
      </c>
      <c r="L407" s="94"/>
    </row>
    <row r="408" spans="1:12" x14ac:dyDescent="0.35">
      <c r="A408" s="29"/>
      <c r="B408" s="7"/>
      <c r="C408" s="8"/>
      <c r="D408" s="7"/>
      <c r="E408" s="7"/>
      <c r="F408" s="9"/>
      <c r="G408" s="13"/>
      <c r="H408" s="13"/>
      <c r="I408" s="9"/>
      <c r="J408" s="8"/>
      <c r="K408" s="47">
        <f>K407+Table234535612[[#This Row],[AMOUNT]]-Table234535612[[#This Row],[AMOUNT2]]-Table234535612[[#This Row],[AMOUNT3]]</f>
        <v>15500</v>
      </c>
      <c r="L408" s="94"/>
    </row>
    <row r="409" spans="1:12" x14ac:dyDescent="0.35">
      <c r="A409" s="29"/>
      <c r="B409" s="7"/>
      <c r="C409" s="8"/>
      <c r="D409" s="7"/>
      <c r="E409" s="7"/>
      <c r="F409" s="9"/>
      <c r="G409" s="13"/>
      <c r="H409" s="13"/>
      <c r="I409" s="9"/>
      <c r="J409" s="8"/>
      <c r="K409" s="47">
        <f>K408+Table234535612[[#This Row],[AMOUNT]]-Table234535612[[#This Row],[AMOUNT2]]-Table234535612[[#This Row],[AMOUNT3]]</f>
        <v>15500</v>
      </c>
      <c r="L409" s="94"/>
    </row>
    <row r="410" spans="1:12" x14ac:dyDescent="0.35">
      <c r="A410" s="29"/>
      <c r="B410" s="7"/>
      <c r="C410" s="8"/>
      <c r="D410" s="10"/>
      <c r="E410" s="7"/>
      <c r="F410" s="9"/>
      <c r="G410" s="13"/>
      <c r="H410" s="13"/>
      <c r="I410" s="9"/>
      <c r="J410" s="8"/>
      <c r="K410" s="47">
        <f>K409+Table234535612[[#This Row],[AMOUNT]]-Table234535612[[#This Row],[AMOUNT2]]-Table234535612[[#This Row],[AMOUNT3]]</f>
        <v>15500</v>
      </c>
      <c r="L410" s="94"/>
    </row>
    <row r="411" spans="1:12" x14ac:dyDescent="0.35">
      <c r="A411" s="29"/>
      <c r="B411" s="7"/>
      <c r="C411" s="8"/>
      <c r="D411" s="7"/>
      <c r="E411" s="7"/>
      <c r="F411" s="9"/>
      <c r="G411" s="13"/>
      <c r="H411" s="13"/>
      <c r="I411" s="9"/>
      <c r="J411" s="8"/>
      <c r="K411" s="47">
        <f>K410+Table234535612[[#This Row],[AMOUNT]]-Table234535612[[#This Row],[AMOUNT2]]-Table234535612[[#This Row],[AMOUNT3]]</f>
        <v>15500</v>
      </c>
      <c r="L411" s="94"/>
    </row>
    <row r="412" spans="1:12" x14ac:dyDescent="0.35">
      <c r="A412" s="29"/>
      <c r="B412" s="7"/>
      <c r="C412" s="8"/>
      <c r="D412" s="7"/>
      <c r="E412" s="12"/>
      <c r="F412" s="12"/>
      <c r="G412" s="11"/>
      <c r="H412" s="11"/>
      <c r="I412" s="9"/>
      <c r="J412" s="8"/>
      <c r="K412" s="47">
        <f>K411+Table234535612[[#This Row],[AMOUNT]]-Table234535612[[#This Row],[AMOUNT2]]-Table234535612[[#This Row],[AMOUNT3]]</f>
        <v>15500</v>
      </c>
      <c r="L412" s="94"/>
    </row>
    <row r="413" spans="1:12" x14ac:dyDescent="0.35">
      <c r="A413" s="29"/>
      <c r="B413" s="7"/>
      <c r="C413" s="8"/>
      <c r="D413" s="26"/>
      <c r="E413" s="7"/>
      <c r="F413" s="9"/>
      <c r="G413" s="13"/>
      <c r="H413" s="13"/>
      <c r="I413" s="9"/>
      <c r="J413" s="8"/>
      <c r="K413" s="47">
        <f>K412+Table234535612[[#This Row],[AMOUNT]]-Table234535612[[#This Row],[AMOUNT2]]-Table234535612[[#This Row],[AMOUNT3]]</f>
        <v>15500</v>
      </c>
      <c r="L413" s="94"/>
    </row>
    <row r="414" spans="1:12" x14ac:dyDescent="0.35">
      <c r="A414" s="29"/>
      <c r="B414" s="7"/>
      <c r="C414" s="8"/>
      <c r="D414" s="26"/>
      <c r="E414" s="7"/>
      <c r="F414" s="9"/>
      <c r="G414" s="13"/>
      <c r="H414" s="13"/>
      <c r="I414" s="9"/>
      <c r="J414" s="8"/>
      <c r="K414" s="47">
        <f>K413+Table234535612[[#This Row],[AMOUNT]]-Table234535612[[#This Row],[AMOUNT2]]-Table234535612[[#This Row],[AMOUNT3]]</f>
        <v>15500</v>
      </c>
      <c r="L414" s="94"/>
    </row>
    <row r="415" spans="1:12" x14ac:dyDescent="0.35">
      <c r="A415" s="29"/>
      <c r="B415" s="7"/>
      <c r="C415" s="8"/>
      <c r="D415" s="7"/>
      <c r="E415" s="7"/>
      <c r="F415" s="9"/>
      <c r="G415" s="13"/>
      <c r="H415" s="13"/>
      <c r="I415" s="9"/>
      <c r="J415" s="8"/>
      <c r="K415" s="47">
        <f>K414+Table234535612[[#This Row],[AMOUNT]]-Table234535612[[#This Row],[AMOUNT2]]-Table234535612[[#This Row],[AMOUNT3]]</f>
        <v>15500</v>
      </c>
      <c r="L415" s="94"/>
    </row>
    <row r="416" spans="1:12" x14ac:dyDescent="0.35">
      <c r="A416" s="29"/>
      <c r="B416" s="7"/>
      <c r="C416" s="8"/>
      <c r="D416" s="26"/>
      <c r="E416" s="7"/>
      <c r="F416" s="9"/>
      <c r="G416" s="13"/>
      <c r="H416" s="13"/>
      <c r="I416" s="9"/>
      <c r="J416" s="8"/>
      <c r="K416" s="47">
        <f>K415+Table234535612[[#This Row],[AMOUNT]]-Table234535612[[#This Row],[AMOUNT2]]-Table234535612[[#This Row],[AMOUNT3]]</f>
        <v>15500</v>
      </c>
      <c r="L416" s="94"/>
    </row>
    <row r="417" spans="1:12" x14ac:dyDescent="0.35">
      <c r="A417" s="29"/>
      <c r="B417" s="7"/>
      <c r="C417" s="8"/>
      <c r="D417" s="7"/>
      <c r="E417" s="26"/>
      <c r="F417" s="9"/>
      <c r="G417" s="13"/>
      <c r="H417" s="13"/>
      <c r="I417" s="9"/>
      <c r="J417" s="8"/>
      <c r="K417" s="47">
        <f>K416+Table234535612[[#This Row],[AMOUNT]]-Table234535612[[#This Row],[AMOUNT2]]-Table234535612[[#This Row],[AMOUNT3]]</f>
        <v>15500</v>
      </c>
      <c r="L417" s="94"/>
    </row>
    <row r="418" spans="1:12" x14ac:dyDescent="0.35">
      <c r="A418" s="29"/>
      <c r="B418" s="7"/>
      <c r="C418" s="8"/>
      <c r="D418" s="7"/>
      <c r="E418" s="7"/>
      <c r="F418" s="9"/>
      <c r="G418" s="13"/>
      <c r="H418" s="13"/>
      <c r="I418" s="9"/>
      <c r="J418" s="8"/>
      <c r="K418" s="47">
        <f>K417+Table234535612[[#This Row],[AMOUNT]]-Table234535612[[#This Row],[AMOUNT2]]-Table234535612[[#This Row],[AMOUNT3]]</f>
        <v>15500</v>
      </c>
      <c r="L418" s="94"/>
    </row>
    <row r="419" spans="1:12" x14ac:dyDescent="0.35">
      <c r="A419" s="29"/>
      <c r="B419" s="7"/>
      <c r="C419" s="8"/>
      <c r="D419" s="7"/>
      <c r="E419" s="26"/>
      <c r="F419" s="9"/>
      <c r="G419" s="13"/>
      <c r="H419" s="13"/>
      <c r="I419" s="9"/>
      <c r="J419" s="8"/>
      <c r="K419" s="47">
        <f>K418+Table234535612[[#This Row],[AMOUNT]]-Table234535612[[#This Row],[AMOUNT2]]-Table234535612[[#This Row],[AMOUNT3]]</f>
        <v>15500</v>
      </c>
      <c r="L419" s="94"/>
    </row>
    <row r="420" spans="1:12" x14ac:dyDescent="0.35">
      <c r="A420" s="29"/>
      <c r="B420" s="7"/>
      <c r="C420" s="8"/>
      <c r="D420" s="7"/>
      <c r="E420" s="7"/>
      <c r="F420" s="7"/>
      <c r="G420" s="13"/>
      <c r="H420" s="13"/>
      <c r="I420" s="9"/>
      <c r="J420" s="8"/>
      <c r="K420" s="47">
        <f>K419+Table234535612[[#This Row],[AMOUNT]]-Table234535612[[#This Row],[AMOUNT2]]-Table234535612[[#This Row],[AMOUNT3]]</f>
        <v>15500</v>
      </c>
      <c r="L420" s="94"/>
    </row>
    <row r="421" spans="1:12" x14ac:dyDescent="0.35">
      <c r="A421" s="29"/>
      <c r="B421" s="7"/>
      <c r="C421" s="8"/>
      <c r="D421" s="26"/>
      <c r="E421" s="7"/>
      <c r="F421" s="9"/>
      <c r="G421" s="13"/>
      <c r="H421" s="13"/>
      <c r="I421" s="9"/>
      <c r="J421" s="8"/>
      <c r="K421" s="47">
        <f>K420+Table234535612[[#This Row],[AMOUNT]]-Table234535612[[#This Row],[AMOUNT2]]-Table234535612[[#This Row],[AMOUNT3]]</f>
        <v>15500</v>
      </c>
      <c r="L421" s="94"/>
    </row>
    <row r="422" spans="1:12" x14ac:dyDescent="0.35">
      <c r="A422" s="29"/>
      <c r="B422" s="7"/>
      <c r="C422" s="8"/>
      <c r="D422" s="7"/>
      <c r="E422" s="7"/>
      <c r="F422" s="9"/>
      <c r="G422" s="13"/>
      <c r="H422" s="13"/>
      <c r="I422" s="9"/>
      <c r="J422" s="8"/>
      <c r="K422" s="47">
        <f>K421+Table234535612[[#This Row],[AMOUNT]]-Table234535612[[#This Row],[AMOUNT2]]-Table234535612[[#This Row],[AMOUNT3]]</f>
        <v>15500</v>
      </c>
      <c r="L422" s="94"/>
    </row>
    <row r="423" spans="1:12" x14ac:dyDescent="0.35">
      <c r="A423" s="29"/>
      <c r="B423" s="7"/>
      <c r="C423" s="8"/>
      <c r="D423" s="7"/>
      <c r="E423" s="7"/>
      <c r="F423" s="9"/>
      <c r="G423" s="13"/>
      <c r="H423" s="13"/>
      <c r="I423" s="9"/>
      <c r="J423" s="8"/>
      <c r="K423" s="47">
        <f>K422+Table234535612[[#This Row],[AMOUNT]]-Table234535612[[#This Row],[AMOUNT2]]-Table234535612[[#This Row],[AMOUNT3]]</f>
        <v>15500</v>
      </c>
      <c r="L423" s="94"/>
    </row>
    <row r="424" spans="1:12" x14ac:dyDescent="0.35">
      <c r="A424" s="29"/>
      <c r="B424" s="7"/>
      <c r="C424" s="8"/>
      <c r="D424" s="26"/>
      <c r="E424" s="7"/>
      <c r="F424" s="9"/>
      <c r="G424" s="13"/>
      <c r="H424" s="13"/>
      <c r="I424" s="9"/>
      <c r="J424" s="8"/>
      <c r="K424" s="47">
        <f>K423+Table234535612[[#This Row],[AMOUNT]]-Table234535612[[#This Row],[AMOUNT2]]-Table234535612[[#This Row],[AMOUNT3]]</f>
        <v>15500</v>
      </c>
      <c r="L424" s="94"/>
    </row>
    <row r="425" spans="1:12" x14ac:dyDescent="0.35">
      <c r="A425" s="29"/>
      <c r="B425" s="7"/>
      <c r="C425" s="8"/>
      <c r="D425" s="7"/>
      <c r="E425" s="7"/>
      <c r="F425" s="9"/>
      <c r="G425" s="13"/>
      <c r="H425" s="13"/>
      <c r="I425" s="9"/>
      <c r="J425" s="8"/>
      <c r="K425" s="47">
        <f>K424+Table234535612[[#This Row],[AMOUNT]]-Table234535612[[#This Row],[AMOUNT2]]-Table234535612[[#This Row],[AMOUNT3]]</f>
        <v>15500</v>
      </c>
      <c r="L425" s="94"/>
    </row>
    <row r="426" spans="1:12" x14ac:dyDescent="0.35">
      <c r="A426" s="29"/>
      <c r="B426" s="7"/>
      <c r="C426" s="8"/>
      <c r="D426" s="7"/>
      <c r="E426" s="7"/>
      <c r="F426" s="9"/>
      <c r="G426" s="13"/>
      <c r="H426" s="13"/>
      <c r="I426" s="9"/>
      <c r="J426" s="8"/>
      <c r="K426" s="47">
        <f>K425+Table234535612[[#This Row],[AMOUNT]]-Table234535612[[#This Row],[AMOUNT2]]-Table234535612[[#This Row],[AMOUNT3]]</f>
        <v>15500</v>
      </c>
      <c r="L426" s="94"/>
    </row>
    <row r="427" spans="1:12" x14ac:dyDescent="0.35">
      <c r="A427" s="29"/>
      <c r="B427" s="7"/>
      <c r="C427" s="8"/>
      <c r="D427" s="7"/>
      <c r="E427" s="7"/>
      <c r="F427" s="7"/>
      <c r="G427" s="13"/>
      <c r="H427" s="13"/>
      <c r="I427" s="9"/>
      <c r="J427" s="8"/>
      <c r="K427" s="47">
        <f>K426+Table234535612[[#This Row],[AMOUNT]]-Table234535612[[#This Row],[AMOUNT2]]-Table234535612[[#This Row],[AMOUNT3]]</f>
        <v>15500</v>
      </c>
      <c r="L427" s="94"/>
    </row>
    <row r="428" spans="1:12" x14ac:dyDescent="0.35">
      <c r="A428" s="29"/>
      <c r="B428" s="7"/>
      <c r="C428" s="8"/>
      <c r="D428" s="7"/>
      <c r="E428" s="7"/>
      <c r="F428" s="9"/>
      <c r="G428" s="13"/>
      <c r="H428" s="13"/>
      <c r="I428" s="9"/>
      <c r="J428" s="8"/>
      <c r="K428" s="47">
        <f>K427+Table234535612[[#This Row],[AMOUNT]]-Table234535612[[#This Row],[AMOUNT2]]-Table234535612[[#This Row],[AMOUNT3]]</f>
        <v>15500</v>
      </c>
      <c r="L428" s="94"/>
    </row>
    <row r="429" spans="1:12" x14ac:dyDescent="0.35">
      <c r="A429" s="29"/>
      <c r="B429" s="7"/>
      <c r="C429" s="8"/>
      <c r="D429" s="7"/>
      <c r="E429" s="26"/>
      <c r="F429" s="9"/>
      <c r="G429" s="13"/>
      <c r="H429" s="13"/>
      <c r="I429" s="9"/>
      <c r="J429" s="8"/>
      <c r="K429" s="47">
        <f>K428+Table234535612[[#This Row],[AMOUNT]]-Table234535612[[#This Row],[AMOUNT2]]-Table234535612[[#This Row],[AMOUNT3]]</f>
        <v>15500</v>
      </c>
      <c r="L429" s="94"/>
    </row>
    <row r="430" spans="1:12" x14ac:dyDescent="0.35">
      <c r="A430" s="29"/>
      <c r="B430" s="7"/>
      <c r="C430" s="8"/>
      <c r="D430" s="7"/>
      <c r="E430" s="7"/>
      <c r="F430" s="9"/>
      <c r="G430" s="13"/>
      <c r="H430" s="13"/>
      <c r="I430" s="9"/>
      <c r="J430" s="8"/>
      <c r="K430" s="47">
        <f>K429+Table234535612[[#This Row],[AMOUNT]]-Table234535612[[#This Row],[AMOUNT2]]-Table234535612[[#This Row],[AMOUNT3]]</f>
        <v>15500</v>
      </c>
      <c r="L430" s="94"/>
    </row>
    <row r="431" spans="1:12" x14ac:dyDescent="0.35">
      <c r="A431" s="29"/>
      <c r="B431" s="7"/>
      <c r="C431" s="8"/>
      <c r="D431" s="7"/>
      <c r="E431" s="7"/>
      <c r="F431" s="7"/>
      <c r="G431" s="13"/>
      <c r="H431" s="13"/>
      <c r="I431" s="9"/>
      <c r="J431" s="8"/>
      <c r="K431" s="47">
        <f>K430+Table234535612[[#This Row],[AMOUNT]]-Table234535612[[#This Row],[AMOUNT2]]-Table234535612[[#This Row],[AMOUNT3]]</f>
        <v>15500</v>
      </c>
      <c r="L431" s="94"/>
    </row>
    <row r="432" spans="1:12" x14ac:dyDescent="0.35">
      <c r="A432" s="29"/>
      <c r="B432" s="7"/>
      <c r="C432" s="8"/>
      <c r="D432" s="7"/>
      <c r="E432" s="7"/>
      <c r="F432" s="7"/>
      <c r="G432" s="13"/>
      <c r="H432" s="13"/>
      <c r="I432" s="9"/>
      <c r="J432" s="8"/>
      <c r="K432" s="47">
        <f>K431+Table234535612[[#This Row],[AMOUNT]]-Table234535612[[#This Row],[AMOUNT2]]-Table234535612[[#This Row],[AMOUNT3]]</f>
        <v>15500</v>
      </c>
      <c r="L432" s="94"/>
    </row>
    <row r="433" spans="1:12" x14ac:dyDescent="0.35">
      <c r="A433" s="29"/>
      <c r="B433" s="7"/>
      <c r="C433" s="8"/>
      <c r="D433" s="26"/>
      <c r="E433" s="26"/>
      <c r="F433" s="9"/>
      <c r="G433" s="13"/>
      <c r="H433" s="13"/>
      <c r="I433" s="9"/>
      <c r="J433" s="8"/>
      <c r="K433" s="47">
        <f>K432+Table234535612[[#This Row],[AMOUNT]]-Table234535612[[#This Row],[AMOUNT2]]-Table234535612[[#This Row],[AMOUNT3]]</f>
        <v>15500</v>
      </c>
      <c r="L433" s="94"/>
    </row>
    <row r="434" spans="1:12" x14ac:dyDescent="0.35">
      <c r="A434" s="29"/>
      <c r="B434" s="7"/>
      <c r="C434" s="8"/>
      <c r="D434" s="36"/>
      <c r="E434" s="36"/>
      <c r="F434" s="39"/>
      <c r="G434" s="40"/>
      <c r="H434" s="40"/>
      <c r="I434" s="9"/>
      <c r="J434" s="8"/>
      <c r="K434" s="47">
        <f>K433+Table234535612[[#This Row],[AMOUNT]]-Table234535612[[#This Row],[AMOUNT2]]-Table234535612[[#This Row],[AMOUNT3]]</f>
        <v>15500</v>
      </c>
      <c r="L434" s="94"/>
    </row>
    <row r="435" spans="1:12" x14ac:dyDescent="0.35">
      <c r="A435" s="29"/>
      <c r="B435" s="7"/>
      <c r="C435" s="8"/>
      <c r="D435" s="36"/>
      <c r="E435" s="7"/>
      <c r="F435" s="39"/>
      <c r="G435" s="40"/>
      <c r="H435" s="40"/>
      <c r="I435" s="9"/>
      <c r="J435" s="8"/>
      <c r="K435" s="47">
        <f>K434+Table234535612[[#This Row],[AMOUNT]]-Table234535612[[#This Row],[AMOUNT2]]-Table234535612[[#This Row],[AMOUNT3]]</f>
        <v>15500</v>
      </c>
      <c r="L435" s="94"/>
    </row>
    <row r="436" spans="1:12" x14ac:dyDescent="0.35">
      <c r="A436" s="29"/>
      <c r="B436" s="7"/>
      <c r="C436" s="8"/>
      <c r="D436" s="7"/>
      <c r="E436" s="7"/>
      <c r="F436" s="9"/>
      <c r="G436" s="13"/>
      <c r="H436" s="13"/>
      <c r="I436" s="9"/>
      <c r="J436" s="8"/>
      <c r="K436" s="47">
        <f>K435+Table234535612[[#This Row],[AMOUNT]]-Table234535612[[#This Row],[AMOUNT2]]-Table234535612[[#This Row],[AMOUNT3]]</f>
        <v>15500</v>
      </c>
      <c r="L436" s="94"/>
    </row>
    <row r="437" spans="1:12" x14ac:dyDescent="0.35">
      <c r="A437" s="29"/>
      <c r="B437" s="7"/>
      <c r="C437" s="8"/>
      <c r="D437" s="7"/>
      <c r="E437" s="7"/>
      <c r="F437" s="9"/>
      <c r="G437" s="13"/>
      <c r="H437" s="13"/>
      <c r="I437" s="9"/>
      <c r="J437" s="8"/>
      <c r="K437" s="47">
        <f>K436+Table234535612[[#This Row],[AMOUNT]]-Table234535612[[#This Row],[AMOUNT2]]-Table234535612[[#This Row],[AMOUNT3]]</f>
        <v>15500</v>
      </c>
      <c r="L437" s="94"/>
    </row>
    <row r="438" spans="1:12" x14ac:dyDescent="0.35">
      <c r="A438" s="29"/>
      <c r="B438" s="7"/>
      <c r="C438" s="8"/>
      <c r="D438" s="7"/>
      <c r="E438" s="7"/>
      <c r="F438" s="7"/>
      <c r="G438" s="13"/>
      <c r="H438" s="13"/>
      <c r="I438" s="9"/>
      <c r="J438" s="8"/>
      <c r="K438" s="47">
        <f>K437+Table234535612[[#This Row],[AMOUNT]]-Table234535612[[#This Row],[AMOUNT2]]-Table234535612[[#This Row],[AMOUNT3]]</f>
        <v>15500</v>
      </c>
      <c r="L438" s="94"/>
    </row>
    <row r="439" spans="1:12" x14ac:dyDescent="0.35">
      <c r="A439" s="29"/>
      <c r="B439" s="7"/>
      <c r="C439" s="8"/>
      <c r="D439" s="7"/>
      <c r="E439" s="7"/>
      <c r="F439" s="9"/>
      <c r="G439" s="13"/>
      <c r="H439" s="13"/>
      <c r="I439" s="9"/>
      <c r="J439" s="8"/>
      <c r="K439" s="47">
        <f>K438+Table234535612[[#This Row],[AMOUNT]]-Table234535612[[#This Row],[AMOUNT2]]-Table234535612[[#This Row],[AMOUNT3]]</f>
        <v>15500</v>
      </c>
      <c r="L439" s="94"/>
    </row>
    <row r="440" spans="1:12" x14ac:dyDescent="0.35">
      <c r="A440" s="29"/>
      <c r="B440" s="7"/>
      <c r="C440" s="8"/>
      <c r="D440" s="26"/>
      <c r="E440" s="12"/>
      <c r="F440" s="12"/>
      <c r="G440" s="13"/>
      <c r="H440" s="13"/>
      <c r="I440" s="9"/>
      <c r="J440" s="8"/>
      <c r="K440" s="47">
        <f>K439+Table234535612[[#This Row],[AMOUNT]]-Table234535612[[#This Row],[AMOUNT2]]-Table234535612[[#This Row],[AMOUNT3]]</f>
        <v>15500</v>
      </c>
      <c r="L440" s="94"/>
    </row>
    <row r="441" spans="1:12" x14ac:dyDescent="0.35">
      <c r="A441" s="29"/>
      <c r="B441" s="7"/>
      <c r="C441" s="8"/>
      <c r="D441" s="7"/>
      <c r="E441" s="7"/>
      <c r="F441" s="9"/>
      <c r="G441" s="13"/>
      <c r="H441" s="13"/>
      <c r="I441" s="9"/>
      <c r="J441" s="8"/>
      <c r="K441" s="47">
        <f>K440+Table234535612[[#This Row],[AMOUNT]]-Table234535612[[#This Row],[AMOUNT2]]-Table234535612[[#This Row],[AMOUNT3]]</f>
        <v>15500</v>
      </c>
      <c r="L441" s="94"/>
    </row>
    <row r="442" spans="1:12" x14ac:dyDescent="0.35">
      <c r="A442" s="29"/>
      <c r="B442" s="7"/>
      <c r="C442" s="8"/>
      <c r="D442" s="7"/>
      <c r="E442" s="26"/>
      <c r="F442" s="9"/>
      <c r="G442" s="13"/>
      <c r="H442" s="13"/>
      <c r="I442" s="9"/>
      <c r="J442" s="8"/>
      <c r="K442" s="47">
        <f>K441+Table234535612[[#This Row],[AMOUNT]]-Table234535612[[#This Row],[AMOUNT2]]-Table234535612[[#This Row],[AMOUNT3]]</f>
        <v>15500</v>
      </c>
      <c r="L442" s="94"/>
    </row>
    <row r="443" spans="1:12" x14ac:dyDescent="0.35">
      <c r="A443" s="29"/>
      <c r="B443" s="7"/>
      <c r="C443" s="8"/>
      <c r="D443" s="7"/>
      <c r="E443" s="7"/>
      <c r="F443" s="9"/>
      <c r="G443" s="13"/>
      <c r="H443" s="13"/>
      <c r="I443" s="9"/>
      <c r="J443" s="8"/>
      <c r="K443" s="47">
        <f>K442+Table234535612[[#This Row],[AMOUNT]]-Table234535612[[#This Row],[AMOUNT2]]-Table234535612[[#This Row],[AMOUNT3]]</f>
        <v>15500</v>
      </c>
      <c r="L443" s="94"/>
    </row>
    <row r="444" spans="1:12" x14ac:dyDescent="0.35">
      <c r="A444" s="29"/>
      <c r="B444" s="7"/>
      <c r="C444" s="8"/>
      <c r="D444" s="26"/>
      <c r="E444" s="12"/>
      <c r="F444" s="12"/>
      <c r="G444" s="13"/>
      <c r="H444" s="13"/>
      <c r="I444" s="9"/>
      <c r="J444" s="8"/>
      <c r="K444" s="47">
        <f>K443+Table234535612[[#This Row],[AMOUNT]]-Table234535612[[#This Row],[AMOUNT2]]-Table234535612[[#This Row],[AMOUNT3]]</f>
        <v>15500</v>
      </c>
      <c r="L444" s="94"/>
    </row>
    <row r="445" spans="1:12" x14ac:dyDescent="0.35">
      <c r="A445" s="29"/>
      <c r="B445" s="7"/>
      <c r="C445" s="8"/>
      <c r="D445" s="7"/>
      <c r="E445" s="7"/>
      <c r="F445" s="9"/>
      <c r="G445" s="13"/>
      <c r="H445" s="13"/>
      <c r="I445" s="9"/>
      <c r="J445" s="8"/>
      <c r="K445" s="47">
        <f>K444+Table234535612[[#This Row],[AMOUNT]]-Table234535612[[#This Row],[AMOUNT2]]-Table234535612[[#This Row],[AMOUNT3]]</f>
        <v>15500</v>
      </c>
      <c r="L445" s="94"/>
    </row>
    <row r="446" spans="1:12" x14ac:dyDescent="0.35">
      <c r="A446" s="29"/>
      <c r="B446" s="7"/>
      <c r="C446" s="8"/>
      <c r="D446" s="7"/>
      <c r="E446" s="7"/>
      <c r="F446" s="9"/>
      <c r="G446" s="13"/>
      <c r="H446" s="13"/>
      <c r="I446" s="9"/>
      <c r="J446" s="8"/>
      <c r="K446" s="47">
        <f>K445+Table234535612[[#This Row],[AMOUNT]]-Table234535612[[#This Row],[AMOUNT2]]-Table234535612[[#This Row],[AMOUNT3]]</f>
        <v>15500</v>
      </c>
      <c r="L446" s="94"/>
    </row>
    <row r="447" spans="1:12" x14ac:dyDescent="0.35">
      <c r="A447" s="29"/>
      <c r="B447" s="7"/>
      <c r="C447" s="8"/>
      <c r="D447" s="7"/>
      <c r="E447" s="26"/>
      <c r="F447" s="9"/>
      <c r="G447" s="13"/>
      <c r="H447" s="13"/>
      <c r="I447" s="9"/>
      <c r="J447" s="8"/>
      <c r="K447" s="47">
        <f>K446+Table234535612[[#This Row],[AMOUNT]]-Table234535612[[#This Row],[AMOUNT2]]-Table234535612[[#This Row],[AMOUNT3]]</f>
        <v>15500</v>
      </c>
      <c r="L447" s="94"/>
    </row>
    <row r="448" spans="1:12" x14ac:dyDescent="0.35">
      <c r="A448" s="29"/>
      <c r="B448" s="7"/>
      <c r="C448" s="8"/>
      <c r="D448" s="7"/>
      <c r="E448" s="7"/>
      <c r="F448" s="9"/>
      <c r="G448" s="13"/>
      <c r="H448" s="13"/>
      <c r="I448" s="9"/>
      <c r="J448" s="8"/>
      <c r="K448" s="47">
        <f>K447+Table234535612[[#This Row],[AMOUNT]]-Table234535612[[#This Row],[AMOUNT2]]-Table234535612[[#This Row],[AMOUNT3]]</f>
        <v>15500</v>
      </c>
      <c r="L448" s="94"/>
    </row>
    <row r="449" spans="1:12" x14ac:dyDescent="0.35">
      <c r="A449" s="29"/>
      <c r="B449" s="7"/>
      <c r="C449" s="8"/>
      <c r="D449" s="7"/>
      <c r="E449" s="7"/>
      <c r="F449" s="9"/>
      <c r="G449" s="13"/>
      <c r="H449" s="13"/>
      <c r="I449" s="9"/>
      <c r="J449" s="8"/>
      <c r="K449" s="47">
        <f>K448+Table234535612[[#This Row],[AMOUNT]]-Table234535612[[#This Row],[AMOUNT2]]-Table234535612[[#This Row],[AMOUNT3]]</f>
        <v>15500</v>
      </c>
      <c r="L449" s="94"/>
    </row>
    <row r="450" spans="1:12" x14ac:dyDescent="0.35">
      <c r="A450" s="29"/>
      <c r="B450" s="7"/>
      <c r="C450" s="8"/>
      <c r="D450" s="7"/>
      <c r="E450" s="7"/>
      <c r="F450" s="9"/>
      <c r="G450" s="13"/>
      <c r="H450" s="13"/>
      <c r="I450" s="9"/>
      <c r="J450" s="8"/>
      <c r="K450" s="47">
        <f>K449+Table234535612[[#This Row],[AMOUNT]]-Table234535612[[#This Row],[AMOUNT2]]-Table234535612[[#This Row],[AMOUNT3]]</f>
        <v>15500</v>
      </c>
      <c r="L450" s="94"/>
    </row>
    <row r="451" spans="1:12" x14ac:dyDescent="0.35">
      <c r="A451" s="29"/>
      <c r="B451" s="7"/>
      <c r="C451" s="8"/>
      <c r="D451" s="7"/>
      <c r="E451" s="7"/>
      <c r="F451" s="7"/>
      <c r="G451" s="13"/>
      <c r="H451" s="13"/>
      <c r="I451" s="9"/>
      <c r="J451" s="8"/>
      <c r="K451" s="47">
        <f>K450+Table234535612[[#This Row],[AMOUNT]]-Table234535612[[#This Row],[AMOUNT2]]-Table234535612[[#This Row],[AMOUNT3]]</f>
        <v>15500</v>
      </c>
      <c r="L451" s="94"/>
    </row>
    <row r="452" spans="1:12" x14ac:dyDescent="0.35">
      <c r="A452" s="29"/>
      <c r="B452" s="7"/>
      <c r="C452" s="8"/>
      <c r="D452" s="7"/>
      <c r="E452" s="7"/>
      <c r="F452" s="9"/>
      <c r="G452" s="13"/>
      <c r="H452" s="13"/>
      <c r="I452" s="9"/>
      <c r="J452" s="8"/>
      <c r="K452" s="47">
        <f>K451+Table234535612[[#This Row],[AMOUNT]]-Table234535612[[#This Row],[AMOUNT2]]-Table234535612[[#This Row],[AMOUNT3]]</f>
        <v>15500</v>
      </c>
      <c r="L452" s="94"/>
    </row>
    <row r="453" spans="1:12" x14ac:dyDescent="0.35">
      <c r="A453" s="29"/>
      <c r="B453" s="7"/>
      <c r="C453" s="8"/>
      <c r="D453" s="7"/>
      <c r="E453" s="12"/>
      <c r="F453" s="12"/>
      <c r="G453" s="13"/>
      <c r="H453" s="13"/>
      <c r="I453" s="9"/>
      <c r="J453" s="8"/>
      <c r="K453" s="47">
        <f>K452+Table234535612[[#This Row],[AMOUNT]]-Table234535612[[#This Row],[AMOUNT2]]-Table234535612[[#This Row],[AMOUNT3]]</f>
        <v>15500</v>
      </c>
      <c r="L453" s="94"/>
    </row>
    <row r="454" spans="1:12" x14ac:dyDescent="0.35">
      <c r="A454" s="29"/>
      <c r="B454" s="7"/>
      <c r="C454" s="8"/>
      <c r="D454" s="7"/>
      <c r="E454" s="12"/>
      <c r="F454" s="12"/>
      <c r="G454" s="13"/>
      <c r="H454" s="13"/>
      <c r="I454" s="9"/>
      <c r="J454" s="8"/>
      <c r="K454" s="47">
        <f>K453+Table234535612[[#This Row],[AMOUNT]]-Table234535612[[#This Row],[AMOUNT2]]-Table234535612[[#This Row],[AMOUNT3]]</f>
        <v>15500</v>
      </c>
      <c r="L454" s="94"/>
    </row>
    <row r="455" spans="1:12" x14ac:dyDescent="0.35">
      <c r="A455" s="29"/>
      <c r="B455" s="7"/>
      <c r="C455" s="8"/>
      <c r="D455" s="7"/>
      <c r="E455" s="7"/>
      <c r="F455" s="9"/>
      <c r="G455" s="13"/>
      <c r="H455" s="13"/>
      <c r="I455" s="9"/>
      <c r="J455" s="8"/>
      <c r="K455" s="47">
        <f>K454+Table234535612[[#This Row],[AMOUNT]]-Table234535612[[#This Row],[AMOUNT2]]-Table234535612[[#This Row],[AMOUNT3]]</f>
        <v>15500</v>
      </c>
      <c r="L455" s="94"/>
    </row>
    <row r="456" spans="1:12" x14ac:dyDescent="0.35">
      <c r="A456" s="29"/>
      <c r="B456" s="7"/>
      <c r="C456" s="8"/>
      <c r="D456" s="7"/>
      <c r="E456" s="7"/>
      <c r="F456" s="7"/>
      <c r="G456" s="13"/>
      <c r="H456" s="13"/>
      <c r="I456" s="9"/>
      <c r="J456" s="8"/>
      <c r="K456" s="47">
        <f>K455+Table234535612[[#This Row],[AMOUNT]]-Table234535612[[#This Row],[AMOUNT2]]-Table234535612[[#This Row],[AMOUNT3]]</f>
        <v>15500</v>
      </c>
      <c r="L456" s="94"/>
    </row>
    <row r="457" spans="1:12" x14ac:dyDescent="0.35">
      <c r="A457" s="29"/>
      <c r="B457" s="7"/>
      <c r="C457" s="8"/>
      <c r="D457" s="7"/>
      <c r="E457" s="7"/>
      <c r="F457" s="9"/>
      <c r="G457" s="13"/>
      <c r="H457" s="13"/>
      <c r="I457" s="9"/>
      <c r="J457" s="8"/>
      <c r="K457" s="47">
        <f>K456+Table234535612[[#This Row],[AMOUNT]]-Table234535612[[#This Row],[AMOUNT2]]-Table234535612[[#This Row],[AMOUNT3]]</f>
        <v>15500</v>
      </c>
      <c r="L457" s="94"/>
    </row>
    <row r="458" spans="1:12" x14ac:dyDescent="0.35">
      <c r="A458" s="29"/>
      <c r="B458" s="7"/>
      <c r="C458" s="8"/>
      <c r="D458" s="7"/>
      <c r="E458" s="7"/>
      <c r="F458" s="9"/>
      <c r="G458" s="13"/>
      <c r="H458" s="13"/>
      <c r="I458" s="9"/>
      <c r="J458" s="8"/>
      <c r="K458" s="47">
        <f>K457+Table234535612[[#This Row],[AMOUNT]]-Table234535612[[#This Row],[AMOUNT2]]-Table234535612[[#This Row],[AMOUNT3]]</f>
        <v>15500</v>
      </c>
      <c r="L458" s="94"/>
    </row>
    <row r="459" spans="1:12" x14ac:dyDescent="0.35">
      <c r="A459" s="29"/>
      <c r="B459" s="7"/>
      <c r="C459" s="8"/>
      <c r="D459" s="26"/>
      <c r="E459" s="7"/>
      <c r="F459" s="9"/>
      <c r="G459" s="13"/>
      <c r="H459" s="13"/>
      <c r="I459" s="9"/>
      <c r="J459" s="8"/>
      <c r="K459" s="47">
        <f>K458+Table234535612[[#This Row],[AMOUNT]]-Table234535612[[#This Row],[AMOUNT2]]-Table234535612[[#This Row],[AMOUNT3]]</f>
        <v>15500</v>
      </c>
      <c r="L459" s="94"/>
    </row>
    <row r="460" spans="1:12" x14ac:dyDescent="0.35">
      <c r="A460" s="29"/>
      <c r="B460" s="7"/>
      <c r="C460" s="8"/>
      <c r="D460" s="26"/>
      <c r="E460" s="7"/>
      <c r="F460" s="9"/>
      <c r="G460" s="13"/>
      <c r="H460" s="13"/>
      <c r="I460" s="9"/>
      <c r="J460" s="8"/>
      <c r="K460" s="47">
        <f>K459+Table234535612[[#This Row],[AMOUNT]]-Table234535612[[#This Row],[AMOUNT2]]-Table234535612[[#This Row],[AMOUNT3]]</f>
        <v>15500</v>
      </c>
      <c r="L460" s="94"/>
    </row>
    <row r="461" spans="1:12" x14ac:dyDescent="0.35">
      <c r="A461" s="29"/>
      <c r="B461" s="7"/>
      <c r="C461" s="8"/>
      <c r="D461" s="7"/>
      <c r="E461" s="7"/>
      <c r="F461" s="9"/>
      <c r="G461" s="13"/>
      <c r="H461" s="13"/>
      <c r="I461" s="9"/>
      <c r="J461" s="8"/>
      <c r="K461" s="47">
        <f>K460+Table234535612[[#This Row],[AMOUNT]]-Table234535612[[#This Row],[AMOUNT2]]-Table234535612[[#This Row],[AMOUNT3]]</f>
        <v>15500</v>
      </c>
      <c r="L461" s="94"/>
    </row>
    <row r="462" spans="1:12" x14ac:dyDescent="0.35">
      <c r="A462" s="29"/>
      <c r="B462" s="7"/>
      <c r="C462" s="8"/>
      <c r="D462" s="7"/>
      <c r="E462" s="7"/>
      <c r="F462" s="9"/>
      <c r="G462" s="13"/>
      <c r="H462" s="13"/>
      <c r="I462" s="9"/>
      <c r="J462" s="8"/>
      <c r="K462" s="47">
        <f>K461+Table234535612[[#This Row],[AMOUNT]]-Table234535612[[#This Row],[AMOUNT2]]-Table234535612[[#This Row],[AMOUNT3]]</f>
        <v>15500</v>
      </c>
      <c r="L462" s="94"/>
    </row>
    <row r="463" spans="1:12" x14ac:dyDescent="0.35">
      <c r="A463" s="29"/>
      <c r="B463" s="7"/>
      <c r="C463" s="8"/>
      <c r="D463" s="7"/>
      <c r="E463" s="7"/>
      <c r="F463" s="9"/>
      <c r="G463" s="13"/>
      <c r="H463" s="13"/>
      <c r="I463" s="9"/>
      <c r="J463" s="8"/>
      <c r="K463" s="47">
        <f>K462+Table234535612[[#This Row],[AMOUNT]]-Table234535612[[#This Row],[AMOUNT2]]-Table234535612[[#This Row],[AMOUNT3]]</f>
        <v>15500</v>
      </c>
      <c r="L463" s="94"/>
    </row>
    <row r="464" spans="1:12" x14ac:dyDescent="0.35">
      <c r="A464" s="29"/>
      <c r="B464" s="7"/>
      <c r="C464" s="8"/>
      <c r="D464" s="7"/>
      <c r="E464" s="7"/>
      <c r="F464" s="9"/>
      <c r="G464" s="13"/>
      <c r="H464" s="13"/>
      <c r="I464" s="9"/>
      <c r="J464" s="8"/>
      <c r="K464" s="47">
        <f>K463+Table234535612[[#This Row],[AMOUNT]]-Table234535612[[#This Row],[AMOUNT2]]-Table234535612[[#This Row],[AMOUNT3]]</f>
        <v>15500</v>
      </c>
      <c r="L464" s="94"/>
    </row>
    <row r="465" spans="1:12" x14ac:dyDescent="0.35">
      <c r="A465" s="29"/>
      <c r="B465" s="7"/>
      <c r="C465" s="8"/>
      <c r="D465" s="7"/>
      <c r="E465" s="12"/>
      <c r="F465" s="12"/>
      <c r="G465" s="13"/>
      <c r="H465" s="13"/>
      <c r="I465" s="9"/>
      <c r="J465" s="8"/>
      <c r="K465" s="47">
        <f>K464+Table234535612[[#This Row],[AMOUNT]]-Table234535612[[#This Row],[AMOUNT2]]-Table234535612[[#This Row],[AMOUNT3]]</f>
        <v>15500</v>
      </c>
      <c r="L465" s="94"/>
    </row>
    <row r="466" spans="1:12" x14ac:dyDescent="0.35">
      <c r="A466" s="29"/>
      <c r="B466" s="7"/>
      <c r="C466" s="8"/>
      <c r="D466" s="7"/>
      <c r="E466" s="7"/>
      <c r="F466" s="7"/>
      <c r="G466" s="13"/>
      <c r="H466" s="13"/>
      <c r="I466" s="9"/>
      <c r="J466" s="8"/>
      <c r="K466" s="47">
        <f>K465+Table234535612[[#This Row],[AMOUNT]]-Table234535612[[#This Row],[AMOUNT2]]-Table234535612[[#This Row],[AMOUNT3]]</f>
        <v>15500</v>
      </c>
      <c r="L466" s="94"/>
    </row>
    <row r="467" spans="1:12" x14ac:dyDescent="0.35">
      <c r="A467" s="29"/>
      <c r="B467" s="7"/>
      <c r="C467" s="8"/>
      <c r="D467" s="26"/>
      <c r="E467" s="26"/>
      <c r="F467" s="9"/>
      <c r="G467" s="13"/>
      <c r="H467" s="13"/>
      <c r="I467" s="9"/>
      <c r="J467" s="8"/>
      <c r="K467" s="47">
        <f>K466+Table234535612[[#This Row],[AMOUNT]]-Table234535612[[#This Row],[AMOUNT2]]-Table234535612[[#This Row],[AMOUNT3]]</f>
        <v>15500</v>
      </c>
      <c r="L467" s="94"/>
    </row>
    <row r="468" spans="1:12" x14ac:dyDescent="0.35">
      <c r="A468" s="29"/>
      <c r="B468" s="7"/>
      <c r="C468" s="8"/>
      <c r="D468" s="7"/>
      <c r="E468" s="7"/>
      <c r="F468" s="9"/>
      <c r="G468" s="13"/>
      <c r="H468" s="13"/>
      <c r="I468" s="9"/>
      <c r="J468" s="8"/>
      <c r="K468" s="47">
        <f>K467+Table234535612[[#This Row],[AMOUNT]]-Table234535612[[#This Row],[AMOUNT2]]-Table234535612[[#This Row],[AMOUNT3]]</f>
        <v>15500</v>
      </c>
      <c r="L468" s="94"/>
    </row>
    <row r="469" spans="1:12" x14ac:dyDescent="0.35">
      <c r="A469" s="29"/>
      <c r="B469" s="7"/>
      <c r="C469" s="8"/>
      <c r="D469" s="7"/>
      <c r="E469" s="7"/>
      <c r="F469" s="7"/>
      <c r="G469" s="13"/>
      <c r="H469" s="13"/>
      <c r="I469" s="9"/>
      <c r="J469" s="8"/>
      <c r="K469" s="47">
        <f>K468+Table234535612[[#This Row],[AMOUNT]]-Table234535612[[#This Row],[AMOUNT2]]-Table234535612[[#This Row],[AMOUNT3]]</f>
        <v>15500</v>
      </c>
      <c r="L469" s="94"/>
    </row>
    <row r="470" spans="1:12" x14ac:dyDescent="0.35">
      <c r="A470" s="29"/>
      <c r="B470" s="7"/>
      <c r="C470" s="8"/>
      <c r="D470" s="7"/>
      <c r="E470" s="7"/>
      <c r="F470" s="9"/>
      <c r="G470" s="13"/>
      <c r="H470" s="13"/>
      <c r="I470" s="9"/>
      <c r="J470" s="8"/>
      <c r="K470" s="47">
        <f>K469+Table234535612[[#This Row],[AMOUNT]]-Table234535612[[#This Row],[AMOUNT2]]-Table234535612[[#This Row],[AMOUNT3]]</f>
        <v>15500</v>
      </c>
      <c r="L470" s="94"/>
    </row>
    <row r="471" spans="1:12" x14ac:dyDescent="0.35">
      <c r="A471" s="29"/>
      <c r="B471" s="7"/>
      <c r="C471" s="8"/>
      <c r="D471" s="7"/>
      <c r="E471" s="7"/>
      <c r="F471" s="9"/>
      <c r="G471" s="13"/>
      <c r="H471" s="13"/>
      <c r="I471" s="9"/>
      <c r="J471" s="8"/>
      <c r="K471" s="47">
        <f>K470+Table234535612[[#This Row],[AMOUNT]]-Table234535612[[#This Row],[AMOUNT2]]-Table234535612[[#This Row],[AMOUNT3]]</f>
        <v>15500</v>
      </c>
      <c r="L471" s="94"/>
    </row>
    <row r="472" spans="1:12" x14ac:dyDescent="0.35">
      <c r="A472" s="29"/>
      <c r="B472" s="7"/>
      <c r="C472" s="8"/>
      <c r="D472" s="7"/>
      <c r="E472" s="7"/>
      <c r="F472" s="9"/>
      <c r="G472" s="13"/>
      <c r="H472" s="13"/>
      <c r="I472" s="9"/>
      <c r="J472" s="8"/>
      <c r="K472" s="47">
        <f>K471+Table234535612[[#This Row],[AMOUNT]]-Table234535612[[#This Row],[AMOUNT2]]-Table234535612[[#This Row],[AMOUNT3]]</f>
        <v>15500</v>
      </c>
      <c r="L472" s="94"/>
    </row>
    <row r="473" spans="1:12" x14ac:dyDescent="0.35">
      <c r="A473" s="29"/>
      <c r="B473" s="7"/>
      <c r="C473" s="8"/>
      <c r="D473" s="7"/>
      <c r="E473" s="7"/>
      <c r="F473" s="9"/>
      <c r="G473" s="13"/>
      <c r="H473" s="13"/>
      <c r="I473" s="9"/>
      <c r="J473" s="8"/>
      <c r="K473" s="47">
        <f>K472+Table234535612[[#This Row],[AMOUNT]]-Table234535612[[#This Row],[AMOUNT2]]-Table234535612[[#This Row],[AMOUNT3]]</f>
        <v>15500</v>
      </c>
      <c r="L473" s="94"/>
    </row>
    <row r="474" spans="1:12" x14ac:dyDescent="0.35">
      <c r="A474" s="29"/>
      <c r="B474" s="7"/>
      <c r="C474" s="8"/>
      <c r="D474" s="7"/>
      <c r="E474" s="7"/>
      <c r="F474" s="9"/>
      <c r="G474" s="13"/>
      <c r="H474" s="13"/>
      <c r="I474" s="9"/>
      <c r="J474" s="8"/>
      <c r="K474" s="47">
        <f>K473+Table234535612[[#This Row],[AMOUNT]]-Table234535612[[#This Row],[AMOUNT2]]-Table234535612[[#This Row],[AMOUNT3]]</f>
        <v>15500</v>
      </c>
      <c r="L474" s="94"/>
    </row>
    <row r="475" spans="1:12" x14ac:dyDescent="0.35">
      <c r="A475" s="29"/>
      <c r="B475" s="7"/>
      <c r="C475" s="8"/>
      <c r="D475" s="7"/>
      <c r="E475" s="7"/>
      <c r="F475" s="9"/>
      <c r="G475" s="13"/>
      <c r="H475" s="13"/>
      <c r="I475" s="9"/>
      <c r="J475" s="8"/>
      <c r="K475" s="47">
        <f>K474+Table234535612[[#This Row],[AMOUNT]]-Table234535612[[#This Row],[AMOUNT2]]-Table234535612[[#This Row],[AMOUNT3]]</f>
        <v>15500</v>
      </c>
      <c r="L475" s="94"/>
    </row>
    <row r="476" spans="1:12" x14ac:dyDescent="0.35">
      <c r="A476" s="29"/>
      <c r="B476" s="7"/>
      <c r="C476" s="8"/>
      <c r="D476" s="7"/>
      <c r="E476" s="7"/>
      <c r="F476" s="9"/>
      <c r="G476" s="13"/>
      <c r="H476" s="13"/>
      <c r="I476" s="9"/>
      <c r="J476" s="8"/>
      <c r="K476" s="47">
        <f>K475+Table234535612[[#This Row],[AMOUNT]]-Table234535612[[#This Row],[AMOUNT2]]-Table234535612[[#This Row],[AMOUNT3]]</f>
        <v>15500</v>
      </c>
      <c r="L476" s="94"/>
    </row>
    <row r="477" spans="1:12" x14ac:dyDescent="0.35">
      <c r="A477" s="29"/>
      <c r="B477" s="7"/>
      <c r="C477" s="8"/>
      <c r="D477" s="7"/>
      <c r="E477" s="7"/>
      <c r="F477" s="9"/>
      <c r="G477" s="13"/>
      <c r="H477" s="13"/>
      <c r="I477" s="9"/>
      <c r="J477" s="8"/>
      <c r="K477" s="47">
        <f>K476+Table234535612[[#This Row],[AMOUNT]]-Table234535612[[#This Row],[AMOUNT2]]-Table234535612[[#This Row],[AMOUNT3]]</f>
        <v>15500</v>
      </c>
      <c r="L477" s="94"/>
    </row>
    <row r="478" spans="1:12" x14ac:dyDescent="0.35">
      <c r="A478" s="29"/>
      <c r="B478" s="7"/>
      <c r="C478" s="8"/>
      <c r="D478" s="7"/>
      <c r="E478" s="7"/>
      <c r="F478" s="9"/>
      <c r="G478" s="13"/>
      <c r="H478" s="13"/>
      <c r="I478" s="9"/>
      <c r="J478" s="8"/>
      <c r="K478" s="47">
        <f>K477+Table234535612[[#This Row],[AMOUNT]]-Table234535612[[#This Row],[AMOUNT2]]-Table234535612[[#This Row],[AMOUNT3]]</f>
        <v>15500</v>
      </c>
      <c r="L478" s="94"/>
    </row>
    <row r="479" spans="1:12" x14ac:dyDescent="0.35">
      <c r="A479" s="29"/>
      <c r="B479" s="7"/>
      <c r="C479" s="8"/>
      <c r="D479" s="7"/>
      <c r="E479" s="7"/>
      <c r="F479" s="9"/>
      <c r="G479" s="13"/>
      <c r="H479" s="13"/>
      <c r="I479" s="9"/>
      <c r="J479" s="8"/>
      <c r="K479" s="47">
        <f>K478+Table234535612[[#This Row],[AMOUNT]]-Table234535612[[#This Row],[AMOUNT2]]-Table234535612[[#This Row],[AMOUNT3]]</f>
        <v>15500</v>
      </c>
      <c r="L479" s="94"/>
    </row>
    <row r="480" spans="1:12" x14ac:dyDescent="0.35">
      <c r="A480" s="29"/>
      <c r="B480" s="7"/>
      <c r="C480" s="8"/>
      <c r="D480" s="7"/>
      <c r="E480" s="7"/>
      <c r="F480" s="9"/>
      <c r="G480" s="13"/>
      <c r="H480" s="13"/>
      <c r="I480" s="9"/>
      <c r="J480" s="8"/>
      <c r="K480" s="47">
        <f>K479+Table234535612[[#This Row],[AMOUNT]]-Table234535612[[#This Row],[AMOUNT2]]-Table234535612[[#This Row],[AMOUNT3]]</f>
        <v>15500</v>
      </c>
      <c r="L480" s="94"/>
    </row>
    <row r="481" spans="1:12" x14ac:dyDescent="0.35">
      <c r="A481" s="29"/>
      <c r="B481" s="7"/>
      <c r="C481" s="8"/>
      <c r="D481" s="7"/>
      <c r="E481" s="7"/>
      <c r="F481" s="9"/>
      <c r="G481" s="13"/>
      <c r="H481" s="13"/>
      <c r="I481" s="9"/>
      <c r="J481" s="8"/>
      <c r="K481" s="47">
        <f>K480+Table234535612[[#This Row],[AMOUNT]]-Table234535612[[#This Row],[AMOUNT2]]-Table234535612[[#This Row],[AMOUNT3]]</f>
        <v>15500</v>
      </c>
      <c r="L481" s="94"/>
    </row>
    <row r="482" spans="1:12" x14ac:dyDescent="0.35">
      <c r="A482" s="29"/>
      <c r="B482" s="7"/>
      <c r="C482" s="8"/>
      <c r="D482" s="7"/>
      <c r="E482" s="7"/>
      <c r="F482" s="9"/>
      <c r="G482" s="13"/>
      <c r="H482" s="13"/>
      <c r="I482" s="9"/>
      <c r="J482" s="8"/>
      <c r="K482" s="47">
        <f>K481+Table234535612[[#This Row],[AMOUNT]]-Table234535612[[#This Row],[AMOUNT2]]-Table234535612[[#This Row],[AMOUNT3]]</f>
        <v>15500</v>
      </c>
      <c r="L482" s="94"/>
    </row>
    <row r="483" spans="1:12" x14ac:dyDescent="0.35">
      <c r="A483" s="29"/>
      <c r="B483" s="7"/>
      <c r="C483" s="8"/>
      <c r="D483" s="7"/>
      <c r="E483" s="7"/>
      <c r="F483" s="9"/>
      <c r="G483" s="13"/>
      <c r="H483" s="13"/>
      <c r="I483" s="9"/>
      <c r="J483" s="8"/>
      <c r="K483" s="47">
        <f>K482+Table234535612[[#This Row],[AMOUNT]]-Table234535612[[#This Row],[AMOUNT2]]-Table234535612[[#This Row],[AMOUNT3]]</f>
        <v>15500</v>
      </c>
      <c r="L483" s="94"/>
    </row>
    <row r="484" spans="1:12" x14ac:dyDescent="0.35">
      <c r="A484" s="29"/>
      <c r="B484" s="7"/>
      <c r="C484" s="8"/>
      <c r="D484" s="7"/>
      <c r="E484" s="7"/>
      <c r="F484" s="9"/>
      <c r="G484" s="13"/>
      <c r="H484" s="13"/>
      <c r="I484" s="9"/>
      <c r="J484" s="8"/>
      <c r="K484" s="47">
        <f>K483+Table234535612[[#This Row],[AMOUNT]]-Table234535612[[#This Row],[AMOUNT2]]-Table234535612[[#This Row],[AMOUNT3]]</f>
        <v>15500</v>
      </c>
      <c r="L484" s="94"/>
    </row>
    <row r="485" spans="1:12" x14ac:dyDescent="0.35">
      <c r="A485" s="29"/>
      <c r="B485" s="7"/>
      <c r="C485" s="8"/>
      <c r="D485" s="7"/>
      <c r="E485" s="7"/>
      <c r="F485" s="9"/>
      <c r="G485" s="13"/>
      <c r="H485" s="13"/>
      <c r="I485" s="9"/>
      <c r="J485" s="8"/>
      <c r="K485" s="47">
        <f>K484+Table234535612[[#This Row],[AMOUNT]]-Table234535612[[#This Row],[AMOUNT2]]-Table234535612[[#This Row],[AMOUNT3]]</f>
        <v>15500</v>
      </c>
      <c r="L485" s="94"/>
    </row>
    <row r="486" spans="1:12" x14ac:dyDescent="0.35">
      <c r="A486" s="29"/>
      <c r="B486" s="7"/>
      <c r="C486" s="8"/>
      <c r="D486" s="7"/>
      <c r="E486" s="7"/>
      <c r="F486" s="9"/>
      <c r="G486" s="13"/>
      <c r="H486" s="13"/>
      <c r="I486" s="9"/>
      <c r="J486" s="8"/>
      <c r="K486" s="47">
        <f>K485+Table234535612[[#This Row],[AMOUNT]]-Table234535612[[#This Row],[AMOUNT2]]-Table234535612[[#This Row],[AMOUNT3]]</f>
        <v>15500</v>
      </c>
      <c r="L486" s="94"/>
    </row>
    <row r="487" spans="1:12" x14ac:dyDescent="0.35">
      <c r="A487" s="29"/>
      <c r="B487" s="7"/>
      <c r="C487" s="8"/>
      <c r="D487" s="7"/>
      <c r="E487" s="7"/>
      <c r="F487" s="9"/>
      <c r="G487" s="13"/>
      <c r="H487" s="13"/>
      <c r="I487" s="9"/>
      <c r="J487" s="8"/>
      <c r="K487" s="47">
        <f>K486+Table234535612[[#This Row],[AMOUNT]]-Table234535612[[#This Row],[AMOUNT2]]-Table234535612[[#This Row],[AMOUNT3]]</f>
        <v>15500</v>
      </c>
      <c r="L487" s="94"/>
    </row>
    <row r="488" spans="1:12" x14ac:dyDescent="0.35">
      <c r="A488" s="29"/>
      <c r="B488" s="7"/>
      <c r="C488" s="8"/>
      <c r="D488" s="7"/>
      <c r="E488" s="7"/>
      <c r="F488" s="9"/>
      <c r="G488" s="13"/>
      <c r="H488" s="13"/>
      <c r="I488" s="9"/>
      <c r="J488" s="8"/>
      <c r="K488" s="47">
        <f>K487+Table234535612[[#This Row],[AMOUNT]]-Table234535612[[#This Row],[AMOUNT2]]-Table234535612[[#This Row],[AMOUNT3]]</f>
        <v>15500</v>
      </c>
      <c r="L488" s="94"/>
    </row>
    <row r="489" spans="1:12" x14ac:dyDescent="0.35">
      <c r="A489" s="29"/>
      <c r="B489" s="7"/>
      <c r="C489" s="8"/>
      <c r="D489" s="7"/>
      <c r="E489" s="7"/>
      <c r="F489" s="9"/>
      <c r="G489" s="13"/>
      <c r="H489" s="13"/>
      <c r="I489" s="9"/>
      <c r="J489" s="8"/>
      <c r="K489" s="47">
        <f>K488+Table234535612[[#This Row],[AMOUNT]]-Table234535612[[#This Row],[AMOUNT2]]-Table234535612[[#This Row],[AMOUNT3]]</f>
        <v>15500</v>
      </c>
      <c r="L489" s="94"/>
    </row>
    <row r="490" spans="1:12" x14ac:dyDescent="0.35">
      <c r="A490" s="29"/>
      <c r="B490" s="7"/>
      <c r="C490" s="8"/>
      <c r="D490" s="7"/>
      <c r="E490" s="7"/>
      <c r="F490" s="9"/>
      <c r="G490" s="13"/>
      <c r="H490" s="13"/>
      <c r="I490" s="9"/>
      <c r="J490" s="8"/>
      <c r="K490" s="47">
        <f>K489+Table234535612[[#This Row],[AMOUNT]]-Table234535612[[#This Row],[AMOUNT2]]-Table234535612[[#This Row],[AMOUNT3]]</f>
        <v>15500</v>
      </c>
      <c r="L490" s="94"/>
    </row>
    <row r="491" spans="1:12" x14ac:dyDescent="0.35">
      <c r="A491" s="29"/>
      <c r="B491" s="7"/>
      <c r="C491" s="8"/>
      <c r="D491" s="7"/>
      <c r="E491" s="7"/>
      <c r="F491" s="9"/>
      <c r="G491" s="13"/>
      <c r="H491" s="13"/>
      <c r="I491" s="9"/>
      <c r="J491" s="8"/>
      <c r="K491" s="47">
        <f>K490+Table234535612[[#This Row],[AMOUNT]]-Table234535612[[#This Row],[AMOUNT2]]-Table234535612[[#This Row],[AMOUNT3]]</f>
        <v>15500</v>
      </c>
      <c r="L491" s="94"/>
    </row>
    <row r="492" spans="1:12" x14ac:dyDescent="0.35">
      <c r="A492" s="29"/>
      <c r="B492" s="7"/>
      <c r="C492" s="8"/>
      <c r="D492" s="7"/>
      <c r="E492" s="7"/>
      <c r="F492" s="9"/>
      <c r="G492" s="13"/>
      <c r="H492" s="13"/>
      <c r="I492" s="9"/>
      <c r="J492" s="8"/>
      <c r="K492" s="47">
        <f>K491+Table234535612[[#This Row],[AMOUNT]]-Table234535612[[#This Row],[AMOUNT2]]-Table234535612[[#This Row],[AMOUNT3]]</f>
        <v>15500</v>
      </c>
      <c r="L492" s="94"/>
    </row>
    <row r="493" spans="1:12" x14ac:dyDescent="0.35">
      <c r="A493" s="29"/>
      <c r="B493" s="7"/>
      <c r="C493" s="8"/>
      <c r="D493" s="7"/>
      <c r="E493" s="26"/>
      <c r="F493" s="9"/>
      <c r="G493" s="13"/>
      <c r="H493" s="13"/>
      <c r="I493" s="9"/>
      <c r="J493" s="8"/>
      <c r="K493" s="47">
        <f>K492+Table234535612[[#This Row],[AMOUNT]]-Table234535612[[#This Row],[AMOUNT2]]-Table234535612[[#This Row],[AMOUNT3]]</f>
        <v>15500</v>
      </c>
      <c r="L493" s="94"/>
    </row>
    <row r="494" spans="1:12" x14ac:dyDescent="0.35">
      <c r="A494" s="29"/>
      <c r="B494" s="7"/>
      <c r="C494" s="8"/>
      <c r="D494" s="7"/>
      <c r="E494" s="7"/>
      <c r="F494" s="9"/>
      <c r="G494" s="13"/>
      <c r="H494" s="13"/>
      <c r="I494" s="9"/>
      <c r="J494" s="8"/>
      <c r="K494" s="47">
        <f>K493+Table234535612[[#This Row],[AMOUNT]]-Table234535612[[#This Row],[AMOUNT2]]-Table234535612[[#This Row],[AMOUNT3]]</f>
        <v>15500</v>
      </c>
      <c r="L494" s="94"/>
    </row>
    <row r="495" spans="1:12" x14ac:dyDescent="0.35">
      <c r="A495" s="29"/>
      <c r="B495" s="7"/>
      <c r="C495" s="8"/>
      <c r="D495" s="7"/>
      <c r="E495" s="7"/>
      <c r="F495" s="9"/>
      <c r="G495" s="13"/>
      <c r="H495" s="13"/>
      <c r="I495" s="9"/>
      <c r="J495" s="8"/>
      <c r="K495" s="47">
        <f>K494+Table234535612[[#This Row],[AMOUNT]]-Table234535612[[#This Row],[AMOUNT2]]-Table234535612[[#This Row],[AMOUNT3]]</f>
        <v>15500</v>
      </c>
      <c r="L495" s="94"/>
    </row>
    <row r="496" spans="1:12" x14ac:dyDescent="0.35">
      <c r="A496" s="29"/>
      <c r="B496" s="7"/>
      <c r="C496" s="8"/>
      <c r="D496" s="7"/>
      <c r="E496" s="26"/>
      <c r="F496" s="9"/>
      <c r="G496" s="13"/>
      <c r="H496" s="13"/>
      <c r="I496" s="9"/>
      <c r="J496" s="8"/>
      <c r="K496" s="47">
        <f>K495+Table234535612[[#This Row],[AMOUNT]]-Table234535612[[#This Row],[AMOUNT2]]-Table234535612[[#This Row],[AMOUNT3]]</f>
        <v>15500</v>
      </c>
      <c r="L496" s="94"/>
    </row>
    <row r="497" spans="1:12" x14ac:dyDescent="0.35">
      <c r="A497" s="29"/>
      <c r="B497" s="7"/>
      <c r="C497" s="8"/>
      <c r="D497" s="7"/>
      <c r="E497" s="26"/>
      <c r="F497" s="9"/>
      <c r="G497" s="13"/>
      <c r="H497" s="13"/>
      <c r="I497" s="9"/>
      <c r="J497" s="8"/>
      <c r="K497" s="47">
        <f>K496+Table234535612[[#This Row],[AMOUNT]]-Table234535612[[#This Row],[AMOUNT2]]-Table234535612[[#This Row],[AMOUNT3]]</f>
        <v>15500</v>
      </c>
      <c r="L497" s="94"/>
    </row>
    <row r="498" spans="1:12" x14ac:dyDescent="0.35">
      <c r="A498" s="29"/>
      <c r="B498" s="7"/>
      <c r="C498" s="8"/>
      <c r="D498" s="7"/>
      <c r="E498" s="7"/>
      <c r="F498" s="9"/>
      <c r="G498" s="13"/>
      <c r="H498" s="13"/>
      <c r="I498" s="9"/>
      <c r="J498" s="8"/>
      <c r="K498" s="47">
        <f>K497+Table234535612[[#This Row],[AMOUNT]]-Table234535612[[#This Row],[AMOUNT2]]-Table234535612[[#This Row],[AMOUNT3]]</f>
        <v>15500</v>
      </c>
      <c r="L498" s="94"/>
    </row>
    <row r="499" spans="1:12" x14ac:dyDescent="0.35">
      <c r="A499" s="29"/>
      <c r="B499" s="7"/>
      <c r="C499" s="8"/>
      <c r="D499" s="7"/>
      <c r="E499" s="7"/>
      <c r="F499" s="9"/>
      <c r="G499" s="13"/>
      <c r="H499" s="13"/>
      <c r="I499" s="9"/>
      <c r="J499" s="8"/>
      <c r="K499" s="47">
        <f>K498+Table234535612[[#This Row],[AMOUNT]]-Table234535612[[#This Row],[AMOUNT2]]-Table234535612[[#This Row],[AMOUNT3]]</f>
        <v>15500</v>
      </c>
      <c r="L499" s="94"/>
    </row>
    <row r="500" spans="1:12" x14ac:dyDescent="0.35">
      <c r="A500" s="29"/>
      <c r="B500" s="7"/>
      <c r="C500" s="8"/>
      <c r="D500" s="26"/>
      <c r="E500" s="7"/>
      <c r="F500" s="9"/>
      <c r="G500" s="13"/>
      <c r="H500" s="13"/>
      <c r="I500" s="9"/>
      <c r="J500" s="8"/>
      <c r="K500" s="47">
        <f>K499+Table234535612[[#This Row],[AMOUNT]]-Table234535612[[#This Row],[AMOUNT2]]-Table234535612[[#This Row],[AMOUNT3]]</f>
        <v>15500</v>
      </c>
      <c r="L500" s="94"/>
    </row>
    <row r="501" spans="1:12" x14ac:dyDescent="0.35">
      <c r="A501" s="29"/>
      <c r="B501" s="7"/>
      <c r="C501" s="8"/>
      <c r="D501" s="7"/>
      <c r="E501" s="7"/>
      <c r="F501" s="9"/>
      <c r="G501" s="13"/>
      <c r="H501" s="13"/>
      <c r="I501" s="9"/>
      <c r="J501" s="8"/>
      <c r="K501" s="47">
        <f>K500+Table234535612[[#This Row],[AMOUNT]]-Table234535612[[#This Row],[AMOUNT2]]-Table234535612[[#This Row],[AMOUNT3]]</f>
        <v>15500</v>
      </c>
      <c r="L501" s="94"/>
    </row>
    <row r="502" spans="1:12" x14ac:dyDescent="0.35">
      <c r="A502" s="29"/>
      <c r="B502" s="7"/>
      <c r="C502" s="8"/>
      <c r="D502" s="7"/>
      <c r="E502" s="7"/>
      <c r="F502" s="9"/>
      <c r="G502" s="13"/>
      <c r="H502" s="13"/>
      <c r="I502" s="9"/>
      <c r="J502" s="8"/>
      <c r="K502" s="47">
        <f>K501+Table234535612[[#This Row],[AMOUNT]]-Table234535612[[#This Row],[AMOUNT2]]-Table234535612[[#This Row],[AMOUNT3]]</f>
        <v>15500</v>
      </c>
      <c r="L502" s="94"/>
    </row>
    <row r="503" spans="1:12" x14ac:dyDescent="0.35">
      <c r="A503" s="29"/>
      <c r="B503" s="7"/>
      <c r="C503" s="8"/>
      <c r="D503" s="7"/>
      <c r="E503" s="7"/>
      <c r="F503" s="9"/>
      <c r="G503" s="13"/>
      <c r="H503" s="13"/>
      <c r="I503" s="9"/>
      <c r="J503" s="8"/>
      <c r="K503" s="47">
        <f>K502+Table234535612[[#This Row],[AMOUNT]]-Table234535612[[#This Row],[AMOUNT2]]-Table234535612[[#This Row],[AMOUNT3]]</f>
        <v>15500</v>
      </c>
      <c r="L503" s="94"/>
    </row>
    <row r="504" spans="1:12" x14ac:dyDescent="0.35">
      <c r="A504" s="29"/>
      <c r="B504" s="7"/>
      <c r="C504" s="8"/>
      <c r="D504" s="7"/>
      <c r="E504" s="7"/>
      <c r="F504" s="9"/>
      <c r="G504" s="13"/>
      <c r="H504" s="13"/>
      <c r="I504" s="9"/>
      <c r="J504" s="8"/>
      <c r="K504" s="47">
        <f>K503+Table234535612[[#This Row],[AMOUNT]]-Table234535612[[#This Row],[AMOUNT2]]-Table234535612[[#This Row],[AMOUNT3]]</f>
        <v>15500</v>
      </c>
      <c r="L504" s="94"/>
    </row>
    <row r="505" spans="1:12" x14ac:dyDescent="0.35">
      <c r="A505" s="29"/>
      <c r="B505" s="7"/>
      <c r="C505" s="8"/>
      <c r="D505" s="7"/>
      <c r="E505" s="7"/>
      <c r="F505" s="9"/>
      <c r="G505" s="13"/>
      <c r="H505" s="13"/>
      <c r="I505" s="9"/>
      <c r="J505" s="8"/>
      <c r="K505" s="47">
        <f>K504+Table234535612[[#This Row],[AMOUNT]]-Table234535612[[#This Row],[AMOUNT2]]-Table234535612[[#This Row],[AMOUNT3]]</f>
        <v>15500</v>
      </c>
      <c r="L505" s="94"/>
    </row>
    <row r="506" spans="1:12" x14ac:dyDescent="0.35">
      <c r="A506" s="29"/>
      <c r="B506" s="7"/>
      <c r="C506" s="8"/>
      <c r="D506" s="7"/>
      <c r="E506" s="7"/>
      <c r="F506" s="9"/>
      <c r="G506" s="13"/>
      <c r="H506" s="13"/>
      <c r="I506" s="9"/>
      <c r="J506" s="8"/>
      <c r="K506" s="47">
        <f>K505+Table234535612[[#This Row],[AMOUNT]]-Table234535612[[#This Row],[AMOUNT2]]-Table234535612[[#This Row],[AMOUNT3]]</f>
        <v>15500</v>
      </c>
      <c r="L506" s="94"/>
    </row>
    <row r="507" spans="1:12" x14ac:dyDescent="0.35">
      <c r="A507" s="29"/>
      <c r="B507" s="7"/>
      <c r="C507" s="8"/>
      <c r="D507" s="7"/>
      <c r="E507" s="7"/>
      <c r="F507" s="9"/>
      <c r="G507" s="13"/>
      <c r="H507" s="13"/>
      <c r="I507" s="9"/>
      <c r="J507" s="8"/>
      <c r="K507" s="47">
        <f>K506+Table234535612[[#This Row],[AMOUNT]]-Table234535612[[#This Row],[AMOUNT2]]-Table234535612[[#This Row],[AMOUNT3]]</f>
        <v>15500</v>
      </c>
      <c r="L507" s="94"/>
    </row>
    <row r="508" spans="1:12" x14ac:dyDescent="0.35">
      <c r="A508" s="29"/>
      <c r="B508" s="7"/>
      <c r="C508" s="8"/>
      <c r="D508" s="7"/>
      <c r="E508" s="7"/>
      <c r="F508" s="9"/>
      <c r="G508" s="13"/>
      <c r="H508" s="13"/>
      <c r="I508" s="9"/>
      <c r="J508" s="8"/>
      <c r="K508" s="47">
        <f>K507+Table234535612[[#This Row],[AMOUNT]]-Table234535612[[#This Row],[AMOUNT2]]-Table234535612[[#This Row],[AMOUNT3]]</f>
        <v>15500</v>
      </c>
      <c r="L508" s="94"/>
    </row>
    <row r="509" spans="1:12" x14ac:dyDescent="0.35">
      <c r="A509" s="29"/>
      <c r="B509" s="7"/>
      <c r="C509" s="8"/>
      <c r="D509" s="7"/>
      <c r="E509" s="7"/>
      <c r="F509" s="9"/>
      <c r="G509" s="13"/>
      <c r="H509" s="13"/>
      <c r="I509" s="9"/>
      <c r="J509" s="8"/>
      <c r="K509" s="47">
        <f>K508+Table234535612[[#This Row],[AMOUNT]]-Table234535612[[#This Row],[AMOUNT2]]-Table234535612[[#This Row],[AMOUNT3]]</f>
        <v>15500</v>
      </c>
      <c r="L509" s="94"/>
    </row>
    <row r="510" spans="1:12" x14ac:dyDescent="0.35">
      <c r="A510" s="29"/>
      <c r="B510" s="7"/>
      <c r="C510" s="8"/>
      <c r="D510" s="7"/>
      <c r="E510" s="7"/>
      <c r="F510" s="9"/>
      <c r="G510" s="13"/>
      <c r="H510" s="13"/>
      <c r="I510" s="9"/>
      <c r="J510" s="8"/>
      <c r="K510" s="47">
        <f>K509+Table234535612[[#This Row],[AMOUNT]]-Table234535612[[#This Row],[AMOUNT2]]-Table234535612[[#This Row],[AMOUNT3]]</f>
        <v>15500</v>
      </c>
      <c r="L510" s="94"/>
    </row>
    <row r="511" spans="1:12" x14ac:dyDescent="0.35">
      <c r="A511" s="29"/>
      <c r="B511" s="7"/>
      <c r="C511" s="8"/>
      <c r="D511" s="7"/>
      <c r="E511" s="7"/>
      <c r="F511" s="9"/>
      <c r="G511" s="13"/>
      <c r="H511" s="13"/>
      <c r="I511" s="9"/>
      <c r="J511" s="8"/>
      <c r="K511" s="47">
        <f>K510+Table234535612[[#This Row],[AMOUNT]]-Table234535612[[#This Row],[AMOUNT2]]-Table234535612[[#This Row],[AMOUNT3]]</f>
        <v>15500</v>
      </c>
      <c r="L511" s="94"/>
    </row>
    <row r="512" spans="1:12" x14ac:dyDescent="0.35">
      <c r="A512" s="29"/>
      <c r="B512" s="7"/>
      <c r="C512" s="8"/>
      <c r="D512" s="7"/>
      <c r="E512" s="7"/>
      <c r="F512" s="9"/>
      <c r="G512" s="13"/>
      <c r="H512" s="13"/>
      <c r="I512" s="9"/>
      <c r="J512" s="8"/>
      <c r="K512" s="47">
        <f>K511+Table234535612[[#This Row],[AMOUNT]]-Table234535612[[#This Row],[AMOUNT2]]-Table234535612[[#This Row],[AMOUNT3]]</f>
        <v>15500</v>
      </c>
      <c r="L512" s="94"/>
    </row>
    <row r="513" spans="1:12" x14ac:dyDescent="0.35">
      <c r="A513" s="29"/>
      <c r="B513" s="7"/>
      <c r="C513" s="8"/>
      <c r="D513" s="7"/>
      <c r="E513" s="7"/>
      <c r="F513" s="9"/>
      <c r="G513" s="13"/>
      <c r="H513" s="13"/>
      <c r="I513" s="9"/>
      <c r="J513" s="8"/>
      <c r="K513" s="47">
        <f>K512+Table234535612[[#This Row],[AMOUNT]]-Table234535612[[#This Row],[AMOUNT2]]-Table234535612[[#This Row],[AMOUNT3]]</f>
        <v>15500</v>
      </c>
      <c r="L513" s="94"/>
    </row>
    <row r="514" spans="1:12" x14ac:dyDescent="0.35">
      <c r="A514" s="29"/>
      <c r="B514" s="7"/>
      <c r="C514" s="8"/>
      <c r="D514" s="7"/>
      <c r="E514" s="7"/>
      <c r="F514" s="9"/>
      <c r="G514" s="13"/>
      <c r="H514" s="13"/>
      <c r="I514" s="9"/>
      <c r="J514" s="8"/>
      <c r="K514" s="47">
        <f>K513+Table234535612[[#This Row],[AMOUNT]]-Table234535612[[#This Row],[AMOUNT2]]-Table234535612[[#This Row],[AMOUNT3]]</f>
        <v>15500</v>
      </c>
      <c r="L514" s="94"/>
    </row>
    <row r="515" spans="1:12" x14ac:dyDescent="0.35">
      <c r="A515" s="29"/>
      <c r="B515" s="7"/>
      <c r="C515" s="8"/>
      <c r="D515" s="7"/>
      <c r="E515" s="7"/>
      <c r="F515" s="9"/>
      <c r="G515" s="13"/>
      <c r="H515" s="13"/>
      <c r="I515" s="9"/>
      <c r="J515" s="8"/>
      <c r="K515" s="47">
        <f>K514+Table234535612[[#This Row],[AMOUNT]]-Table234535612[[#This Row],[AMOUNT2]]-Table234535612[[#This Row],[AMOUNT3]]</f>
        <v>15500</v>
      </c>
      <c r="L515" s="94"/>
    </row>
    <row r="516" spans="1:12" x14ac:dyDescent="0.35">
      <c r="A516" s="29"/>
      <c r="B516" s="7"/>
      <c r="C516" s="8"/>
      <c r="D516" s="7"/>
      <c r="E516" s="7"/>
      <c r="F516" s="9"/>
      <c r="G516" s="13"/>
      <c r="H516" s="13"/>
      <c r="I516" s="9"/>
      <c r="J516" s="8"/>
      <c r="K516" s="47">
        <f>K515+Table234535612[[#This Row],[AMOUNT]]-Table234535612[[#This Row],[AMOUNT2]]-Table234535612[[#This Row],[AMOUNT3]]</f>
        <v>15500</v>
      </c>
      <c r="L516" s="94"/>
    </row>
    <row r="517" spans="1:12" x14ac:dyDescent="0.35">
      <c r="A517" s="29"/>
      <c r="B517" s="7"/>
      <c r="C517" s="8"/>
      <c r="D517" s="7"/>
      <c r="E517" s="7"/>
      <c r="F517" s="9"/>
      <c r="G517" s="13"/>
      <c r="H517" s="13"/>
      <c r="I517" s="9"/>
      <c r="J517" s="8"/>
      <c r="K517" s="47">
        <f>K516+Table234535612[[#This Row],[AMOUNT]]-Table234535612[[#This Row],[AMOUNT2]]-Table234535612[[#This Row],[AMOUNT3]]</f>
        <v>15500</v>
      </c>
      <c r="L517" s="94"/>
    </row>
    <row r="518" spans="1:12" x14ac:dyDescent="0.35">
      <c r="A518" s="29"/>
      <c r="B518" s="7"/>
      <c r="C518" s="8"/>
      <c r="D518" s="7"/>
      <c r="E518" s="7"/>
      <c r="F518" s="9"/>
      <c r="G518" s="13"/>
      <c r="H518" s="13"/>
      <c r="I518" s="9"/>
      <c r="J518" s="8"/>
      <c r="K518" s="47">
        <f>K517+Table234535612[[#This Row],[AMOUNT]]-Table234535612[[#This Row],[AMOUNT2]]-Table234535612[[#This Row],[AMOUNT3]]</f>
        <v>15500</v>
      </c>
      <c r="L518" s="94"/>
    </row>
    <row r="519" spans="1:12" x14ac:dyDescent="0.35">
      <c r="A519" s="29"/>
      <c r="B519" s="7"/>
      <c r="C519" s="8"/>
      <c r="D519" s="7"/>
      <c r="E519" s="7"/>
      <c r="F519" s="9"/>
      <c r="G519" s="13"/>
      <c r="H519" s="13"/>
      <c r="I519" s="9"/>
      <c r="J519" s="8"/>
      <c r="K519" s="47">
        <f>K518+Table234535612[[#This Row],[AMOUNT]]-Table234535612[[#This Row],[AMOUNT2]]-Table234535612[[#This Row],[AMOUNT3]]</f>
        <v>15500</v>
      </c>
      <c r="L519" s="94"/>
    </row>
    <row r="520" spans="1:12" x14ac:dyDescent="0.35">
      <c r="A520" s="29"/>
      <c r="B520" s="7"/>
      <c r="C520" s="8"/>
      <c r="D520" s="7"/>
      <c r="E520" s="7"/>
      <c r="F520" s="9"/>
      <c r="G520" s="13"/>
      <c r="H520" s="13"/>
      <c r="I520" s="9"/>
      <c r="J520" s="8"/>
      <c r="K520" s="47">
        <f>K519+Table234535612[[#This Row],[AMOUNT]]-Table234535612[[#This Row],[AMOUNT2]]-Table234535612[[#This Row],[AMOUNT3]]</f>
        <v>15500</v>
      </c>
      <c r="L520" s="94"/>
    </row>
    <row r="521" spans="1:12" x14ac:dyDescent="0.35">
      <c r="A521" s="29"/>
      <c r="B521" s="7"/>
      <c r="C521" s="8"/>
      <c r="D521" s="7"/>
      <c r="E521" s="7"/>
      <c r="F521" s="9"/>
      <c r="G521" s="13"/>
      <c r="H521" s="13"/>
      <c r="I521" s="9"/>
      <c r="J521" s="8"/>
      <c r="K521" s="47">
        <f>K520+Table234535612[[#This Row],[AMOUNT]]-Table234535612[[#This Row],[AMOUNT2]]-Table234535612[[#This Row],[AMOUNT3]]</f>
        <v>15500</v>
      </c>
      <c r="L521" s="94"/>
    </row>
    <row r="522" spans="1:12" x14ac:dyDescent="0.35">
      <c r="A522" s="29"/>
      <c r="B522" s="7"/>
      <c r="C522" s="8"/>
      <c r="D522" s="7"/>
      <c r="E522" s="7"/>
      <c r="F522" s="9"/>
      <c r="G522" s="13"/>
      <c r="H522" s="13"/>
      <c r="I522" s="9"/>
      <c r="J522" s="8"/>
      <c r="K522" s="47">
        <f>K521+Table234535612[[#This Row],[AMOUNT]]-Table234535612[[#This Row],[AMOUNT2]]-Table234535612[[#This Row],[AMOUNT3]]</f>
        <v>15500</v>
      </c>
      <c r="L522" s="94"/>
    </row>
    <row r="523" spans="1:12" x14ac:dyDescent="0.35">
      <c r="A523" s="29"/>
      <c r="B523" s="7"/>
      <c r="C523" s="8"/>
      <c r="D523" s="7"/>
      <c r="E523" s="7"/>
      <c r="F523" s="9"/>
      <c r="G523" s="13"/>
      <c r="H523" s="13"/>
      <c r="I523" s="9"/>
      <c r="J523" s="8"/>
      <c r="K523" s="47">
        <f>K522+Table234535612[[#This Row],[AMOUNT]]-Table234535612[[#This Row],[AMOUNT2]]-Table234535612[[#This Row],[AMOUNT3]]</f>
        <v>15500</v>
      </c>
      <c r="L523" s="94"/>
    </row>
    <row r="524" spans="1:12" x14ac:dyDescent="0.35">
      <c r="A524" s="29"/>
      <c r="B524" s="7"/>
      <c r="C524" s="8"/>
      <c r="D524" s="7"/>
      <c r="E524" s="7"/>
      <c r="F524" s="9"/>
      <c r="G524" s="13"/>
      <c r="H524" s="13"/>
      <c r="I524" s="9"/>
      <c r="J524" s="8"/>
      <c r="K524" s="47">
        <f>K523+Table234535612[[#This Row],[AMOUNT]]-Table234535612[[#This Row],[AMOUNT2]]-Table234535612[[#This Row],[AMOUNT3]]</f>
        <v>15500</v>
      </c>
      <c r="L524" s="94"/>
    </row>
    <row r="525" spans="1:12" x14ac:dyDescent="0.35">
      <c r="A525" s="29"/>
      <c r="B525" s="7"/>
      <c r="C525" s="8"/>
      <c r="D525" s="7"/>
      <c r="E525" s="7"/>
      <c r="F525" s="9"/>
      <c r="G525" s="13"/>
      <c r="H525" s="13"/>
      <c r="I525" s="9"/>
      <c r="J525" s="8"/>
      <c r="K525" s="47">
        <f>K524+Table234535612[[#This Row],[AMOUNT]]-Table234535612[[#This Row],[AMOUNT2]]-Table234535612[[#This Row],[AMOUNT3]]</f>
        <v>15500</v>
      </c>
      <c r="L525" s="94"/>
    </row>
    <row r="526" spans="1:12" x14ac:dyDescent="0.35">
      <c r="A526" s="29"/>
      <c r="B526" s="7"/>
      <c r="C526" s="8"/>
      <c r="D526" s="7"/>
      <c r="E526" s="7"/>
      <c r="F526" s="9"/>
      <c r="G526" s="13"/>
      <c r="H526" s="13"/>
      <c r="I526" s="9"/>
      <c r="J526" s="8"/>
      <c r="K526" s="47">
        <f>K525+Table234535612[[#This Row],[AMOUNT]]-Table234535612[[#This Row],[AMOUNT2]]-Table234535612[[#This Row],[AMOUNT3]]</f>
        <v>15500</v>
      </c>
      <c r="L526" s="94"/>
    </row>
    <row r="527" spans="1:12" x14ac:dyDescent="0.35">
      <c r="A527" s="29"/>
      <c r="B527" s="7"/>
      <c r="C527" s="8"/>
      <c r="D527" s="7"/>
      <c r="E527" s="7"/>
      <c r="F527" s="9"/>
      <c r="G527" s="13"/>
      <c r="H527" s="13"/>
      <c r="I527" s="9"/>
      <c r="J527" s="8"/>
      <c r="K527" s="47">
        <f>K526+Table234535612[[#This Row],[AMOUNT]]-Table234535612[[#This Row],[AMOUNT2]]-Table234535612[[#This Row],[AMOUNT3]]</f>
        <v>15500</v>
      </c>
      <c r="L527" s="94"/>
    </row>
    <row r="528" spans="1:12" x14ac:dyDescent="0.35">
      <c r="A528" s="29"/>
      <c r="B528" s="7"/>
      <c r="C528" s="8"/>
      <c r="D528" s="7"/>
      <c r="E528" s="7"/>
      <c r="F528" s="9"/>
      <c r="G528" s="13"/>
      <c r="H528" s="13"/>
      <c r="I528" s="9"/>
      <c r="J528" s="8"/>
      <c r="K528" s="47">
        <f>K527+Table234535612[[#This Row],[AMOUNT]]-Table234535612[[#This Row],[AMOUNT2]]-Table234535612[[#This Row],[AMOUNT3]]</f>
        <v>15500</v>
      </c>
      <c r="L528" s="94"/>
    </row>
    <row r="529" spans="1:12" x14ac:dyDescent="0.35">
      <c r="A529" s="29"/>
      <c r="B529" s="7"/>
      <c r="C529" s="8"/>
      <c r="D529" s="7"/>
      <c r="E529" s="7"/>
      <c r="F529" s="9"/>
      <c r="G529" s="13"/>
      <c r="H529" s="13"/>
      <c r="I529" s="9"/>
      <c r="J529" s="8"/>
      <c r="K529" s="47">
        <f>K528+Table234535612[[#This Row],[AMOUNT]]-Table234535612[[#This Row],[AMOUNT2]]-Table234535612[[#This Row],[AMOUNT3]]</f>
        <v>15500</v>
      </c>
      <c r="L529" s="94"/>
    </row>
    <row r="530" spans="1:12" x14ac:dyDescent="0.35">
      <c r="A530" s="29"/>
      <c r="B530" s="7"/>
      <c r="C530" s="8"/>
      <c r="D530" s="7"/>
      <c r="E530" s="7"/>
      <c r="F530" s="9"/>
      <c r="G530" s="13"/>
      <c r="H530" s="13"/>
      <c r="I530" s="9"/>
      <c r="J530" s="8"/>
      <c r="K530" s="47">
        <f>K529+Table234535612[[#This Row],[AMOUNT]]-Table234535612[[#This Row],[AMOUNT2]]-Table234535612[[#This Row],[AMOUNT3]]</f>
        <v>15500</v>
      </c>
      <c r="L530" s="94"/>
    </row>
    <row r="531" spans="1:12" x14ac:dyDescent="0.35">
      <c r="A531" s="29"/>
      <c r="B531" s="7"/>
      <c r="C531" s="8"/>
      <c r="D531" s="7"/>
      <c r="E531" s="7"/>
      <c r="F531" s="9"/>
      <c r="G531" s="13"/>
      <c r="H531" s="13"/>
      <c r="I531" s="9"/>
      <c r="J531" s="8"/>
      <c r="K531" s="47">
        <f>K530+Table234535612[[#This Row],[AMOUNT]]-Table234535612[[#This Row],[AMOUNT2]]-Table234535612[[#This Row],[AMOUNT3]]</f>
        <v>15500</v>
      </c>
      <c r="L531" s="94"/>
    </row>
    <row r="532" spans="1:12" x14ac:dyDescent="0.35">
      <c r="A532" s="29"/>
      <c r="B532" s="7"/>
      <c r="C532" s="8"/>
      <c r="D532" s="7"/>
      <c r="E532" s="7"/>
      <c r="F532" s="9"/>
      <c r="G532" s="13"/>
      <c r="H532" s="13"/>
      <c r="I532" s="9"/>
      <c r="J532" s="8"/>
      <c r="K532" s="47">
        <f>K531+Table234535612[[#This Row],[AMOUNT]]-Table234535612[[#This Row],[AMOUNT2]]-Table234535612[[#This Row],[AMOUNT3]]</f>
        <v>15500</v>
      </c>
      <c r="L532" s="94"/>
    </row>
    <row r="533" spans="1:12" x14ac:dyDescent="0.35">
      <c r="A533" s="29"/>
      <c r="B533" s="7"/>
      <c r="C533" s="8"/>
      <c r="D533" s="7"/>
      <c r="E533" s="7"/>
      <c r="F533" s="9"/>
      <c r="G533" s="13"/>
      <c r="H533" s="13"/>
      <c r="I533" s="9"/>
      <c r="J533" s="8"/>
      <c r="K533" s="47">
        <f>K532+Table234535612[[#This Row],[AMOUNT]]-Table234535612[[#This Row],[AMOUNT2]]-Table234535612[[#This Row],[AMOUNT3]]</f>
        <v>15500</v>
      </c>
      <c r="L533" s="94"/>
    </row>
    <row r="534" spans="1:12" x14ac:dyDescent="0.35">
      <c r="A534" s="29"/>
      <c r="B534" s="7"/>
      <c r="C534" s="8"/>
      <c r="D534" s="7"/>
      <c r="E534" s="7"/>
      <c r="F534" s="9"/>
      <c r="G534" s="13"/>
      <c r="H534" s="13"/>
      <c r="I534" s="9"/>
      <c r="J534" s="8"/>
      <c r="K534" s="47">
        <f>K533+Table234535612[[#This Row],[AMOUNT]]-Table234535612[[#This Row],[AMOUNT2]]-Table234535612[[#This Row],[AMOUNT3]]</f>
        <v>15500</v>
      </c>
      <c r="L534" s="94"/>
    </row>
    <row r="535" spans="1:12" x14ac:dyDescent="0.35">
      <c r="A535" s="29"/>
      <c r="B535" s="7"/>
      <c r="C535" s="8"/>
      <c r="D535" s="7"/>
      <c r="E535" s="7"/>
      <c r="F535" s="9"/>
      <c r="G535" s="13"/>
      <c r="H535" s="13"/>
      <c r="I535" s="9"/>
      <c r="J535" s="8"/>
      <c r="K535" s="47">
        <f>K534+Table234535612[[#This Row],[AMOUNT]]-Table234535612[[#This Row],[AMOUNT2]]-Table234535612[[#This Row],[AMOUNT3]]</f>
        <v>15500</v>
      </c>
      <c r="L535" s="94"/>
    </row>
    <row r="536" spans="1:12" x14ac:dyDescent="0.35">
      <c r="A536" s="29"/>
      <c r="B536" s="7"/>
      <c r="C536" s="8"/>
      <c r="D536" s="7"/>
      <c r="E536" s="7"/>
      <c r="F536" s="9"/>
      <c r="G536" s="13"/>
      <c r="H536" s="13"/>
      <c r="I536" s="9"/>
      <c r="J536" s="8"/>
      <c r="K536" s="47">
        <f>K535+Table234535612[[#This Row],[AMOUNT]]-Table234535612[[#This Row],[AMOUNT2]]-Table234535612[[#This Row],[AMOUNT3]]</f>
        <v>15500</v>
      </c>
      <c r="L536" s="94"/>
    </row>
    <row r="537" spans="1:12" x14ac:dyDescent="0.35">
      <c r="A537" s="29"/>
      <c r="B537" s="7"/>
      <c r="C537" s="8"/>
      <c r="D537" s="7"/>
      <c r="E537" s="7"/>
      <c r="F537" s="9"/>
      <c r="G537" s="13"/>
      <c r="H537" s="13"/>
      <c r="I537" s="9"/>
      <c r="J537" s="8"/>
      <c r="K537" s="47">
        <f>K536+Table234535612[[#This Row],[AMOUNT]]-Table234535612[[#This Row],[AMOUNT2]]-Table234535612[[#This Row],[AMOUNT3]]</f>
        <v>15500</v>
      </c>
      <c r="L537" s="94"/>
    </row>
    <row r="538" spans="1:12" x14ac:dyDescent="0.35">
      <c r="A538" s="29"/>
      <c r="B538" s="7"/>
      <c r="C538" s="8"/>
      <c r="D538" s="7"/>
      <c r="E538" s="7"/>
      <c r="F538" s="9"/>
      <c r="G538" s="13"/>
      <c r="H538" s="13"/>
      <c r="I538" s="9"/>
      <c r="J538" s="8"/>
      <c r="K538" s="47">
        <f>K537+Table234535612[[#This Row],[AMOUNT]]-Table234535612[[#This Row],[AMOUNT2]]-Table234535612[[#This Row],[AMOUNT3]]</f>
        <v>15500</v>
      </c>
      <c r="L538" s="94"/>
    </row>
    <row r="539" spans="1:12" x14ac:dyDescent="0.35">
      <c r="A539" s="29"/>
      <c r="B539" s="7"/>
      <c r="C539" s="8"/>
      <c r="D539" s="7"/>
      <c r="E539" s="7"/>
      <c r="F539" s="9"/>
      <c r="G539" s="13"/>
      <c r="H539" s="13"/>
      <c r="I539" s="9"/>
      <c r="J539" s="8"/>
      <c r="K539" s="47">
        <f>K538+Table234535612[[#This Row],[AMOUNT]]-Table234535612[[#This Row],[AMOUNT2]]-Table234535612[[#This Row],[AMOUNT3]]</f>
        <v>15500</v>
      </c>
      <c r="L539" s="94"/>
    </row>
    <row r="540" spans="1:12" x14ac:dyDescent="0.35">
      <c r="A540" s="29"/>
      <c r="B540" s="7"/>
      <c r="C540" s="8"/>
      <c r="D540" s="7"/>
      <c r="E540" s="7"/>
      <c r="F540" s="9"/>
      <c r="G540" s="13"/>
      <c r="H540" s="13"/>
      <c r="I540" s="9"/>
      <c r="J540" s="8"/>
      <c r="K540" s="47">
        <f>K539+Table234535612[[#This Row],[AMOUNT]]-Table234535612[[#This Row],[AMOUNT2]]-Table234535612[[#This Row],[AMOUNT3]]</f>
        <v>15500</v>
      </c>
      <c r="L540" s="94"/>
    </row>
    <row r="541" spans="1:12" x14ac:dyDescent="0.35">
      <c r="A541" s="29"/>
      <c r="B541" s="7"/>
      <c r="C541" s="8"/>
      <c r="D541" s="7"/>
      <c r="E541" s="7"/>
      <c r="F541" s="9"/>
      <c r="G541" s="13"/>
      <c r="H541" s="13"/>
      <c r="I541" s="9"/>
      <c r="J541" s="8"/>
      <c r="K541" s="47">
        <f>K540+Table234535612[[#This Row],[AMOUNT]]-Table234535612[[#This Row],[AMOUNT2]]-Table234535612[[#This Row],[AMOUNT3]]</f>
        <v>15500</v>
      </c>
      <c r="L541" s="94"/>
    </row>
    <row r="542" spans="1:12" x14ac:dyDescent="0.35">
      <c r="A542" s="29"/>
      <c r="B542" s="7"/>
      <c r="C542" s="8"/>
      <c r="D542" s="7"/>
      <c r="E542" s="7"/>
      <c r="F542" s="9"/>
      <c r="G542" s="13"/>
      <c r="H542" s="13"/>
      <c r="I542" s="9"/>
      <c r="J542" s="8"/>
      <c r="K542" s="47">
        <f>K541+Table234535612[[#This Row],[AMOUNT]]-Table234535612[[#This Row],[AMOUNT2]]-Table234535612[[#This Row],[AMOUNT3]]</f>
        <v>15500</v>
      </c>
      <c r="L542" s="94"/>
    </row>
    <row r="543" spans="1:12" x14ac:dyDescent="0.35">
      <c r="A543" s="29"/>
      <c r="B543" s="7"/>
      <c r="C543" s="8"/>
      <c r="D543" s="7"/>
      <c r="E543" s="7"/>
      <c r="F543" s="9"/>
      <c r="G543" s="13"/>
      <c r="H543" s="13"/>
      <c r="I543" s="9"/>
      <c r="J543" s="8"/>
      <c r="K543" s="47">
        <f>K542+Table234535612[[#This Row],[AMOUNT]]-Table234535612[[#This Row],[AMOUNT2]]-Table234535612[[#This Row],[AMOUNT3]]</f>
        <v>15500</v>
      </c>
      <c r="L543" s="94"/>
    </row>
    <row r="544" spans="1:12" x14ac:dyDescent="0.35">
      <c r="A544" s="29"/>
      <c r="B544" s="7"/>
      <c r="C544" s="8"/>
      <c r="D544" s="7"/>
      <c r="E544" s="7"/>
      <c r="F544" s="9"/>
      <c r="G544" s="13"/>
      <c r="H544" s="13"/>
      <c r="I544" s="9"/>
      <c r="J544" s="8"/>
      <c r="K544" s="47">
        <f>K543+Table234535612[[#This Row],[AMOUNT]]-Table234535612[[#This Row],[AMOUNT2]]-Table234535612[[#This Row],[AMOUNT3]]</f>
        <v>15500</v>
      </c>
      <c r="L544" s="94"/>
    </row>
    <row r="545" spans="1:12" x14ac:dyDescent="0.35">
      <c r="A545" s="29"/>
      <c r="B545" s="7"/>
      <c r="C545" s="8"/>
      <c r="D545" s="7"/>
      <c r="E545" s="7"/>
      <c r="F545" s="9"/>
      <c r="G545" s="13"/>
      <c r="H545" s="13"/>
      <c r="I545" s="9"/>
      <c r="J545" s="8"/>
      <c r="K545" s="47">
        <f>K544+Table234535612[[#This Row],[AMOUNT]]-Table234535612[[#This Row],[AMOUNT2]]-Table234535612[[#This Row],[AMOUNT3]]</f>
        <v>15500</v>
      </c>
      <c r="L545" s="94"/>
    </row>
    <row r="546" spans="1:12" x14ac:dyDescent="0.35">
      <c r="A546" s="29"/>
      <c r="B546" s="7"/>
      <c r="C546" s="8"/>
      <c r="D546" s="7"/>
      <c r="E546" s="7"/>
      <c r="F546" s="9"/>
      <c r="G546" s="13"/>
      <c r="H546" s="13"/>
      <c r="I546" s="9"/>
      <c r="J546" s="8"/>
      <c r="K546" s="47">
        <f>K545+Table234535612[[#This Row],[AMOUNT]]-Table234535612[[#This Row],[AMOUNT2]]-Table234535612[[#This Row],[AMOUNT3]]</f>
        <v>15500</v>
      </c>
      <c r="L546" s="94"/>
    </row>
    <row r="547" spans="1:12" x14ac:dyDescent="0.35">
      <c r="A547" s="29"/>
      <c r="B547" s="7"/>
      <c r="C547" s="8"/>
      <c r="D547" s="7"/>
      <c r="E547" s="7"/>
      <c r="F547" s="9"/>
      <c r="G547" s="13"/>
      <c r="H547" s="13"/>
      <c r="I547" s="9"/>
      <c r="J547" s="8"/>
      <c r="K547" s="47">
        <f>K546+Table234535612[[#This Row],[AMOUNT]]-Table234535612[[#This Row],[AMOUNT2]]-Table234535612[[#This Row],[AMOUNT3]]</f>
        <v>15500</v>
      </c>
      <c r="L547" s="94"/>
    </row>
    <row r="548" spans="1:12" x14ac:dyDescent="0.35">
      <c r="A548" s="29"/>
      <c r="B548" s="7"/>
      <c r="C548" s="8"/>
      <c r="D548" s="7"/>
      <c r="E548" s="7"/>
      <c r="F548" s="9"/>
      <c r="G548" s="13"/>
      <c r="H548" s="13"/>
      <c r="I548" s="9"/>
      <c r="J548" s="8"/>
      <c r="K548" s="47">
        <f>K547+Table234535612[[#This Row],[AMOUNT]]-Table234535612[[#This Row],[AMOUNT2]]-Table234535612[[#This Row],[AMOUNT3]]</f>
        <v>15500</v>
      </c>
      <c r="L548" s="94"/>
    </row>
    <row r="549" spans="1:12" x14ac:dyDescent="0.35">
      <c r="A549" s="29"/>
      <c r="B549" s="7"/>
      <c r="C549" s="8"/>
      <c r="D549" s="7"/>
      <c r="E549" s="7"/>
      <c r="F549" s="9"/>
      <c r="G549" s="13"/>
      <c r="H549" s="13"/>
      <c r="I549" s="9"/>
      <c r="J549" s="8"/>
      <c r="K549" s="47">
        <f>K548+Table234535612[[#This Row],[AMOUNT]]-Table234535612[[#This Row],[AMOUNT2]]-Table234535612[[#This Row],[AMOUNT3]]</f>
        <v>15500</v>
      </c>
      <c r="L549" s="94"/>
    </row>
    <row r="550" spans="1:12" x14ac:dyDescent="0.35">
      <c r="A550" s="29"/>
      <c r="B550" s="7"/>
      <c r="C550" s="8"/>
      <c r="D550" s="7"/>
      <c r="E550" s="7"/>
      <c r="F550" s="9"/>
      <c r="G550" s="13"/>
      <c r="H550" s="13"/>
      <c r="I550" s="9"/>
      <c r="J550" s="8"/>
      <c r="K550" s="47">
        <f>K549+Table234535612[[#This Row],[AMOUNT]]-Table234535612[[#This Row],[AMOUNT2]]-Table234535612[[#This Row],[AMOUNT3]]</f>
        <v>15500</v>
      </c>
      <c r="L550" s="94"/>
    </row>
    <row r="551" spans="1:12" x14ac:dyDescent="0.35">
      <c r="A551" s="29"/>
      <c r="B551" s="7"/>
      <c r="C551" s="8"/>
      <c r="D551" s="7"/>
      <c r="E551" s="7"/>
      <c r="F551" s="9"/>
      <c r="G551" s="13"/>
      <c r="H551" s="13"/>
      <c r="I551" s="9"/>
      <c r="J551" s="8"/>
      <c r="K551" s="47">
        <f>K550+Table234535612[[#This Row],[AMOUNT]]-Table234535612[[#This Row],[AMOUNT2]]-Table234535612[[#This Row],[AMOUNT3]]</f>
        <v>15500</v>
      </c>
      <c r="L551" s="94"/>
    </row>
    <row r="552" spans="1:12" x14ac:dyDescent="0.35">
      <c r="A552" s="29"/>
      <c r="B552" s="7"/>
      <c r="C552" s="8"/>
      <c r="D552" s="7"/>
      <c r="E552" s="7"/>
      <c r="F552" s="9"/>
      <c r="G552" s="13"/>
      <c r="H552" s="13"/>
      <c r="I552" s="9"/>
      <c r="J552" s="8"/>
      <c r="K552" s="47">
        <f>K551+Table234535612[[#This Row],[AMOUNT]]-Table234535612[[#This Row],[AMOUNT2]]-Table234535612[[#This Row],[AMOUNT3]]</f>
        <v>15500</v>
      </c>
      <c r="L552" s="94"/>
    </row>
    <row r="553" spans="1:12" x14ac:dyDescent="0.35">
      <c r="A553" s="29"/>
      <c r="B553" s="7"/>
      <c r="C553" s="8"/>
      <c r="D553" s="7"/>
      <c r="E553" s="7"/>
      <c r="F553" s="9"/>
      <c r="G553" s="13"/>
      <c r="H553" s="13"/>
      <c r="I553" s="9"/>
      <c r="J553" s="8"/>
      <c r="K553" s="47">
        <f>K552+Table234535612[[#This Row],[AMOUNT]]-Table234535612[[#This Row],[AMOUNT2]]-Table234535612[[#This Row],[AMOUNT3]]</f>
        <v>15500</v>
      </c>
      <c r="L553" s="94"/>
    </row>
    <row r="554" spans="1:12" x14ac:dyDescent="0.35">
      <c r="A554" s="29"/>
      <c r="B554" s="7"/>
      <c r="C554" s="8"/>
      <c r="D554" s="7"/>
      <c r="E554" s="7"/>
      <c r="F554" s="9"/>
      <c r="G554" s="13"/>
      <c r="H554" s="13"/>
      <c r="I554" s="9"/>
      <c r="J554" s="8"/>
      <c r="K554" s="47">
        <f>K553+Table234535612[[#This Row],[AMOUNT]]-Table234535612[[#This Row],[AMOUNT2]]-Table234535612[[#This Row],[AMOUNT3]]</f>
        <v>15500</v>
      </c>
      <c r="L554" s="94"/>
    </row>
    <row r="555" spans="1:12" x14ac:dyDescent="0.35">
      <c r="A555" s="29"/>
      <c r="B555" s="7"/>
      <c r="C555" s="8"/>
      <c r="D555" s="7"/>
      <c r="E555" s="7"/>
      <c r="F555" s="9"/>
      <c r="G555" s="13"/>
      <c r="H555" s="13"/>
      <c r="I555" s="9"/>
      <c r="J555" s="8"/>
      <c r="K555" s="47">
        <f>K554+Table234535612[[#This Row],[AMOUNT]]-Table234535612[[#This Row],[AMOUNT2]]-Table234535612[[#This Row],[AMOUNT3]]</f>
        <v>15500</v>
      </c>
      <c r="L555" s="94"/>
    </row>
    <row r="556" spans="1:12" x14ac:dyDescent="0.35">
      <c r="A556" s="29"/>
      <c r="B556" s="7"/>
      <c r="C556" s="8"/>
      <c r="D556" s="7"/>
      <c r="E556" s="7"/>
      <c r="F556" s="9"/>
      <c r="G556" s="13"/>
      <c r="H556" s="13"/>
      <c r="I556" s="9"/>
      <c r="J556" s="8"/>
      <c r="K556" s="47">
        <f>K555+Table234535612[[#This Row],[AMOUNT]]-Table234535612[[#This Row],[AMOUNT2]]-Table234535612[[#This Row],[AMOUNT3]]</f>
        <v>15500</v>
      </c>
      <c r="L556" s="94"/>
    </row>
    <row r="557" spans="1:12" x14ac:dyDescent="0.35">
      <c r="A557" s="29"/>
      <c r="B557" s="7"/>
      <c r="C557" s="8"/>
      <c r="D557" s="7"/>
      <c r="E557" s="7"/>
      <c r="F557" s="9"/>
      <c r="G557" s="13"/>
      <c r="H557" s="13"/>
      <c r="I557" s="9"/>
      <c r="J557" s="8"/>
      <c r="K557" s="47">
        <f>K556+Table234535612[[#This Row],[AMOUNT]]-Table234535612[[#This Row],[AMOUNT2]]-Table234535612[[#This Row],[AMOUNT3]]</f>
        <v>15500</v>
      </c>
      <c r="L557" s="94"/>
    </row>
    <row r="558" spans="1:12" x14ac:dyDescent="0.35">
      <c r="A558" s="29"/>
      <c r="B558" s="7"/>
      <c r="C558" s="8"/>
      <c r="D558" s="7"/>
      <c r="E558" s="7"/>
      <c r="F558" s="9"/>
      <c r="G558" s="13"/>
      <c r="H558" s="13"/>
      <c r="I558" s="9"/>
      <c r="J558" s="8"/>
      <c r="K558" s="47">
        <f>K557+Table234535612[[#This Row],[AMOUNT]]-Table234535612[[#This Row],[AMOUNT2]]-Table234535612[[#This Row],[AMOUNT3]]</f>
        <v>15500</v>
      </c>
      <c r="L558" s="94"/>
    </row>
    <row r="559" spans="1:12" x14ac:dyDescent="0.35">
      <c r="A559" s="29"/>
      <c r="B559" s="7"/>
      <c r="C559" s="8"/>
      <c r="D559" s="7"/>
      <c r="E559" s="7"/>
      <c r="F559" s="9"/>
      <c r="G559" s="13"/>
      <c r="H559" s="13"/>
      <c r="I559" s="9"/>
      <c r="J559" s="8"/>
      <c r="K559" s="47">
        <f>K558+Table234535612[[#This Row],[AMOUNT]]-Table234535612[[#This Row],[AMOUNT2]]-Table234535612[[#This Row],[AMOUNT3]]</f>
        <v>15500</v>
      </c>
      <c r="L559" s="94"/>
    </row>
    <row r="560" spans="1:12" x14ac:dyDescent="0.35">
      <c r="A560" s="29"/>
      <c r="B560" s="7"/>
      <c r="C560" s="8"/>
      <c r="D560" s="7"/>
      <c r="E560" s="7"/>
      <c r="F560" s="9"/>
      <c r="G560" s="13"/>
      <c r="H560" s="13"/>
      <c r="I560" s="9"/>
      <c r="J560" s="8"/>
      <c r="K560" s="47">
        <f>K559+Table234535612[[#This Row],[AMOUNT]]-Table234535612[[#This Row],[AMOUNT2]]-Table234535612[[#This Row],[AMOUNT3]]</f>
        <v>15500</v>
      </c>
      <c r="L560" s="94"/>
    </row>
    <row r="561" spans="1:12" x14ac:dyDescent="0.35">
      <c r="A561" s="29"/>
      <c r="B561" s="7"/>
      <c r="C561" s="8"/>
      <c r="D561" s="7"/>
      <c r="E561" s="7"/>
      <c r="F561" s="9"/>
      <c r="G561" s="13"/>
      <c r="H561" s="13"/>
      <c r="I561" s="9"/>
      <c r="J561" s="8"/>
      <c r="K561" s="47">
        <f>K560+Table234535612[[#This Row],[AMOUNT]]-Table234535612[[#This Row],[AMOUNT2]]-Table234535612[[#This Row],[AMOUNT3]]</f>
        <v>15500</v>
      </c>
      <c r="L561" s="94"/>
    </row>
    <row r="562" spans="1:12" x14ac:dyDescent="0.35">
      <c r="A562" s="29"/>
      <c r="B562" s="7"/>
      <c r="C562" s="8"/>
      <c r="D562" s="7"/>
      <c r="E562" s="7"/>
      <c r="F562" s="9"/>
      <c r="G562" s="13"/>
      <c r="H562" s="13"/>
      <c r="I562" s="9"/>
      <c r="J562" s="8"/>
      <c r="K562" s="47">
        <f>K561+Table234535612[[#This Row],[AMOUNT]]-Table234535612[[#This Row],[AMOUNT2]]-Table234535612[[#This Row],[AMOUNT3]]</f>
        <v>15500</v>
      </c>
      <c r="L562" s="94"/>
    </row>
    <row r="563" spans="1:12" x14ac:dyDescent="0.35">
      <c r="A563" s="29"/>
      <c r="B563" s="7"/>
      <c r="C563" s="8"/>
      <c r="D563" s="7"/>
      <c r="E563" s="7"/>
      <c r="F563" s="9"/>
      <c r="G563" s="13"/>
      <c r="H563" s="13"/>
      <c r="I563" s="9"/>
      <c r="J563" s="8"/>
      <c r="K563" s="47">
        <f>K562+Table234535612[[#This Row],[AMOUNT]]-Table234535612[[#This Row],[AMOUNT2]]-Table234535612[[#This Row],[AMOUNT3]]</f>
        <v>15500</v>
      </c>
      <c r="L563" s="94"/>
    </row>
    <row r="564" spans="1:12" x14ac:dyDescent="0.35">
      <c r="A564" s="29"/>
      <c r="B564" s="7"/>
      <c r="C564" s="8"/>
      <c r="D564" s="7"/>
      <c r="E564" s="7"/>
      <c r="F564" s="9"/>
      <c r="G564" s="13"/>
      <c r="H564" s="13"/>
      <c r="I564" s="9"/>
      <c r="J564" s="8"/>
      <c r="K564" s="47">
        <f>K563+Table234535612[[#This Row],[AMOUNT]]-Table234535612[[#This Row],[AMOUNT2]]-Table234535612[[#This Row],[AMOUNT3]]</f>
        <v>15500</v>
      </c>
      <c r="L564" s="94"/>
    </row>
    <row r="565" spans="1:12" x14ac:dyDescent="0.35">
      <c r="A565" s="29"/>
      <c r="B565" s="7"/>
      <c r="C565" s="8"/>
      <c r="D565" s="7"/>
      <c r="E565" s="7"/>
      <c r="F565" s="9"/>
      <c r="G565" s="13"/>
      <c r="H565" s="13"/>
      <c r="I565" s="9"/>
      <c r="J565" s="8"/>
      <c r="K565" s="47">
        <f>K564+Table234535612[[#This Row],[AMOUNT]]-Table234535612[[#This Row],[AMOUNT2]]-Table234535612[[#This Row],[AMOUNT3]]</f>
        <v>15500</v>
      </c>
      <c r="L565" s="94"/>
    </row>
    <row r="566" spans="1:12" x14ac:dyDescent="0.35">
      <c r="A566" s="29"/>
      <c r="B566" s="7"/>
      <c r="C566" s="8"/>
      <c r="D566" s="7"/>
      <c r="E566" s="7"/>
      <c r="F566" s="9"/>
      <c r="G566" s="13"/>
      <c r="H566" s="13"/>
      <c r="I566" s="9"/>
      <c r="J566" s="8"/>
      <c r="K566" s="47">
        <f>K565+Table234535612[[#This Row],[AMOUNT]]-Table234535612[[#This Row],[AMOUNT2]]-Table234535612[[#This Row],[AMOUNT3]]</f>
        <v>15500</v>
      </c>
      <c r="L566" s="94"/>
    </row>
    <row r="567" spans="1:12" x14ac:dyDescent="0.35">
      <c r="A567" s="29"/>
      <c r="B567" s="7"/>
      <c r="C567" s="8"/>
      <c r="D567" s="7"/>
      <c r="E567" s="7"/>
      <c r="F567" s="9"/>
      <c r="G567" s="13"/>
      <c r="H567" s="13"/>
      <c r="I567" s="9"/>
      <c r="J567" s="8"/>
      <c r="K567" s="47">
        <f>K566+Table234535612[[#This Row],[AMOUNT]]-Table234535612[[#This Row],[AMOUNT2]]-Table234535612[[#This Row],[AMOUNT3]]</f>
        <v>15500</v>
      </c>
      <c r="L567" s="94"/>
    </row>
    <row r="568" spans="1:12" x14ac:dyDescent="0.35">
      <c r="A568" s="29"/>
      <c r="B568" s="7"/>
      <c r="C568" s="8"/>
      <c r="D568" s="7"/>
      <c r="E568" s="7"/>
      <c r="F568" s="9"/>
      <c r="G568" s="13"/>
      <c r="H568" s="13"/>
      <c r="I568" s="9"/>
      <c r="J568" s="8"/>
      <c r="K568" s="47">
        <f>K567+Table234535612[[#This Row],[AMOUNT]]-Table234535612[[#This Row],[AMOUNT2]]-Table234535612[[#This Row],[AMOUNT3]]</f>
        <v>15500</v>
      </c>
      <c r="L568" s="94"/>
    </row>
    <row r="569" spans="1:12" x14ac:dyDescent="0.35">
      <c r="A569" s="29"/>
      <c r="B569" s="7"/>
      <c r="C569" s="8"/>
      <c r="D569" s="7"/>
      <c r="E569" s="7"/>
      <c r="F569" s="9"/>
      <c r="G569" s="13"/>
      <c r="H569" s="13"/>
      <c r="I569" s="9"/>
      <c r="J569" s="8"/>
      <c r="K569" s="47">
        <f>K568+Table234535612[[#This Row],[AMOUNT]]-Table234535612[[#This Row],[AMOUNT2]]-Table234535612[[#This Row],[AMOUNT3]]</f>
        <v>15500</v>
      </c>
      <c r="L569" s="94"/>
    </row>
    <row r="570" spans="1:12" x14ac:dyDescent="0.35">
      <c r="A570" s="29"/>
      <c r="B570" s="7"/>
      <c r="C570" s="8"/>
      <c r="D570" s="7"/>
      <c r="E570" s="7"/>
      <c r="F570" s="9"/>
      <c r="G570" s="13"/>
      <c r="H570" s="13"/>
      <c r="I570" s="9"/>
      <c r="J570" s="8"/>
      <c r="K570" s="47">
        <f>K569+Table234535612[[#This Row],[AMOUNT]]-Table234535612[[#This Row],[AMOUNT2]]-Table234535612[[#This Row],[AMOUNT3]]</f>
        <v>15500</v>
      </c>
      <c r="L570" s="94"/>
    </row>
    <row r="571" spans="1:12" x14ac:dyDescent="0.35">
      <c r="A571" s="29"/>
      <c r="B571" s="7"/>
      <c r="C571" s="8"/>
      <c r="D571" s="7"/>
      <c r="E571" s="7"/>
      <c r="F571" s="9"/>
      <c r="G571" s="13"/>
      <c r="H571" s="13"/>
      <c r="I571" s="9"/>
      <c r="J571" s="8"/>
      <c r="K571" s="47">
        <f>K570+Table234535612[[#This Row],[AMOUNT]]-Table234535612[[#This Row],[AMOUNT2]]-Table234535612[[#This Row],[AMOUNT3]]</f>
        <v>15500</v>
      </c>
      <c r="L571" s="94"/>
    </row>
    <row r="572" spans="1:12" x14ac:dyDescent="0.35">
      <c r="A572" s="29"/>
      <c r="B572" s="7"/>
      <c r="C572" s="8"/>
      <c r="D572" s="7"/>
      <c r="E572" s="7"/>
      <c r="F572" s="9"/>
      <c r="G572" s="13"/>
      <c r="H572" s="13"/>
      <c r="I572" s="9"/>
      <c r="J572" s="8"/>
      <c r="K572" s="47">
        <f>K571+Table234535612[[#This Row],[AMOUNT]]-Table234535612[[#This Row],[AMOUNT2]]-Table234535612[[#This Row],[AMOUNT3]]</f>
        <v>15500</v>
      </c>
      <c r="L572" s="94"/>
    </row>
    <row r="573" spans="1:12" x14ac:dyDescent="0.35">
      <c r="A573" s="29"/>
      <c r="B573" s="7"/>
      <c r="C573" s="8"/>
      <c r="D573" s="7"/>
      <c r="E573" s="7"/>
      <c r="F573" s="9"/>
      <c r="G573" s="13"/>
      <c r="H573" s="13"/>
      <c r="I573" s="9"/>
      <c r="J573" s="8"/>
      <c r="K573" s="47">
        <f>K572+Table234535612[[#This Row],[AMOUNT]]-Table234535612[[#This Row],[AMOUNT2]]-Table234535612[[#This Row],[AMOUNT3]]</f>
        <v>15500</v>
      </c>
      <c r="L573" s="94"/>
    </row>
    <row r="574" spans="1:12" x14ac:dyDescent="0.35">
      <c r="A574" s="29"/>
      <c r="B574" s="7"/>
      <c r="C574" s="8"/>
      <c r="D574" s="7"/>
      <c r="E574" s="7"/>
      <c r="F574" s="9"/>
      <c r="G574" s="13"/>
      <c r="H574" s="13"/>
      <c r="I574" s="9"/>
      <c r="J574" s="8"/>
      <c r="K574" s="47">
        <f>K573+Table234535612[[#This Row],[AMOUNT]]-Table234535612[[#This Row],[AMOUNT2]]-Table234535612[[#This Row],[AMOUNT3]]</f>
        <v>15500</v>
      </c>
      <c r="L574" s="94"/>
    </row>
    <row r="575" spans="1:12" x14ac:dyDescent="0.35">
      <c r="A575" s="29"/>
      <c r="B575" s="7"/>
      <c r="C575" s="8"/>
      <c r="D575" s="7"/>
      <c r="E575" s="7"/>
      <c r="F575" s="9"/>
      <c r="G575" s="13"/>
      <c r="H575" s="13"/>
      <c r="I575" s="9"/>
      <c r="J575" s="8"/>
      <c r="K575" s="47">
        <f>K574+Table234535612[[#This Row],[AMOUNT]]-Table234535612[[#This Row],[AMOUNT2]]-Table234535612[[#This Row],[AMOUNT3]]</f>
        <v>15500</v>
      </c>
      <c r="L575" s="94"/>
    </row>
    <row r="576" spans="1:12" x14ac:dyDescent="0.35">
      <c r="A576" s="29"/>
      <c r="B576" s="7"/>
      <c r="C576" s="8"/>
      <c r="D576" s="7"/>
      <c r="E576" s="7"/>
      <c r="F576" s="9"/>
      <c r="G576" s="13"/>
      <c r="H576" s="13"/>
      <c r="I576" s="9"/>
      <c r="J576" s="8"/>
      <c r="K576" s="47">
        <f>K575+Table234535612[[#This Row],[AMOUNT]]-Table234535612[[#This Row],[AMOUNT2]]-Table234535612[[#This Row],[AMOUNT3]]</f>
        <v>15500</v>
      </c>
      <c r="L576" s="94"/>
    </row>
    <row r="577" spans="1:12" x14ac:dyDescent="0.35">
      <c r="A577" s="29"/>
      <c r="B577" s="7"/>
      <c r="C577" s="8"/>
      <c r="D577" s="7"/>
      <c r="E577" s="7"/>
      <c r="F577" s="9"/>
      <c r="G577" s="13"/>
      <c r="H577" s="13"/>
      <c r="I577" s="9"/>
      <c r="J577" s="8"/>
      <c r="K577" s="47">
        <f>K576+Table234535612[[#This Row],[AMOUNT]]-Table234535612[[#This Row],[AMOUNT2]]-Table234535612[[#This Row],[AMOUNT3]]</f>
        <v>15500</v>
      </c>
      <c r="L577" s="94"/>
    </row>
    <row r="578" spans="1:12" x14ac:dyDescent="0.35">
      <c r="A578" s="29"/>
      <c r="B578" s="7"/>
      <c r="C578" s="8"/>
      <c r="D578" s="7"/>
      <c r="E578" s="7"/>
      <c r="F578" s="9"/>
      <c r="G578" s="13"/>
      <c r="H578" s="13"/>
      <c r="I578" s="9"/>
      <c r="J578" s="8"/>
      <c r="K578" s="47">
        <f>K577+Table234535612[[#This Row],[AMOUNT]]-Table234535612[[#This Row],[AMOUNT2]]-Table234535612[[#This Row],[AMOUNT3]]</f>
        <v>15500</v>
      </c>
      <c r="L578" s="94"/>
    </row>
    <row r="579" spans="1:12" x14ac:dyDescent="0.35">
      <c r="A579" s="29"/>
      <c r="B579" s="7"/>
      <c r="C579" s="8"/>
      <c r="D579" s="7"/>
      <c r="E579" s="7"/>
      <c r="F579" s="9"/>
      <c r="G579" s="13"/>
      <c r="H579" s="13"/>
      <c r="I579" s="9"/>
      <c r="J579" s="8"/>
      <c r="K579" s="47">
        <f>K578+Table234535612[[#This Row],[AMOUNT]]-Table234535612[[#This Row],[AMOUNT2]]-Table234535612[[#This Row],[AMOUNT3]]</f>
        <v>15500</v>
      </c>
      <c r="L579" s="94"/>
    </row>
    <row r="580" spans="1:12" x14ac:dyDescent="0.35">
      <c r="A580" s="29"/>
      <c r="B580" s="7"/>
      <c r="C580" s="8"/>
      <c r="D580" s="7"/>
      <c r="E580" s="7"/>
      <c r="F580" s="9"/>
      <c r="G580" s="13"/>
      <c r="H580" s="13"/>
      <c r="I580" s="9"/>
      <c r="J580" s="8"/>
      <c r="K580" s="47">
        <f>K579+Table234535612[[#This Row],[AMOUNT]]-Table234535612[[#This Row],[AMOUNT2]]-Table234535612[[#This Row],[AMOUNT3]]</f>
        <v>15500</v>
      </c>
      <c r="L580" s="94"/>
    </row>
    <row r="581" spans="1:12" x14ac:dyDescent="0.35">
      <c r="A581" s="29"/>
      <c r="B581" s="7"/>
      <c r="C581" s="8"/>
      <c r="D581" s="7"/>
      <c r="E581" s="7"/>
      <c r="F581" s="9"/>
      <c r="G581" s="13"/>
      <c r="H581" s="13"/>
      <c r="I581" s="9"/>
      <c r="J581" s="8"/>
      <c r="K581" s="47">
        <f>K580+Table234535612[[#This Row],[AMOUNT]]-Table234535612[[#This Row],[AMOUNT2]]-Table234535612[[#This Row],[AMOUNT3]]</f>
        <v>15500</v>
      </c>
      <c r="L581" s="94"/>
    </row>
    <row r="582" spans="1:12" x14ac:dyDescent="0.35">
      <c r="A582" s="29"/>
      <c r="B582" s="7"/>
      <c r="C582" s="8"/>
      <c r="D582" s="7"/>
      <c r="E582" s="7"/>
      <c r="F582" s="9"/>
      <c r="G582" s="13"/>
      <c r="H582" s="13"/>
      <c r="I582" s="9"/>
      <c r="J582" s="8"/>
      <c r="K582" s="47">
        <f>K581+Table234535612[[#This Row],[AMOUNT]]-Table234535612[[#This Row],[AMOUNT2]]-Table234535612[[#This Row],[AMOUNT3]]</f>
        <v>15500</v>
      </c>
      <c r="L582" s="94"/>
    </row>
    <row r="583" spans="1:12" x14ac:dyDescent="0.35">
      <c r="A583" s="29"/>
      <c r="B583" s="7"/>
      <c r="C583" s="8"/>
      <c r="D583" s="7"/>
      <c r="E583" s="7"/>
      <c r="F583" s="9"/>
      <c r="G583" s="13"/>
      <c r="H583" s="13"/>
      <c r="I583" s="9"/>
      <c r="J583" s="8"/>
      <c r="K583" s="47">
        <f>K582+Table234535612[[#This Row],[AMOUNT]]-Table234535612[[#This Row],[AMOUNT2]]-Table234535612[[#This Row],[AMOUNT3]]</f>
        <v>15500</v>
      </c>
      <c r="L583" s="94"/>
    </row>
    <row r="584" spans="1:12" x14ac:dyDescent="0.35">
      <c r="A584" s="29"/>
      <c r="B584" s="7"/>
      <c r="C584" s="8"/>
      <c r="D584" s="7"/>
      <c r="E584" s="7"/>
      <c r="F584" s="9"/>
      <c r="G584" s="13"/>
      <c r="H584" s="13"/>
      <c r="I584" s="9"/>
      <c r="J584" s="8"/>
      <c r="K584" s="47">
        <f>K583+Table234535612[[#This Row],[AMOUNT]]-Table234535612[[#This Row],[AMOUNT2]]-Table234535612[[#This Row],[AMOUNT3]]</f>
        <v>15500</v>
      </c>
      <c r="L584" s="94"/>
    </row>
    <row r="585" spans="1:12" x14ac:dyDescent="0.35">
      <c r="A585" s="29"/>
      <c r="B585" s="7"/>
      <c r="C585" s="8"/>
      <c r="D585" s="7"/>
      <c r="E585" s="7"/>
      <c r="F585" s="9"/>
      <c r="G585" s="13"/>
      <c r="H585" s="13"/>
      <c r="I585" s="9"/>
      <c r="J585" s="8"/>
      <c r="K585" s="47">
        <f>K584+Table234535612[[#This Row],[AMOUNT]]-Table234535612[[#This Row],[AMOUNT2]]-Table234535612[[#This Row],[AMOUNT3]]</f>
        <v>15500</v>
      </c>
      <c r="L585" s="94"/>
    </row>
    <row r="586" spans="1:12" x14ac:dyDescent="0.35">
      <c r="A586" s="29"/>
      <c r="B586" s="7"/>
      <c r="C586" s="8"/>
      <c r="D586" s="7"/>
      <c r="E586" s="7"/>
      <c r="F586" s="9"/>
      <c r="G586" s="13"/>
      <c r="H586" s="13"/>
      <c r="I586" s="9"/>
      <c r="J586" s="8"/>
      <c r="K586" s="47">
        <f>K585+Table234535612[[#This Row],[AMOUNT]]-Table234535612[[#This Row],[AMOUNT2]]-Table234535612[[#This Row],[AMOUNT3]]</f>
        <v>15500</v>
      </c>
      <c r="L586" s="94"/>
    </row>
    <row r="587" spans="1:12" x14ac:dyDescent="0.35">
      <c r="A587" s="29"/>
      <c r="B587" s="7"/>
      <c r="C587" s="8"/>
      <c r="D587" s="7"/>
      <c r="E587" s="7"/>
      <c r="F587" s="9"/>
      <c r="G587" s="13"/>
      <c r="H587" s="13"/>
      <c r="I587" s="9"/>
      <c r="J587" s="8"/>
      <c r="K587" s="47">
        <f>K586+Table234535612[[#This Row],[AMOUNT]]-Table234535612[[#This Row],[AMOUNT2]]-Table234535612[[#This Row],[AMOUNT3]]</f>
        <v>15500</v>
      </c>
      <c r="L587" s="94"/>
    </row>
    <row r="588" spans="1:12" x14ac:dyDescent="0.35">
      <c r="A588" s="29"/>
      <c r="B588" s="7"/>
      <c r="C588" s="8"/>
      <c r="D588" s="7"/>
      <c r="E588" s="7"/>
      <c r="F588" s="9"/>
      <c r="G588" s="13"/>
      <c r="H588" s="13"/>
      <c r="I588" s="9"/>
      <c r="J588" s="8"/>
      <c r="K588" s="47">
        <f>K587+Table234535612[[#This Row],[AMOUNT]]-Table234535612[[#This Row],[AMOUNT2]]-Table234535612[[#This Row],[AMOUNT3]]</f>
        <v>15500</v>
      </c>
      <c r="L588" s="94"/>
    </row>
    <row r="589" spans="1:12" x14ac:dyDescent="0.35">
      <c r="A589" s="29"/>
      <c r="B589" s="7"/>
      <c r="C589" s="8"/>
      <c r="D589" s="7"/>
      <c r="E589" s="7"/>
      <c r="F589" s="9"/>
      <c r="G589" s="13"/>
      <c r="H589" s="13"/>
      <c r="I589" s="9"/>
      <c r="J589" s="8"/>
      <c r="K589" s="47">
        <f>K588+Table234535612[[#This Row],[AMOUNT]]-Table234535612[[#This Row],[AMOUNT2]]-Table234535612[[#This Row],[AMOUNT3]]</f>
        <v>15500</v>
      </c>
      <c r="L589" s="94"/>
    </row>
    <row r="590" spans="1:12" x14ac:dyDescent="0.35">
      <c r="A590" s="29"/>
      <c r="B590" s="7"/>
      <c r="C590" s="8"/>
      <c r="D590" s="7"/>
      <c r="E590" s="7"/>
      <c r="F590" s="9"/>
      <c r="G590" s="13"/>
      <c r="H590" s="13"/>
      <c r="I590" s="9"/>
      <c r="J590" s="8"/>
      <c r="K590" s="47">
        <f>K589+Table234535612[[#This Row],[AMOUNT]]-Table234535612[[#This Row],[AMOUNT2]]-Table234535612[[#This Row],[AMOUNT3]]</f>
        <v>15500</v>
      </c>
      <c r="L590" s="94"/>
    </row>
    <row r="591" spans="1:12" x14ac:dyDescent="0.35">
      <c r="A591" s="29"/>
      <c r="B591" s="7"/>
      <c r="C591" s="8"/>
      <c r="D591" s="7"/>
      <c r="E591" s="7"/>
      <c r="F591" s="9"/>
      <c r="G591" s="13"/>
      <c r="H591" s="13"/>
      <c r="I591" s="9"/>
      <c r="J591" s="8"/>
      <c r="K591" s="47">
        <f>K590+Table234535612[[#This Row],[AMOUNT]]-Table234535612[[#This Row],[AMOUNT2]]-Table234535612[[#This Row],[AMOUNT3]]</f>
        <v>15500</v>
      </c>
      <c r="L591" s="94"/>
    </row>
    <row r="592" spans="1:12" x14ac:dyDescent="0.35">
      <c r="A592" s="29"/>
      <c r="B592" s="7"/>
      <c r="C592" s="8"/>
      <c r="D592" s="7"/>
      <c r="E592" s="7"/>
      <c r="F592" s="9"/>
      <c r="G592" s="13"/>
      <c r="H592" s="13"/>
      <c r="I592" s="9"/>
      <c r="J592" s="8"/>
      <c r="K592" s="47">
        <f>K591+Table234535612[[#This Row],[AMOUNT]]-Table234535612[[#This Row],[AMOUNT2]]-Table234535612[[#This Row],[AMOUNT3]]</f>
        <v>15500</v>
      </c>
      <c r="L592" s="94"/>
    </row>
    <row r="593" spans="1:12" x14ac:dyDescent="0.35">
      <c r="A593" s="29"/>
      <c r="B593" s="7"/>
      <c r="C593" s="8"/>
      <c r="D593" s="7"/>
      <c r="E593" s="7"/>
      <c r="F593" s="9"/>
      <c r="G593" s="13"/>
      <c r="H593" s="13"/>
      <c r="I593" s="9"/>
      <c r="J593" s="8"/>
      <c r="K593" s="47">
        <f>K592+Table234535612[[#This Row],[AMOUNT]]-Table234535612[[#This Row],[AMOUNT2]]-Table234535612[[#This Row],[AMOUNT3]]</f>
        <v>15500</v>
      </c>
      <c r="L593" s="94"/>
    </row>
    <row r="594" spans="1:12" x14ac:dyDescent="0.35">
      <c r="A594" s="29"/>
      <c r="B594" s="7"/>
      <c r="C594" s="8"/>
      <c r="D594" s="7"/>
      <c r="E594" s="7"/>
      <c r="F594" s="9"/>
      <c r="G594" s="13"/>
      <c r="H594" s="13"/>
      <c r="I594" s="9"/>
      <c r="J594" s="8"/>
      <c r="K594" s="47">
        <f>K593+Table234535612[[#This Row],[AMOUNT]]-Table234535612[[#This Row],[AMOUNT2]]-Table234535612[[#This Row],[AMOUNT3]]</f>
        <v>15500</v>
      </c>
      <c r="L594" s="94"/>
    </row>
    <row r="595" spans="1:12" x14ac:dyDescent="0.35">
      <c r="A595" s="29"/>
      <c r="B595" s="7"/>
      <c r="C595" s="8"/>
      <c r="D595" s="7"/>
      <c r="E595" s="7"/>
      <c r="F595" s="9"/>
      <c r="G595" s="13"/>
      <c r="H595" s="13"/>
      <c r="I595" s="9"/>
      <c r="J595" s="8"/>
      <c r="K595" s="47">
        <f>K594+Table234535612[[#This Row],[AMOUNT]]-Table234535612[[#This Row],[AMOUNT2]]-Table234535612[[#This Row],[AMOUNT3]]</f>
        <v>15500</v>
      </c>
      <c r="L595" s="94"/>
    </row>
    <row r="596" spans="1:12" x14ac:dyDescent="0.35">
      <c r="A596" s="29"/>
      <c r="B596" s="7"/>
      <c r="C596" s="8"/>
      <c r="D596" s="7"/>
      <c r="E596" s="7"/>
      <c r="F596" s="9"/>
      <c r="G596" s="13"/>
      <c r="H596" s="13"/>
      <c r="I596" s="9"/>
      <c r="J596" s="8"/>
      <c r="K596" s="47">
        <f>K595+Table234535612[[#This Row],[AMOUNT]]-Table234535612[[#This Row],[AMOUNT2]]-Table234535612[[#This Row],[AMOUNT3]]</f>
        <v>15500</v>
      </c>
      <c r="L596" s="94"/>
    </row>
    <row r="597" spans="1:12" x14ac:dyDescent="0.35">
      <c r="A597" s="29"/>
      <c r="B597" s="7"/>
      <c r="C597" s="8"/>
      <c r="D597" s="7"/>
      <c r="E597" s="7"/>
      <c r="F597" s="9"/>
      <c r="G597" s="13"/>
      <c r="H597" s="13"/>
      <c r="I597" s="9"/>
      <c r="J597" s="8"/>
      <c r="K597" s="47">
        <f>K596+Table234535612[[#This Row],[AMOUNT]]-Table234535612[[#This Row],[AMOUNT2]]-Table234535612[[#This Row],[AMOUNT3]]</f>
        <v>15500</v>
      </c>
      <c r="L597" s="94"/>
    </row>
    <row r="598" spans="1:12" x14ac:dyDescent="0.35">
      <c r="A598" s="29"/>
      <c r="B598" s="7"/>
      <c r="C598" s="8"/>
      <c r="D598" s="7"/>
      <c r="E598" s="7"/>
      <c r="F598" s="9"/>
      <c r="G598" s="13"/>
      <c r="H598" s="13"/>
      <c r="I598" s="9"/>
      <c r="J598" s="8"/>
      <c r="K598" s="47">
        <f>K597+Table234535612[[#This Row],[AMOUNT]]-Table234535612[[#This Row],[AMOUNT2]]-Table234535612[[#This Row],[AMOUNT3]]</f>
        <v>15500</v>
      </c>
      <c r="L598" s="94"/>
    </row>
    <row r="599" spans="1:12" x14ac:dyDescent="0.35">
      <c r="A599" s="29"/>
      <c r="B599" s="7"/>
      <c r="C599" s="8"/>
      <c r="D599" s="7"/>
      <c r="E599" s="7"/>
      <c r="F599" s="9"/>
      <c r="G599" s="13"/>
      <c r="H599" s="13"/>
      <c r="I599" s="9"/>
      <c r="J599" s="8"/>
      <c r="K599" s="47">
        <f>K598+Table234535612[[#This Row],[AMOUNT]]-Table234535612[[#This Row],[AMOUNT2]]-Table234535612[[#This Row],[AMOUNT3]]</f>
        <v>15500</v>
      </c>
      <c r="L599" s="94"/>
    </row>
    <row r="600" spans="1:12" x14ac:dyDescent="0.35">
      <c r="A600" s="29"/>
      <c r="B600" s="7"/>
      <c r="C600" s="8"/>
      <c r="D600" s="7"/>
      <c r="E600" s="7"/>
      <c r="F600" s="9"/>
      <c r="G600" s="13"/>
      <c r="H600" s="13"/>
      <c r="I600" s="9"/>
      <c r="J600" s="8"/>
      <c r="K600" s="47">
        <f>K599+Table234535612[[#This Row],[AMOUNT]]-Table234535612[[#This Row],[AMOUNT2]]-Table234535612[[#This Row],[AMOUNT3]]</f>
        <v>15500</v>
      </c>
      <c r="L600" s="94"/>
    </row>
    <row r="601" spans="1:12" x14ac:dyDescent="0.35">
      <c r="A601" s="29"/>
      <c r="B601" s="7"/>
      <c r="C601" s="8"/>
      <c r="D601" s="7"/>
      <c r="E601" s="7"/>
      <c r="F601" s="9"/>
      <c r="G601" s="13"/>
      <c r="H601" s="13"/>
      <c r="I601" s="9"/>
      <c r="J601" s="8"/>
      <c r="K601" s="47">
        <f>K600+Table234535612[[#This Row],[AMOUNT]]-Table234535612[[#This Row],[AMOUNT2]]-Table234535612[[#This Row],[AMOUNT3]]</f>
        <v>15500</v>
      </c>
      <c r="L601" s="94"/>
    </row>
    <row r="602" spans="1:12" x14ac:dyDescent="0.35">
      <c r="A602" s="29"/>
      <c r="B602" s="7"/>
      <c r="C602" s="8"/>
      <c r="D602" s="7"/>
      <c r="E602" s="7"/>
      <c r="F602" s="9"/>
      <c r="G602" s="13"/>
      <c r="H602" s="13"/>
      <c r="I602" s="9"/>
      <c r="J602" s="8"/>
      <c r="K602" s="47">
        <f>K601+Table234535612[[#This Row],[AMOUNT]]-Table234535612[[#This Row],[AMOUNT2]]-Table234535612[[#This Row],[AMOUNT3]]</f>
        <v>15500</v>
      </c>
      <c r="L602" s="94"/>
    </row>
    <row r="603" spans="1:12" x14ac:dyDescent="0.35">
      <c r="A603" s="29"/>
      <c r="B603" s="7"/>
      <c r="C603" s="8"/>
      <c r="D603" s="7"/>
      <c r="E603" s="7"/>
      <c r="F603" s="9"/>
      <c r="G603" s="13"/>
      <c r="H603" s="13"/>
      <c r="I603" s="9"/>
      <c r="J603" s="8"/>
      <c r="K603" s="47">
        <f>K602+Table234535612[[#This Row],[AMOUNT]]-Table234535612[[#This Row],[AMOUNT2]]-Table234535612[[#This Row],[AMOUNT3]]</f>
        <v>15500</v>
      </c>
      <c r="L603" s="94"/>
    </row>
    <row r="604" spans="1:12" x14ac:dyDescent="0.35">
      <c r="A604" s="29"/>
      <c r="B604" s="7"/>
      <c r="C604" s="8"/>
      <c r="D604" s="7"/>
      <c r="E604" s="7"/>
      <c r="F604" s="9"/>
      <c r="G604" s="13"/>
      <c r="H604" s="13"/>
      <c r="I604" s="9"/>
      <c r="J604" s="8"/>
      <c r="K604" s="47">
        <f>K603+Table234535612[[#This Row],[AMOUNT]]-Table234535612[[#This Row],[AMOUNT2]]-Table234535612[[#This Row],[AMOUNT3]]</f>
        <v>15500</v>
      </c>
      <c r="L604" s="94"/>
    </row>
    <row r="605" spans="1:12" x14ac:dyDescent="0.35">
      <c r="A605" s="29"/>
      <c r="B605" s="7"/>
      <c r="C605" s="8"/>
      <c r="D605" s="7"/>
      <c r="E605" s="7"/>
      <c r="F605" s="9"/>
      <c r="G605" s="13"/>
      <c r="H605" s="13"/>
      <c r="I605" s="9"/>
      <c r="J605" s="8"/>
      <c r="K605" s="47">
        <f>K604+Table234535612[[#This Row],[AMOUNT]]-Table234535612[[#This Row],[AMOUNT2]]-Table234535612[[#This Row],[AMOUNT3]]</f>
        <v>15500</v>
      </c>
      <c r="L605" s="94"/>
    </row>
    <row r="606" spans="1:12" x14ac:dyDescent="0.35">
      <c r="A606" s="29"/>
      <c r="B606" s="7"/>
      <c r="C606" s="8"/>
      <c r="D606" s="7"/>
      <c r="E606" s="7"/>
      <c r="F606" s="9"/>
      <c r="G606" s="13"/>
      <c r="H606" s="13"/>
      <c r="I606" s="9"/>
      <c r="J606" s="8"/>
      <c r="K606" s="47">
        <f>K605+Table234535612[[#This Row],[AMOUNT]]-Table234535612[[#This Row],[AMOUNT2]]-Table234535612[[#This Row],[AMOUNT3]]</f>
        <v>15500</v>
      </c>
      <c r="L606" s="94"/>
    </row>
    <row r="607" spans="1:12" x14ac:dyDescent="0.35">
      <c r="A607" s="29"/>
      <c r="B607" s="7"/>
      <c r="C607" s="8"/>
      <c r="D607" s="7"/>
      <c r="E607" s="7"/>
      <c r="F607" s="9"/>
      <c r="G607" s="13"/>
      <c r="H607" s="13"/>
      <c r="I607" s="9"/>
      <c r="J607" s="8"/>
      <c r="K607" s="47">
        <f>K606+Table234535612[[#This Row],[AMOUNT]]-Table234535612[[#This Row],[AMOUNT2]]-Table234535612[[#This Row],[AMOUNT3]]</f>
        <v>15500</v>
      </c>
      <c r="L607" s="94"/>
    </row>
    <row r="608" spans="1:12" x14ac:dyDescent="0.35">
      <c r="A608" s="29"/>
      <c r="B608" s="7"/>
      <c r="C608" s="8"/>
      <c r="D608" s="7"/>
      <c r="E608" s="7"/>
      <c r="F608" s="9"/>
      <c r="G608" s="13"/>
      <c r="H608" s="13"/>
      <c r="I608" s="9"/>
      <c r="J608" s="8"/>
      <c r="K608" s="47">
        <f>K607+Table234535612[[#This Row],[AMOUNT]]-Table234535612[[#This Row],[AMOUNT2]]-Table234535612[[#This Row],[AMOUNT3]]</f>
        <v>15500</v>
      </c>
      <c r="L608" s="94"/>
    </row>
    <row r="609" spans="1:12" x14ac:dyDescent="0.35">
      <c r="A609" s="29"/>
      <c r="B609" s="7"/>
      <c r="C609" s="8"/>
      <c r="D609" s="7"/>
      <c r="E609" s="7"/>
      <c r="F609" s="9"/>
      <c r="G609" s="13"/>
      <c r="H609" s="13"/>
      <c r="I609" s="9"/>
      <c r="J609" s="8"/>
      <c r="K609" s="47">
        <f>K608+Table234535612[[#This Row],[AMOUNT]]-Table234535612[[#This Row],[AMOUNT2]]-Table234535612[[#This Row],[AMOUNT3]]</f>
        <v>15500</v>
      </c>
      <c r="L609" s="94"/>
    </row>
    <row r="610" spans="1:12" x14ac:dyDescent="0.35">
      <c r="A610" s="29"/>
      <c r="B610" s="7"/>
      <c r="C610" s="8"/>
      <c r="D610" s="7"/>
      <c r="E610" s="7"/>
      <c r="F610" s="9"/>
      <c r="G610" s="13"/>
      <c r="H610" s="13"/>
      <c r="I610" s="9"/>
      <c r="J610" s="8"/>
      <c r="K610" s="47">
        <f>K609+Table234535612[[#This Row],[AMOUNT]]-Table234535612[[#This Row],[AMOUNT2]]-Table234535612[[#This Row],[AMOUNT3]]</f>
        <v>15500</v>
      </c>
      <c r="L610" s="94"/>
    </row>
    <row r="611" spans="1:12" x14ac:dyDescent="0.35">
      <c r="A611" s="29"/>
      <c r="B611" s="7"/>
      <c r="C611" s="8"/>
      <c r="D611" s="7"/>
      <c r="E611" s="7"/>
      <c r="F611" s="9"/>
      <c r="G611" s="13"/>
      <c r="H611" s="13"/>
      <c r="I611" s="9"/>
      <c r="J611" s="8"/>
      <c r="K611" s="47">
        <f>K610+Table234535612[[#This Row],[AMOUNT]]-Table234535612[[#This Row],[AMOUNT2]]-Table234535612[[#This Row],[AMOUNT3]]</f>
        <v>15500</v>
      </c>
      <c r="L611" s="94"/>
    </row>
    <row r="612" spans="1:12" x14ac:dyDescent="0.35">
      <c r="A612" s="29"/>
      <c r="B612" s="7"/>
      <c r="C612" s="8"/>
      <c r="D612" s="7"/>
      <c r="E612" s="7"/>
      <c r="F612" s="9"/>
      <c r="G612" s="13"/>
      <c r="H612" s="13"/>
      <c r="I612" s="9"/>
      <c r="J612" s="8"/>
      <c r="K612" s="47">
        <f>K611+Table234535612[[#This Row],[AMOUNT]]-Table234535612[[#This Row],[AMOUNT2]]-Table234535612[[#This Row],[AMOUNT3]]</f>
        <v>15500</v>
      </c>
      <c r="L612" s="94"/>
    </row>
    <row r="613" spans="1:12" x14ac:dyDescent="0.35">
      <c r="A613" s="29"/>
      <c r="B613" s="7"/>
      <c r="C613" s="8"/>
      <c r="D613" s="7"/>
      <c r="E613" s="7"/>
      <c r="F613" s="9"/>
      <c r="G613" s="13"/>
      <c r="H613" s="13"/>
      <c r="I613" s="9"/>
      <c r="J613" s="8"/>
      <c r="K613" s="47">
        <f>K612+Table234535612[[#This Row],[AMOUNT]]-Table234535612[[#This Row],[AMOUNT2]]-Table234535612[[#This Row],[AMOUNT3]]</f>
        <v>15500</v>
      </c>
      <c r="L613" s="94"/>
    </row>
    <row r="614" spans="1:12" x14ac:dyDescent="0.35">
      <c r="A614" s="29"/>
      <c r="B614" s="7"/>
      <c r="C614" s="8"/>
      <c r="D614" s="7"/>
      <c r="E614" s="7"/>
      <c r="F614" s="9"/>
      <c r="G614" s="13"/>
      <c r="H614" s="13"/>
      <c r="I614" s="9"/>
      <c r="J614" s="8"/>
      <c r="K614" s="47">
        <f>K613+Table234535612[[#This Row],[AMOUNT]]-Table234535612[[#This Row],[AMOUNT2]]-Table234535612[[#This Row],[AMOUNT3]]</f>
        <v>15500</v>
      </c>
      <c r="L614" s="94"/>
    </row>
    <row r="615" spans="1:12" x14ac:dyDescent="0.35">
      <c r="A615" s="29"/>
      <c r="B615" s="7"/>
      <c r="C615" s="8"/>
      <c r="D615" s="7"/>
      <c r="E615" s="7"/>
      <c r="F615" s="9"/>
      <c r="G615" s="13"/>
      <c r="H615" s="13"/>
      <c r="I615" s="9"/>
      <c r="J615" s="8"/>
      <c r="K615" s="47">
        <f>K614+Table234535612[[#This Row],[AMOUNT]]-Table234535612[[#This Row],[AMOUNT2]]-Table234535612[[#This Row],[AMOUNT3]]</f>
        <v>15500</v>
      </c>
      <c r="L615" s="94"/>
    </row>
    <row r="616" spans="1:12" x14ac:dyDescent="0.35">
      <c r="A616" s="29"/>
      <c r="B616" s="7"/>
      <c r="C616" s="8"/>
      <c r="D616" s="7"/>
      <c r="E616" s="7"/>
      <c r="F616" s="9"/>
      <c r="G616" s="13"/>
      <c r="H616" s="13"/>
      <c r="I616" s="9"/>
      <c r="J616" s="8"/>
      <c r="K616" s="47">
        <f>K615+Table234535612[[#This Row],[AMOUNT]]-Table234535612[[#This Row],[AMOUNT2]]-Table234535612[[#This Row],[AMOUNT3]]</f>
        <v>15500</v>
      </c>
      <c r="L616" s="94"/>
    </row>
    <row r="617" spans="1:12" x14ac:dyDescent="0.35">
      <c r="A617" s="29"/>
      <c r="B617" s="7"/>
      <c r="C617" s="8"/>
      <c r="D617" s="7"/>
      <c r="E617" s="7"/>
      <c r="F617" s="9"/>
      <c r="G617" s="13"/>
      <c r="H617" s="13"/>
      <c r="I617" s="9"/>
      <c r="J617" s="8"/>
      <c r="K617" s="47">
        <f>K616+Table234535612[[#This Row],[AMOUNT]]-Table234535612[[#This Row],[AMOUNT2]]-Table234535612[[#This Row],[AMOUNT3]]</f>
        <v>15500</v>
      </c>
      <c r="L617" s="94"/>
    </row>
    <row r="618" spans="1:12" x14ac:dyDescent="0.35">
      <c r="A618" s="29"/>
      <c r="B618" s="7"/>
      <c r="C618" s="8"/>
      <c r="D618" s="7"/>
      <c r="E618" s="7"/>
      <c r="F618" s="9"/>
      <c r="G618" s="13"/>
      <c r="H618" s="13"/>
      <c r="I618" s="9"/>
      <c r="J618" s="8"/>
      <c r="K618" s="47">
        <f>K617+Table234535612[[#This Row],[AMOUNT]]-Table234535612[[#This Row],[AMOUNT2]]-Table234535612[[#This Row],[AMOUNT3]]</f>
        <v>15500</v>
      </c>
      <c r="L618" s="94"/>
    </row>
    <row r="619" spans="1:12" x14ac:dyDescent="0.35">
      <c r="A619" s="29"/>
      <c r="B619" s="7"/>
      <c r="C619" s="8"/>
      <c r="D619" s="7"/>
      <c r="E619" s="7"/>
      <c r="F619" s="9"/>
      <c r="G619" s="13"/>
      <c r="H619" s="13"/>
      <c r="I619" s="9"/>
      <c r="J619" s="8"/>
      <c r="K619" s="47">
        <f>K618+Table234535612[[#This Row],[AMOUNT]]-Table234535612[[#This Row],[AMOUNT2]]-Table234535612[[#This Row],[AMOUNT3]]</f>
        <v>15500</v>
      </c>
      <c r="L619" s="94"/>
    </row>
    <row r="620" spans="1:12" x14ac:dyDescent="0.35">
      <c r="A620" s="29"/>
      <c r="B620" s="7"/>
      <c r="C620" s="8"/>
      <c r="D620" s="7"/>
      <c r="E620" s="7"/>
      <c r="F620" s="9"/>
      <c r="G620" s="13"/>
      <c r="H620" s="13"/>
      <c r="I620" s="9"/>
      <c r="J620" s="8"/>
      <c r="K620" s="47">
        <f>K619+Table234535612[[#This Row],[AMOUNT]]-Table234535612[[#This Row],[AMOUNT2]]-Table234535612[[#This Row],[AMOUNT3]]</f>
        <v>15500</v>
      </c>
      <c r="L620" s="94"/>
    </row>
    <row r="621" spans="1:12" x14ac:dyDescent="0.35">
      <c r="A621" s="29"/>
      <c r="B621" s="7"/>
      <c r="C621" s="8"/>
      <c r="D621" s="7"/>
      <c r="E621" s="7"/>
      <c r="F621" s="9"/>
      <c r="G621" s="13"/>
      <c r="H621" s="13"/>
      <c r="I621" s="9"/>
      <c r="J621" s="8"/>
      <c r="K621" s="47">
        <f>K620+Table234535612[[#This Row],[AMOUNT]]-Table234535612[[#This Row],[AMOUNT2]]-Table234535612[[#This Row],[AMOUNT3]]</f>
        <v>15500</v>
      </c>
      <c r="L621" s="94"/>
    </row>
    <row r="622" spans="1:12" x14ac:dyDescent="0.35">
      <c r="A622" s="29"/>
      <c r="B622" s="7"/>
      <c r="C622" s="8"/>
      <c r="D622" s="7"/>
      <c r="E622" s="7"/>
      <c r="F622" s="9"/>
      <c r="G622" s="13"/>
      <c r="H622" s="13"/>
      <c r="I622" s="9"/>
      <c r="J622" s="8"/>
      <c r="K622" s="47">
        <f>K621+Table234535612[[#This Row],[AMOUNT]]-Table234535612[[#This Row],[AMOUNT2]]-Table234535612[[#This Row],[AMOUNT3]]</f>
        <v>15500</v>
      </c>
      <c r="L622" s="94"/>
    </row>
    <row r="623" spans="1:12" x14ac:dyDescent="0.35">
      <c r="A623" s="29"/>
      <c r="B623" s="7"/>
      <c r="C623" s="8"/>
      <c r="D623" s="7"/>
      <c r="E623" s="7"/>
      <c r="F623" s="9"/>
      <c r="G623" s="13"/>
      <c r="H623" s="13"/>
      <c r="I623" s="9"/>
      <c r="J623" s="8"/>
      <c r="K623" s="47">
        <f>K622+Table234535612[[#This Row],[AMOUNT]]-Table234535612[[#This Row],[AMOUNT2]]-Table234535612[[#This Row],[AMOUNT3]]</f>
        <v>15500</v>
      </c>
      <c r="L623" s="94"/>
    </row>
    <row r="624" spans="1:12" x14ac:dyDescent="0.35">
      <c r="A624" s="29"/>
      <c r="B624" s="7"/>
      <c r="C624" s="8"/>
      <c r="D624" s="7"/>
      <c r="E624" s="7"/>
      <c r="F624" s="9"/>
      <c r="G624" s="13"/>
      <c r="H624" s="13"/>
      <c r="I624" s="9"/>
      <c r="J624" s="8"/>
      <c r="K624" s="47">
        <f>K623+Table234535612[[#This Row],[AMOUNT]]-Table234535612[[#This Row],[AMOUNT2]]-Table234535612[[#This Row],[AMOUNT3]]</f>
        <v>15500</v>
      </c>
      <c r="L624" s="94"/>
    </row>
    <row r="625" spans="1:12" x14ac:dyDescent="0.35">
      <c r="A625" s="29"/>
      <c r="B625" s="7"/>
      <c r="C625" s="8"/>
      <c r="D625" s="7"/>
      <c r="E625" s="7"/>
      <c r="F625" s="9"/>
      <c r="G625" s="13"/>
      <c r="H625" s="13"/>
      <c r="I625" s="9"/>
      <c r="J625" s="8"/>
      <c r="K625" s="47">
        <f>K624+Table234535612[[#This Row],[AMOUNT]]-Table234535612[[#This Row],[AMOUNT2]]-Table234535612[[#This Row],[AMOUNT3]]</f>
        <v>15500</v>
      </c>
      <c r="L625" s="94"/>
    </row>
    <row r="626" spans="1:12" x14ac:dyDescent="0.35">
      <c r="A626" s="29"/>
      <c r="B626" s="7"/>
      <c r="C626" s="8"/>
      <c r="D626" s="7"/>
      <c r="E626" s="7"/>
      <c r="F626" s="9"/>
      <c r="G626" s="13"/>
      <c r="H626" s="13"/>
      <c r="I626" s="9"/>
      <c r="J626" s="8"/>
      <c r="K626" s="47">
        <f>K625+Table234535612[[#This Row],[AMOUNT]]-Table234535612[[#This Row],[AMOUNT2]]-Table234535612[[#This Row],[AMOUNT3]]</f>
        <v>15500</v>
      </c>
      <c r="L626" s="94"/>
    </row>
    <row r="627" spans="1:12" x14ac:dyDescent="0.35">
      <c r="A627" s="29"/>
      <c r="B627" s="7"/>
      <c r="C627" s="8"/>
      <c r="D627" s="7"/>
      <c r="E627" s="7"/>
      <c r="F627" s="9"/>
      <c r="G627" s="13"/>
      <c r="H627" s="13"/>
      <c r="I627" s="9"/>
      <c r="J627" s="8"/>
      <c r="K627" s="47">
        <f>K626+Table234535612[[#This Row],[AMOUNT]]-Table234535612[[#This Row],[AMOUNT2]]-Table234535612[[#This Row],[AMOUNT3]]</f>
        <v>15500</v>
      </c>
      <c r="L627" s="94"/>
    </row>
    <row r="628" spans="1:12" x14ac:dyDescent="0.35">
      <c r="A628" s="29"/>
      <c r="B628" s="7"/>
      <c r="C628" s="8"/>
      <c r="D628" s="7"/>
      <c r="E628" s="7"/>
      <c r="F628" s="9"/>
      <c r="G628" s="13"/>
      <c r="H628" s="13"/>
      <c r="I628" s="9"/>
      <c r="J628" s="8"/>
      <c r="K628" s="47">
        <f>K627+Table234535612[[#This Row],[AMOUNT]]-Table234535612[[#This Row],[AMOUNT2]]-Table234535612[[#This Row],[AMOUNT3]]</f>
        <v>15500</v>
      </c>
      <c r="L628" s="94"/>
    </row>
    <row r="629" spans="1:12" x14ac:dyDescent="0.35">
      <c r="A629" s="29"/>
      <c r="B629" s="7"/>
      <c r="C629" s="8"/>
      <c r="D629" s="7"/>
      <c r="E629" s="7"/>
      <c r="F629" s="9"/>
      <c r="G629" s="13"/>
      <c r="H629" s="13"/>
      <c r="I629" s="9"/>
      <c r="J629" s="8"/>
      <c r="K629" s="47">
        <f>K628+Table234535612[[#This Row],[AMOUNT]]-Table234535612[[#This Row],[AMOUNT2]]-Table234535612[[#This Row],[AMOUNT3]]</f>
        <v>15500</v>
      </c>
      <c r="L629" s="94"/>
    </row>
    <row r="630" spans="1:12" x14ac:dyDescent="0.35">
      <c r="A630" s="29"/>
      <c r="B630" s="7"/>
      <c r="C630" s="8"/>
      <c r="D630" s="7"/>
      <c r="E630" s="7"/>
      <c r="F630" s="9"/>
      <c r="G630" s="13"/>
      <c r="H630" s="13"/>
      <c r="I630" s="9"/>
      <c r="J630" s="8"/>
      <c r="K630" s="47">
        <f>K629+Table234535612[[#This Row],[AMOUNT]]-Table234535612[[#This Row],[AMOUNT2]]-Table234535612[[#This Row],[AMOUNT3]]</f>
        <v>15500</v>
      </c>
      <c r="L630" s="94"/>
    </row>
    <row r="631" spans="1:12" x14ac:dyDescent="0.35">
      <c r="A631" s="29"/>
      <c r="B631" s="7"/>
      <c r="C631" s="8"/>
      <c r="D631" s="7"/>
      <c r="E631" s="7"/>
      <c r="F631" s="9"/>
      <c r="G631" s="13"/>
      <c r="H631" s="13"/>
      <c r="I631" s="9"/>
      <c r="J631" s="8"/>
      <c r="K631" s="47">
        <f>K630+Table234535612[[#This Row],[AMOUNT]]-Table234535612[[#This Row],[AMOUNT2]]-Table234535612[[#This Row],[AMOUNT3]]</f>
        <v>15500</v>
      </c>
      <c r="L631" s="94"/>
    </row>
    <row r="632" spans="1:12" x14ac:dyDescent="0.35">
      <c r="A632" s="29"/>
      <c r="B632" s="7"/>
      <c r="C632" s="8"/>
      <c r="D632" s="7"/>
      <c r="E632" s="7"/>
      <c r="F632" s="9"/>
      <c r="G632" s="13"/>
      <c r="H632" s="13"/>
      <c r="I632" s="9"/>
      <c r="J632" s="8"/>
      <c r="K632" s="47">
        <f>K631+Table234535612[[#This Row],[AMOUNT]]-Table234535612[[#This Row],[AMOUNT2]]-Table234535612[[#This Row],[AMOUNT3]]</f>
        <v>15500</v>
      </c>
      <c r="L632" s="94"/>
    </row>
    <row r="633" spans="1:12" x14ac:dyDescent="0.35">
      <c r="A633" s="29"/>
      <c r="B633" s="7"/>
      <c r="C633" s="8"/>
      <c r="D633" s="7"/>
      <c r="E633" s="7"/>
      <c r="F633" s="9"/>
      <c r="G633" s="13"/>
      <c r="H633" s="13"/>
      <c r="I633" s="9"/>
      <c r="J633" s="8"/>
      <c r="K633" s="47">
        <f>K632+Table234535612[[#This Row],[AMOUNT]]-Table234535612[[#This Row],[AMOUNT2]]-Table234535612[[#This Row],[AMOUNT3]]</f>
        <v>15500</v>
      </c>
      <c r="L633" s="94"/>
    </row>
    <row r="634" spans="1:12" x14ac:dyDescent="0.35">
      <c r="A634" s="29"/>
      <c r="B634" s="7"/>
      <c r="C634" s="8"/>
      <c r="D634" s="7"/>
      <c r="E634" s="7"/>
      <c r="F634" s="9"/>
      <c r="G634" s="13"/>
      <c r="H634" s="13"/>
      <c r="I634" s="9"/>
      <c r="J634" s="8"/>
      <c r="K634" s="47">
        <f>K633+Table234535612[[#This Row],[AMOUNT]]-Table234535612[[#This Row],[AMOUNT2]]-Table234535612[[#This Row],[AMOUNT3]]</f>
        <v>15500</v>
      </c>
      <c r="L634" s="94"/>
    </row>
    <row r="635" spans="1:12" x14ac:dyDescent="0.35">
      <c r="A635" s="29"/>
      <c r="B635" s="7"/>
      <c r="C635" s="8"/>
      <c r="D635" s="7"/>
      <c r="E635" s="7"/>
      <c r="F635" s="9"/>
      <c r="G635" s="13"/>
      <c r="H635" s="13"/>
      <c r="I635" s="9"/>
      <c r="J635" s="8"/>
      <c r="K635" s="47">
        <f>K634+Table234535612[[#This Row],[AMOUNT]]-Table234535612[[#This Row],[AMOUNT2]]-Table234535612[[#This Row],[AMOUNT3]]</f>
        <v>15500</v>
      </c>
      <c r="L635" s="94"/>
    </row>
    <row r="636" spans="1:12" x14ac:dyDescent="0.35">
      <c r="A636" s="29"/>
      <c r="B636" s="7"/>
      <c r="C636" s="8"/>
      <c r="D636" s="7"/>
      <c r="E636" s="7"/>
      <c r="F636" s="9"/>
      <c r="G636" s="13"/>
      <c r="H636" s="13"/>
      <c r="I636" s="9"/>
      <c r="J636" s="8"/>
      <c r="K636" s="47">
        <f>K635+Table234535612[[#This Row],[AMOUNT]]-Table234535612[[#This Row],[AMOUNT2]]-Table234535612[[#This Row],[AMOUNT3]]</f>
        <v>15500</v>
      </c>
      <c r="L636" s="94"/>
    </row>
    <row r="637" spans="1:12" x14ac:dyDescent="0.35">
      <c r="A637" s="29"/>
      <c r="B637" s="7"/>
      <c r="C637" s="8"/>
      <c r="D637" s="7"/>
      <c r="E637" s="7"/>
      <c r="F637" s="9"/>
      <c r="G637" s="13"/>
      <c r="H637" s="13"/>
      <c r="I637" s="9"/>
      <c r="J637" s="8"/>
      <c r="K637" s="47">
        <f>K636+Table234535612[[#This Row],[AMOUNT]]-Table234535612[[#This Row],[AMOUNT2]]-Table234535612[[#This Row],[AMOUNT3]]</f>
        <v>15500</v>
      </c>
      <c r="L637" s="94"/>
    </row>
    <row r="638" spans="1:12" x14ac:dyDescent="0.35">
      <c r="A638" s="29"/>
      <c r="B638" s="7"/>
      <c r="C638" s="8"/>
      <c r="D638" s="7"/>
      <c r="E638" s="7"/>
      <c r="F638" s="9"/>
      <c r="G638" s="13"/>
      <c r="H638" s="13"/>
      <c r="I638" s="9"/>
      <c r="J638" s="8"/>
      <c r="K638" s="47">
        <f>K637+Table234535612[[#This Row],[AMOUNT]]-Table234535612[[#This Row],[AMOUNT2]]-Table234535612[[#This Row],[AMOUNT3]]</f>
        <v>15500</v>
      </c>
      <c r="L638" s="94"/>
    </row>
    <row r="639" spans="1:12" x14ac:dyDescent="0.35">
      <c r="A639" s="29"/>
      <c r="B639" s="7"/>
      <c r="C639" s="8"/>
      <c r="D639" s="7"/>
      <c r="E639" s="7"/>
      <c r="F639" s="9"/>
      <c r="G639" s="13"/>
      <c r="H639" s="13"/>
      <c r="I639" s="9"/>
      <c r="J639" s="8"/>
      <c r="K639" s="47">
        <f>K638+Table234535612[[#This Row],[AMOUNT]]-Table234535612[[#This Row],[AMOUNT2]]-Table234535612[[#This Row],[AMOUNT3]]</f>
        <v>15500</v>
      </c>
      <c r="L639" s="94"/>
    </row>
    <row r="640" spans="1:12" x14ac:dyDescent="0.35">
      <c r="A640" s="29"/>
      <c r="B640" s="7"/>
      <c r="C640" s="8"/>
      <c r="D640" s="7"/>
      <c r="E640" s="7"/>
      <c r="F640" s="9"/>
      <c r="G640" s="13"/>
      <c r="H640" s="13"/>
      <c r="I640" s="9"/>
      <c r="J640" s="8"/>
      <c r="K640" s="47">
        <f>K639+Table234535612[[#This Row],[AMOUNT]]-Table234535612[[#This Row],[AMOUNT2]]-Table234535612[[#This Row],[AMOUNT3]]</f>
        <v>15500</v>
      </c>
      <c r="L640" s="94"/>
    </row>
    <row r="641" spans="1:12" x14ac:dyDescent="0.35">
      <c r="A641" s="29"/>
      <c r="B641" s="7"/>
      <c r="C641" s="8"/>
      <c r="D641" s="7"/>
      <c r="E641" s="7"/>
      <c r="F641" s="9"/>
      <c r="G641" s="13"/>
      <c r="H641" s="13"/>
      <c r="I641" s="9"/>
      <c r="J641" s="8"/>
      <c r="K641" s="47">
        <f>K640+Table234535612[[#This Row],[AMOUNT]]-Table234535612[[#This Row],[AMOUNT2]]-Table234535612[[#This Row],[AMOUNT3]]</f>
        <v>15500</v>
      </c>
      <c r="L641" s="94"/>
    </row>
    <row r="642" spans="1:12" x14ac:dyDescent="0.35">
      <c r="A642" s="29"/>
      <c r="B642" s="7"/>
      <c r="C642" s="8"/>
      <c r="D642" s="7"/>
      <c r="E642" s="7"/>
      <c r="F642" s="9"/>
      <c r="G642" s="13"/>
      <c r="H642" s="13"/>
      <c r="I642" s="9"/>
      <c r="J642" s="8"/>
      <c r="K642" s="47">
        <f>K641+Table234535612[[#This Row],[AMOUNT]]-Table234535612[[#This Row],[AMOUNT2]]-Table234535612[[#This Row],[AMOUNT3]]</f>
        <v>15500</v>
      </c>
      <c r="L642" s="94"/>
    </row>
    <row r="643" spans="1:12" x14ac:dyDescent="0.35">
      <c r="A643" s="29"/>
      <c r="B643" s="7"/>
      <c r="C643" s="8"/>
      <c r="D643" s="7"/>
      <c r="E643" s="7"/>
      <c r="F643" s="9"/>
      <c r="G643" s="13"/>
      <c r="H643" s="13"/>
      <c r="I643" s="9"/>
      <c r="J643" s="8"/>
      <c r="K643" s="47">
        <f>K642+Table234535612[[#This Row],[AMOUNT]]-Table234535612[[#This Row],[AMOUNT2]]-Table234535612[[#This Row],[AMOUNT3]]</f>
        <v>15500</v>
      </c>
      <c r="L643" s="94"/>
    </row>
    <row r="644" spans="1:12" x14ac:dyDescent="0.35">
      <c r="A644" s="29"/>
      <c r="B644" s="7"/>
      <c r="C644" s="8"/>
      <c r="D644" s="7"/>
      <c r="E644" s="7"/>
      <c r="F644" s="9"/>
      <c r="G644" s="13"/>
      <c r="H644" s="13"/>
      <c r="I644" s="9"/>
      <c r="J644" s="8"/>
      <c r="K644" s="47">
        <f>K643+Table234535612[[#This Row],[AMOUNT]]-Table234535612[[#This Row],[AMOUNT2]]-Table234535612[[#This Row],[AMOUNT3]]</f>
        <v>15500</v>
      </c>
      <c r="L644" s="94"/>
    </row>
    <row r="645" spans="1:12" x14ac:dyDescent="0.35">
      <c r="A645" s="29"/>
      <c r="B645" s="7"/>
      <c r="C645" s="8"/>
      <c r="D645" s="7"/>
      <c r="E645" s="7"/>
      <c r="F645" s="9"/>
      <c r="G645" s="13"/>
      <c r="H645" s="13"/>
      <c r="I645" s="9"/>
      <c r="J645" s="8"/>
      <c r="K645" s="47">
        <f>K644+Table234535612[[#This Row],[AMOUNT]]-Table234535612[[#This Row],[AMOUNT2]]-Table234535612[[#This Row],[AMOUNT3]]</f>
        <v>15500</v>
      </c>
      <c r="L645" s="94"/>
    </row>
    <row r="646" spans="1:12" x14ac:dyDescent="0.35">
      <c r="A646" s="29"/>
      <c r="B646" s="7"/>
      <c r="C646" s="8"/>
      <c r="D646" s="7"/>
      <c r="E646" s="7"/>
      <c r="F646" s="9"/>
      <c r="G646" s="13"/>
      <c r="H646" s="13"/>
      <c r="I646" s="9"/>
      <c r="J646" s="8"/>
      <c r="K646" s="47">
        <f>K645+Table234535612[[#This Row],[AMOUNT]]-Table234535612[[#This Row],[AMOUNT2]]-Table234535612[[#This Row],[AMOUNT3]]</f>
        <v>15500</v>
      </c>
      <c r="L646" s="94"/>
    </row>
    <row r="647" spans="1:12" x14ac:dyDescent="0.35">
      <c r="A647" s="29"/>
      <c r="B647" s="7"/>
      <c r="C647" s="8"/>
      <c r="D647" s="7"/>
      <c r="E647" s="7"/>
      <c r="F647" s="9"/>
      <c r="G647" s="13"/>
      <c r="H647" s="13"/>
      <c r="I647" s="9"/>
      <c r="J647" s="8"/>
      <c r="K647" s="47">
        <f>K646+Table234535612[[#This Row],[AMOUNT]]-Table234535612[[#This Row],[AMOUNT2]]-Table234535612[[#This Row],[AMOUNT3]]</f>
        <v>15500</v>
      </c>
      <c r="L647" s="94"/>
    </row>
    <row r="648" spans="1:12" x14ac:dyDescent="0.35">
      <c r="A648" s="29"/>
      <c r="B648" s="7"/>
      <c r="C648" s="8"/>
      <c r="D648" s="7"/>
      <c r="E648" s="7"/>
      <c r="F648" s="9"/>
      <c r="G648" s="13"/>
      <c r="H648" s="13"/>
      <c r="I648" s="9"/>
      <c r="J648" s="8"/>
      <c r="K648" s="47">
        <f>K647+Table234535612[[#This Row],[AMOUNT]]-Table234535612[[#This Row],[AMOUNT2]]-Table234535612[[#This Row],[AMOUNT3]]</f>
        <v>15500</v>
      </c>
      <c r="L648" s="94"/>
    </row>
    <row r="649" spans="1:12" x14ac:dyDescent="0.35">
      <c r="A649" s="29"/>
      <c r="B649" s="7"/>
      <c r="C649" s="8"/>
      <c r="D649" s="7"/>
      <c r="E649" s="7"/>
      <c r="F649" s="9"/>
      <c r="G649" s="13"/>
      <c r="H649" s="13"/>
      <c r="I649" s="9"/>
      <c r="J649" s="8"/>
      <c r="K649" s="47">
        <f>K648+Table234535612[[#This Row],[AMOUNT]]-Table234535612[[#This Row],[AMOUNT2]]-Table234535612[[#This Row],[AMOUNT3]]</f>
        <v>15500</v>
      </c>
      <c r="L649" s="94"/>
    </row>
    <row r="650" spans="1:12" x14ac:dyDescent="0.35">
      <c r="A650" s="29"/>
      <c r="B650" s="7"/>
      <c r="C650" s="8"/>
      <c r="D650" s="7"/>
      <c r="E650" s="7"/>
      <c r="F650" s="9"/>
      <c r="G650" s="13"/>
      <c r="H650" s="13"/>
      <c r="I650" s="9"/>
      <c r="J650" s="8"/>
      <c r="K650" s="47">
        <f>K649+Table234535612[[#This Row],[AMOUNT]]-Table234535612[[#This Row],[AMOUNT2]]-Table234535612[[#This Row],[AMOUNT3]]</f>
        <v>15500</v>
      </c>
      <c r="L650" s="94"/>
    </row>
    <row r="651" spans="1:12" x14ac:dyDescent="0.35">
      <c r="A651" s="29"/>
      <c r="B651" s="7"/>
      <c r="C651" s="8"/>
      <c r="D651" s="7"/>
      <c r="E651" s="7"/>
      <c r="F651" s="9"/>
      <c r="G651" s="13"/>
      <c r="H651" s="13"/>
      <c r="I651" s="9"/>
      <c r="J651" s="8"/>
      <c r="K651" s="47">
        <f>K650+Table234535612[[#This Row],[AMOUNT]]-Table234535612[[#This Row],[AMOUNT2]]-Table234535612[[#This Row],[AMOUNT3]]</f>
        <v>15500</v>
      </c>
      <c r="L651" s="94"/>
    </row>
    <row r="652" spans="1:12" x14ac:dyDescent="0.35">
      <c r="A652" s="29"/>
      <c r="B652" s="7"/>
      <c r="C652" s="8"/>
      <c r="D652" s="7"/>
      <c r="E652" s="7"/>
      <c r="F652" s="9"/>
      <c r="G652" s="13"/>
      <c r="H652" s="13"/>
      <c r="I652" s="9"/>
      <c r="J652" s="8"/>
      <c r="K652" s="47">
        <f>K651+Table234535612[[#This Row],[AMOUNT]]-Table234535612[[#This Row],[AMOUNT2]]-Table234535612[[#This Row],[AMOUNT3]]</f>
        <v>15500</v>
      </c>
      <c r="L652" s="94"/>
    </row>
    <row r="653" spans="1:12" x14ac:dyDescent="0.35">
      <c r="A653" s="29"/>
      <c r="B653" s="7"/>
      <c r="C653" s="8"/>
      <c r="D653" s="7"/>
      <c r="E653" s="7"/>
      <c r="F653" s="9"/>
      <c r="G653" s="13"/>
      <c r="H653" s="13"/>
      <c r="I653" s="9"/>
      <c r="J653" s="8"/>
      <c r="K653" s="47">
        <f>K652+Table234535612[[#This Row],[AMOUNT]]-Table234535612[[#This Row],[AMOUNT2]]-Table234535612[[#This Row],[AMOUNT3]]</f>
        <v>15500</v>
      </c>
      <c r="L653" s="94"/>
    </row>
    <row r="654" spans="1:12" x14ac:dyDescent="0.35">
      <c r="A654" s="29"/>
      <c r="B654" s="7"/>
      <c r="C654" s="8"/>
      <c r="D654" s="7"/>
      <c r="E654" s="7"/>
      <c r="F654" s="9"/>
      <c r="G654" s="13"/>
      <c r="H654" s="13"/>
      <c r="I654" s="9"/>
      <c r="J654" s="8"/>
      <c r="K654" s="47">
        <f>K653+Table234535612[[#This Row],[AMOUNT]]-Table234535612[[#This Row],[AMOUNT2]]-Table234535612[[#This Row],[AMOUNT3]]</f>
        <v>15500</v>
      </c>
      <c r="L654" s="94"/>
    </row>
    <row r="655" spans="1:12" x14ac:dyDescent="0.35">
      <c r="A655" s="29"/>
      <c r="B655" s="7"/>
      <c r="C655" s="8"/>
      <c r="D655" s="7"/>
      <c r="E655" s="7"/>
      <c r="F655" s="9"/>
      <c r="G655" s="13"/>
      <c r="H655" s="13"/>
      <c r="I655" s="9"/>
      <c r="J655" s="8"/>
      <c r="K655" s="47">
        <f>K654+Table234535612[[#This Row],[AMOUNT]]-Table234535612[[#This Row],[AMOUNT2]]-Table234535612[[#This Row],[AMOUNT3]]</f>
        <v>15500</v>
      </c>
      <c r="L655" s="94"/>
    </row>
    <row r="656" spans="1:12" x14ac:dyDescent="0.35">
      <c r="A656" s="29"/>
      <c r="B656" s="7"/>
      <c r="C656" s="8"/>
      <c r="D656" s="7"/>
      <c r="E656" s="7"/>
      <c r="F656" s="9"/>
      <c r="G656" s="13"/>
      <c r="H656" s="13"/>
      <c r="I656" s="9"/>
      <c r="J656" s="8"/>
      <c r="K656" s="47">
        <f>K655+Table234535612[[#This Row],[AMOUNT]]-Table234535612[[#This Row],[AMOUNT2]]-Table234535612[[#This Row],[AMOUNT3]]</f>
        <v>15500</v>
      </c>
      <c r="L656" s="94"/>
    </row>
    <row r="657" spans="1:12" x14ac:dyDescent="0.35">
      <c r="A657" s="29"/>
      <c r="B657" s="7"/>
      <c r="C657" s="8"/>
      <c r="D657" s="7"/>
      <c r="E657" s="7"/>
      <c r="F657" s="9"/>
      <c r="G657" s="13"/>
      <c r="H657" s="13"/>
      <c r="I657" s="9"/>
      <c r="J657" s="8"/>
      <c r="K657" s="47">
        <f>K656+Table234535612[[#This Row],[AMOUNT]]-Table234535612[[#This Row],[AMOUNT2]]-Table234535612[[#This Row],[AMOUNT3]]</f>
        <v>15500</v>
      </c>
      <c r="L657" s="94"/>
    </row>
    <row r="658" spans="1:12" x14ac:dyDescent="0.35">
      <c r="A658" s="29"/>
      <c r="B658" s="7"/>
      <c r="C658" s="8"/>
      <c r="D658" s="7"/>
      <c r="E658" s="7"/>
      <c r="F658" s="9"/>
      <c r="G658" s="13"/>
      <c r="H658" s="13"/>
      <c r="I658" s="9"/>
      <c r="J658" s="8"/>
      <c r="K658" s="47">
        <f>K657+Table234535612[[#This Row],[AMOUNT]]-Table234535612[[#This Row],[AMOUNT2]]-Table234535612[[#This Row],[AMOUNT3]]</f>
        <v>15500</v>
      </c>
      <c r="L658" s="94"/>
    </row>
    <row r="659" spans="1:12" x14ac:dyDescent="0.35">
      <c r="A659" s="29"/>
      <c r="B659" s="7"/>
      <c r="C659" s="8"/>
      <c r="D659" s="7"/>
      <c r="E659" s="7"/>
      <c r="F659" s="9"/>
      <c r="G659" s="13"/>
      <c r="H659" s="13"/>
      <c r="I659" s="9"/>
      <c r="J659" s="8"/>
      <c r="K659" s="47">
        <f>K658+Table234535612[[#This Row],[AMOUNT]]-Table234535612[[#This Row],[AMOUNT2]]-Table234535612[[#This Row],[AMOUNT3]]</f>
        <v>15500</v>
      </c>
      <c r="L659" s="94"/>
    </row>
    <row r="660" spans="1:12" x14ac:dyDescent="0.35">
      <c r="A660" s="29"/>
      <c r="B660" s="7"/>
      <c r="C660" s="8"/>
      <c r="D660" s="7"/>
      <c r="E660" s="7"/>
      <c r="F660" s="9"/>
      <c r="G660" s="13"/>
      <c r="H660" s="13"/>
      <c r="I660" s="9"/>
      <c r="J660" s="8"/>
      <c r="K660" s="47">
        <f>K659+Table234535612[[#This Row],[AMOUNT]]-Table234535612[[#This Row],[AMOUNT2]]-Table234535612[[#This Row],[AMOUNT3]]</f>
        <v>15500</v>
      </c>
      <c r="L660" s="94"/>
    </row>
    <row r="661" spans="1:12" x14ac:dyDescent="0.35">
      <c r="A661" s="29"/>
      <c r="B661" s="7"/>
      <c r="C661" s="8"/>
      <c r="D661" s="7"/>
      <c r="E661" s="7"/>
      <c r="F661" s="9"/>
      <c r="G661" s="13"/>
      <c r="H661" s="13"/>
      <c r="I661" s="9"/>
      <c r="J661" s="8"/>
      <c r="K661" s="47">
        <f>K660+Table234535612[[#This Row],[AMOUNT]]-Table234535612[[#This Row],[AMOUNT2]]-Table234535612[[#This Row],[AMOUNT3]]</f>
        <v>15500</v>
      </c>
      <c r="L661" s="94"/>
    </row>
    <row r="662" spans="1:12" x14ac:dyDescent="0.35">
      <c r="A662" s="29"/>
      <c r="B662" s="7"/>
      <c r="C662" s="8"/>
      <c r="D662" s="7"/>
      <c r="E662" s="7"/>
      <c r="F662" s="9"/>
      <c r="G662" s="13"/>
      <c r="H662" s="13"/>
      <c r="I662" s="9"/>
      <c r="J662" s="8"/>
      <c r="K662" s="47">
        <f>K661+Table234535612[[#This Row],[AMOUNT]]-Table234535612[[#This Row],[AMOUNT2]]-Table234535612[[#This Row],[AMOUNT3]]</f>
        <v>15500</v>
      </c>
      <c r="L662" s="94"/>
    </row>
    <row r="663" spans="1:12" x14ac:dyDescent="0.35">
      <c r="A663" s="29"/>
      <c r="B663" s="7"/>
      <c r="C663" s="8"/>
      <c r="D663" s="7"/>
      <c r="E663" s="7"/>
      <c r="F663" s="9"/>
      <c r="G663" s="13"/>
      <c r="H663" s="13"/>
      <c r="I663" s="9"/>
      <c r="J663" s="8"/>
      <c r="K663" s="47">
        <f>K662+Table234535612[[#This Row],[AMOUNT]]-Table234535612[[#This Row],[AMOUNT2]]-Table234535612[[#This Row],[AMOUNT3]]</f>
        <v>15500</v>
      </c>
      <c r="L663" s="94"/>
    </row>
    <row r="664" spans="1:12" x14ac:dyDescent="0.35">
      <c r="A664" s="29"/>
      <c r="B664" s="7"/>
      <c r="C664" s="8"/>
      <c r="D664" s="7"/>
      <c r="E664" s="7"/>
      <c r="F664" s="9"/>
      <c r="G664" s="13"/>
      <c r="H664" s="13"/>
      <c r="I664" s="9"/>
      <c r="J664" s="8"/>
      <c r="K664" s="47">
        <f>K663+Table234535612[[#This Row],[AMOUNT]]-Table234535612[[#This Row],[AMOUNT2]]-Table234535612[[#This Row],[AMOUNT3]]</f>
        <v>15500</v>
      </c>
      <c r="L664" s="94"/>
    </row>
    <row r="665" spans="1:12" x14ac:dyDescent="0.35">
      <c r="A665" s="29"/>
      <c r="B665" s="7"/>
      <c r="C665" s="8"/>
      <c r="D665" s="7"/>
      <c r="E665" s="7"/>
      <c r="F665" s="9"/>
      <c r="G665" s="13"/>
      <c r="H665" s="13"/>
      <c r="I665" s="9"/>
      <c r="J665" s="8"/>
      <c r="K665" s="47">
        <f>K664+Table234535612[[#This Row],[AMOUNT]]-Table234535612[[#This Row],[AMOUNT2]]-Table234535612[[#This Row],[AMOUNT3]]</f>
        <v>15500</v>
      </c>
      <c r="L665" s="94"/>
    </row>
    <row r="666" spans="1:12" x14ac:dyDescent="0.35">
      <c r="A666" s="29"/>
      <c r="B666" s="7"/>
      <c r="C666" s="8"/>
      <c r="D666" s="7"/>
      <c r="E666" s="7"/>
      <c r="F666" s="9"/>
      <c r="G666" s="13"/>
      <c r="H666" s="13"/>
      <c r="I666" s="9"/>
      <c r="J666" s="8"/>
      <c r="K666" s="47">
        <f>K665+Table234535612[[#This Row],[AMOUNT]]-Table234535612[[#This Row],[AMOUNT2]]-Table234535612[[#This Row],[AMOUNT3]]</f>
        <v>15500</v>
      </c>
      <c r="L666" s="94"/>
    </row>
    <row r="667" spans="1:12" x14ac:dyDescent="0.35">
      <c r="A667" s="29"/>
      <c r="B667" s="7"/>
      <c r="C667" s="8"/>
      <c r="D667" s="7"/>
      <c r="E667" s="7"/>
      <c r="F667" s="9"/>
      <c r="G667" s="13"/>
      <c r="H667" s="13"/>
      <c r="I667" s="9"/>
      <c r="J667" s="8"/>
      <c r="K667" s="47">
        <f>K666+Table234535612[[#This Row],[AMOUNT]]-Table234535612[[#This Row],[AMOUNT2]]-Table234535612[[#This Row],[AMOUNT3]]</f>
        <v>15500</v>
      </c>
      <c r="L667" s="94"/>
    </row>
    <row r="668" spans="1:12" x14ac:dyDescent="0.35">
      <c r="A668" s="29"/>
      <c r="B668" s="7"/>
      <c r="C668" s="8"/>
      <c r="D668" s="7"/>
      <c r="E668" s="7"/>
      <c r="F668" s="9"/>
      <c r="G668" s="13"/>
      <c r="H668" s="13"/>
      <c r="I668" s="9"/>
      <c r="J668" s="8"/>
      <c r="K668" s="47">
        <f>K667+Table234535612[[#This Row],[AMOUNT]]-Table234535612[[#This Row],[AMOUNT2]]-Table234535612[[#This Row],[AMOUNT3]]</f>
        <v>15500</v>
      </c>
      <c r="L668" s="94"/>
    </row>
    <row r="669" spans="1:12" x14ac:dyDescent="0.35">
      <c r="A669" s="29"/>
      <c r="B669" s="7"/>
      <c r="C669" s="8"/>
      <c r="D669" s="7"/>
      <c r="E669" s="7"/>
      <c r="F669" s="9"/>
      <c r="G669" s="13"/>
      <c r="H669" s="13"/>
      <c r="I669" s="9"/>
      <c r="J669" s="8"/>
      <c r="K669" s="47">
        <f>K668+Table234535612[[#This Row],[AMOUNT]]-Table234535612[[#This Row],[AMOUNT2]]-Table234535612[[#This Row],[AMOUNT3]]</f>
        <v>15500</v>
      </c>
      <c r="L669" s="94"/>
    </row>
    <row r="670" spans="1:12" x14ac:dyDescent="0.35">
      <c r="A670" s="29"/>
      <c r="B670" s="7"/>
      <c r="C670" s="8"/>
      <c r="D670" s="7"/>
      <c r="E670" s="7"/>
      <c r="F670" s="9"/>
      <c r="G670" s="13"/>
      <c r="H670" s="13"/>
      <c r="I670" s="9"/>
      <c r="J670" s="8"/>
      <c r="K670" s="47">
        <f>K669+Table234535612[[#This Row],[AMOUNT]]-Table234535612[[#This Row],[AMOUNT2]]-Table234535612[[#This Row],[AMOUNT3]]</f>
        <v>15500</v>
      </c>
      <c r="L670" s="94"/>
    </row>
    <row r="671" spans="1:12" x14ac:dyDescent="0.35">
      <c r="A671" s="29"/>
      <c r="B671" s="7"/>
      <c r="C671" s="8"/>
      <c r="D671" s="7"/>
      <c r="E671" s="7"/>
      <c r="F671" s="9"/>
      <c r="G671" s="13"/>
      <c r="H671" s="13"/>
      <c r="I671" s="9"/>
      <c r="J671" s="8"/>
      <c r="K671" s="47">
        <f>K670+Table234535612[[#This Row],[AMOUNT]]-Table234535612[[#This Row],[AMOUNT2]]-Table234535612[[#This Row],[AMOUNT3]]</f>
        <v>15500</v>
      </c>
      <c r="L671" s="94"/>
    </row>
    <row r="672" spans="1:12" x14ac:dyDescent="0.35">
      <c r="A672" s="29"/>
      <c r="B672" s="7"/>
      <c r="C672" s="8"/>
      <c r="D672" s="7"/>
      <c r="E672" s="7"/>
      <c r="F672" s="9"/>
      <c r="G672" s="13"/>
      <c r="H672" s="13"/>
      <c r="I672" s="9"/>
      <c r="J672" s="8"/>
      <c r="K672" s="47">
        <f>K671+Table234535612[[#This Row],[AMOUNT]]-Table234535612[[#This Row],[AMOUNT2]]-Table234535612[[#This Row],[AMOUNT3]]</f>
        <v>15500</v>
      </c>
      <c r="L672" s="94"/>
    </row>
    <row r="673" spans="1:12" x14ac:dyDescent="0.35">
      <c r="A673" s="29"/>
      <c r="B673" s="7"/>
      <c r="C673" s="8"/>
      <c r="D673" s="7"/>
      <c r="E673" s="7"/>
      <c r="F673" s="9"/>
      <c r="G673" s="13"/>
      <c r="H673" s="13"/>
      <c r="I673" s="9"/>
      <c r="J673" s="8"/>
      <c r="K673" s="47">
        <f>K672+Table234535612[[#This Row],[AMOUNT]]-Table234535612[[#This Row],[AMOUNT2]]-Table234535612[[#This Row],[AMOUNT3]]</f>
        <v>15500</v>
      </c>
      <c r="L673" s="94"/>
    </row>
    <row r="674" spans="1:12" x14ac:dyDescent="0.35">
      <c r="A674" s="29"/>
      <c r="B674" s="7"/>
      <c r="C674" s="8"/>
      <c r="D674" s="7"/>
      <c r="E674" s="7"/>
      <c r="F674" s="9"/>
      <c r="G674" s="13"/>
      <c r="H674" s="13"/>
      <c r="I674" s="9"/>
      <c r="J674" s="8"/>
      <c r="K674" s="47">
        <f>K673+Table234535612[[#This Row],[AMOUNT]]-Table234535612[[#This Row],[AMOUNT2]]-Table234535612[[#This Row],[AMOUNT3]]</f>
        <v>15500</v>
      </c>
      <c r="L674" s="94"/>
    </row>
    <row r="675" spans="1:12" x14ac:dyDescent="0.35">
      <c r="A675" s="29"/>
      <c r="B675" s="7"/>
      <c r="C675" s="8"/>
      <c r="D675" s="7"/>
      <c r="E675" s="7"/>
      <c r="F675" s="9"/>
      <c r="G675" s="13"/>
      <c r="H675" s="13"/>
      <c r="I675" s="9"/>
      <c r="J675" s="8"/>
      <c r="K675" s="47">
        <f>K674+Table234535612[[#This Row],[AMOUNT]]-Table234535612[[#This Row],[AMOUNT2]]-Table234535612[[#This Row],[AMOUNT3]]</f>
        <v>15500</v>
      </c>
      <c r="L675" s="94"/>
    </row>
    <row r="676" spans="1:12" x14ac:dyDescent="0.35">
      <c r="A676" s="29"/>
      <c r="B676" s="7"/>
      <c r="C676" s="8"/>
      <c r="D676" s="7"/>
      <c r="E676" s="7"/>
      <c r="F676" s="9"/>
      <c r="G676" s="13"/>
      <c r="H676" s="13"/>
      <c r="I676" s="9"/>
      <c r="J676" s="8"/>
      <c r="K676" s="47">
        <f>K675+Table234535612[[#This Row],[AMOUNT]]-Table234535612[[#This Row],[AMOUNT2]]-Table234535612[[#This Row],[AMOUNT3]]</f>
        <v>15500</v>
      </c>
      <c r="L676" s="94"/>
    </row>
    <row r="677" spans="1:12" x14ac:dyDescent="0.35">
      <c r="A677" s="29"/>
      <c r="B677" s="7"/>
      <c r="C677" s="8"/>
      <c r="D677" s="7"/>
      <c r="E677" s="7"/>
      <c r="F677" s="9"/>
      <c r="G677" s="13"/>
      <c r="H677" s="13"/>
      <c r="I677" s="9"/>
      <c r="J677" s="8"/>
      <c r="K677" s="47">
        <f>K676+Table234535612[[#This Row],[AMOUNT]]-Table234535612[[#This Row],[AMOUNT2]]-Table234535612[[#This Row],[AMOUNT3]]</f>
        <v>15500</v>
      </c>
      <c r="L677" s="94"/>
    </row>
    <row r="678" spans="1:12" x14ac:dyDescent="0.35">
      <c r="A678" s="29"/>
      <c r="B678" s="7"/>
      <c r="C678" s="8"/>
      <c r="D678" s="7"/>
      <c r="E678" s="7"/>
      <c r="F678" s="9"/>
      <c r="G678" s="13"/>
      <c r="H678" s="13"/>
      <c r="I678" s="9"/>
      <c r="J678" s="8"/>
      <c r="K678" s="47">
        <f>K677+Table234535612[[#This Row],[AMOUNT]]-Table234535612[[#This Row],[AMOUNT2]]-Table234535612[[#This Row],[AMOUNT3]]</f>
        <v>15500</v>
      </c>
      <c r="L678" s="94"/>
    </row>
    <row r="679" spans="1:12" x14ac:dyDescent="0.35">
      <c r="A679" s="29"/>
      <c r="B679" s="7"/>
      <c r="C679" s="8"/>
      <c r="D679" s="7"/>
      <c r="E679" s="7"/>
      <c r="F679" s="9"/>
      <c r="G679" s="13"/>
      <c r="H679" s="13"/>
      <c r="I679" s="9"/>
      <c r="J679" s="8"/>
      <c r="K679" s="47">
        <f>K678+Table234535612[[#This Row],[AMOUNT]]-Table234535612[[#This Row],[AMOUNT2]]-Table234535612[[#This Row],[AMOUNT3]]</f>
        <v>15500</v>
      </c>
      <c r="L679" s="94"/>
    </row>
    <row r="680" spans="1:12" x14ac:dyDescent="0.35">
      <c r="A680" s="29"/>
      <c r="B680" s="7"/>
      <c r="C680" s="8"/>
      <c r="D680" s="7"/>
      <c r="E680" s="7"/>
      <c r="F680" s="9"/>
      <c r="G680" s="13"/>
      <c r="H680" s="13"/>
      <c r="I680" s="9"/>
      <c r="J680" s="8"/>
      <c r="K680" s="47">
        <f>K679+Table234535612[[#This Row],[AMOUNT]]-Table234535612[[#This Row],[AMOUNT2]]-Table234535612[[#This Row],[AMOUNT3]]</f>
        <v>15500</v>
      </c>
      <c r="L680" s="94"/>
    </row>
    <row r="681" spans="1:12" x14ac:dyDescent="0.35">
      <c r="A681" s="29"/>
      <c r="B681" s="7"/>
      <c r="C681" s="8"/>
      <c r="D681" s="7"/>
      <c r="E681" s="7"/>
      <c r="F681" s="9"/>
      <c r="G681" s="13"/>
      <c r="H681" s="13"/>
      <c r="I681" s="9"/>
      <c r="J681" s="8"/>
      <c r="K681" s="47">
        <f>K680+Table234535612[[#This Row],[AMOUNT]]-Table234535612[[#This Row],[AMOUNT2]]-Table234535612[[#This Row],[AMOUNT3]]</f>
        <v>15500</v>
      </c>
      <c r="L681" s="94"/>
    </row>
    <row r="682" spans="1:12" x14ac:dyDescent="0.35">
      <c r="A682" s="29"/>
      <c r="B682" s="7"/>
      <c r="C682" s="8"/>
      <c r="D682" s="7"/>
      <c r="E682" s="7"/>
      <c r="F682" s="9"/>
      <c r="G682" s="13"/>
      <c r="H682" s="13"/>
      <c r="I682" s="9"/>
      <c r="J682" s="8"/>
      <c r="K682" s="47">
        <f>K681+Table234535612[[#This Row],[AMOUNT]]-Table234535612[[#This Row],[AMOUNT2]]-Table234535612[[#This Row],[AMOUNT3]]</f>
        <v>15500</v>
      </c>
      <c r="L682" s="94"/>
    </row>
    <row r="683" spans="1:12" x14ac:dyDescent="0.35">
      <c r="A683" s="29"/>
      <c r="B683" s="7"/>
      <c r="C683" s="8"/>
      <c r="D683" s="7"/>
      <c r="E683" s="7"/>
      <c r="F683" s="9"/>
      <c r="G683" s="13"/>
      <c r="H683" s="13"/>
      <c r="I683" s="9"/>
      <c r="J683" s="8"/>
      <c r="K683" s="47">
        <f>K682+Table234535612[[#This Row],[AMOUNT]]-Table234535612[[#This Row],[AMOUNT2]]-Table234535612[[#This Row],[AMOUNT3]]</f>
        <v>15500</v>
      </c>
      <c r="L683" s="94"/>
    </row>
    <row r="684" spans="1:12" x14ac:dyDescent="0.35">
      <c r="A684" s="29"/>
      <c r="B684" s="7"/>
      <c r="C684" s="8"/>
      <c r="D684" s="7"/>
      <c r="E684" s="7"/>
      <c r="F684" s="9"/>
      <c r="G684" s="13"/>
      <c r="H684" s="13"/>
      <c r="I684" s="9"/>
      <c r="J684" s="8"/>
      <c r="K684" s="47">
        <f>K683+Table234535612[[#This Row],[AMOUNT]]-Table234535612[[#This Row],[AMOUNT2]]-Table234535612[[#This Row],[AMOUNT3]]</f>
        <v>15500</v>
      </c>
      <c r="L684" s="94"/>
    </row>
    <row r="685" spans="1:12" x14ac:dyDescent="0.35">
      <c r="A685" s="29"/>
      <c r="B685" s="7"/>
      <c r="C685" s="8"/>
      <c r="D685" s="7"/>
      <c r="E685" s="7"/>
      <c r="F685" s="9"/>
      <c r="G685" s="13"/>
      <c r="H685" s="13"/>
      <c r="I685" s="9"/>
      <c r="J685" s="8"/>
      <c r="K685" s="47">
        <f>K684+Table234535612[[#This Row],[AMOUNT]]-Table234535612[[#This Row],[AMOUNT2]]-Table234535612[[#This Row],[AMOUNT3]]</f>
        <v>15500</v>
      </c>
      <c r="L685" s="94"/>
    </row>
    <row r="686" spans="1:12" x14ac:dyDescent="0.35">
      <c r="A686" s="29"/>
      <c r="B686" s="7"/>
      <c r="C686" s="8"/>
      <c r="D686" s="7"/>
      <c r="E686" s="7"/>
      <c r="F686" s="9"/>
      <c r="G686" s="13"/>
      <c r="H686" s="13"/>
      <c r="I686" s="9"/>
      <c r="J686" s="8"/>
      <c r="K686" s="47">
        <f>K685+Table234535612[[#This Row],[AMOUNT]]-Table234535612[[#This Row],[AMOUNT2]]-Table234535612[[#This Row],[AMOUNT3]]</f>
        <v>15500</v>
      </c>
      <c r="L686" s="94"/>
    </row>
    <row r="687" spans="1:12" x14ac:dyDescent="0.35">
      <c r="A687" s="29"/>
      <c r="B687" s="7"/>
      <c r="C687" s="8"/>
      <c r="D687" s="7"/>
      <c r="E687" s="7"/>
      <c r="F687" s="9"/>
      <c r="G687" s="13"/>
      <c r="H687" s="13"/>
      <c r="I687" s="9"/>
      <c r="J687" s="8"/>
      <c r="K687" s="47">
        <f>K686+Table234535612[[#This Row],[AMOUNT]]-Table234535612[[#This Row],[AMOUNT2]]-Table234535612[[#This Row],[AMOUNT3]]</f>
        <v>15500</v>
      </c>
      <c r="L687" s="94"/>
    </row>
    <row r="688" spans="1:12" x14ac:dyDescent="0.35">
      <c r="A688" s="29"/>
      <c r="B688" s="7"/>
      <c r="C688" s="8"/>
      <c r="D688" s="7"/>
      <c r="E688" s="7"/>
      <c r="F688" s="9"/>
      <c r="G688" s="13"/>
      <c r="H688" s="13"/>
      <c r="I688" s="9"/>
      <c r="J688" s="8"/>
      <c r="K688" s="47">
        <f>K687+Table234535612[[#This Row],[AMOUNT]]-Table234535612[[#This Row],[AMOUNT2]]-Table234535612[[#This Row],[AMOUNT3]]</f>
        <v>15500</v>
      </c>
      <c r="L688" s="94"/>
    </row>
    <row r="689" spans="1:12" x14ac:dyDescent="0.35">
      <c r="A689" s="29"/>
      <c r="B689" s="7"/>
      <c r="C689" s="8"/>
      <c r="D689" s="7"/>
      <c r="E689" s="7"/>
      <c r="F689" s="9"/>
      <c r="G689" s="13"/>
      <c r="H689" s="13"/>
      <c r="I689" s="9"/>
      <c r="J689" s="8"/>
      <c r="K689" s="47">
        <f>K688+Table234535612[[#This Row],[AMOUNT]]-Table234535612[[#This Row],[AMOUNT2]]-Table234535612[[#This Row],[AMOUNT3]]</f>
        <v>15500</v>
      </c>
      <c r="L689" s="94"/>
    </row>
    <row r="690" spans="1:12" x14ac:dyDescent="0.35">
      <c r="A690" s="29"/>
      <c r="B690" s="7"/>
      <c r="C690" s="8"/>
      <c r="D690" s="7"/>
      <c r="E690" s="7"/>
      <c r="F690" s="9"/>
      <c r="G690" s="13"/>
      <c r="H690" s="13"/>
      <c r="I690" s="9"/>
      <c r="J690" s="8"/>
      <c r="K690" s="47">
        <f>K689+Table234535612[[#This Row],[AMOUNT]]-Table234535612[[#This Row],[AMOUNT2]]-Table234535612[[#This Row],[AMOUNT3]]</f>
        <v>15500</v>
      </c>
      <c r="L690" s="94"/>
    </row>
    <row r="691" spans="1:12" x14ac:dyDescent="0.35">
      <c r="A691" s="29"/>
      <c r="B691" s="7"/>
      <c r="C691" s="8"/>
      <c r="D691" s="7"/>
      <c r="E691" s="7"/>
      <c r="F691" s="9"/>
      <c r="G691" s="13"/>
      <c r="H691" s="13"/>
      <c r="I691" s="9"/>
      <c r="J691" s="8"/>
      <c r="K691" s="47">
        <f>K690+Table234535612[[#This Row],[AMOUNT]]-Table234535612[[#This Row],[AMOUNT2]]-Table234535612[[#This Row],[AMOUNT3]]</f>
        <v>15500</v>
      </c>
      <c r="L691" s="94"/>
    </row>
    <row r="692" spans="1:12" x14ac:dyDescent="0.35">
      <c r="A692" s="29"/>
      <c r="B692" s="7"/>
      <c r="C692" s="8"/>
      <c r="D692" s="7"/>
      <c r="E692" s="7"/>
      <c r="F692" s="9"/>
      <c r="G692" s="13"/>
      <c r="H692" s="13"/>
      <c r="I692" s="9"/>
      <c r="J692" s="8"/>
      <c r="K692" s="47">
        <f>K691+Table234535612[[#This Row],[AMOUNT]]-Table234535612[[#This Row],[AMOUNT2]]-Table234535612[[#This Row],[AMOUNT3]]</f>
        <v>15500</v>
      </c>
      <c r="L692" s="94"/>
    </row>
    <row r="693" spans="1:12" x14ac:dyDescent="0.35">
      <c r="A693" s="29"/>
      <c r="B693" s="7"/>
      <c r="C693" s="8"/>
      <c r="D693" s="7"/>
      <c r="E693" s="7"/>
      <c r="F693" s="9"/>
      <c r="G693" s="13"/>
      <c r="H693" s="13"/>
      <c r="I693" s="9"/>
      <c r="J693" s="8"/>
      <c r="K693" s="47">
        <f>K692+Table234535612[[#This Row],[AMOUNT]]-Table234535612[[#This Row],[AMOUNT2]]-Table234535612[[#This Row],[AMOUNT3]]</f>
        <v>15500</v>
      </c>
      <c r="L693" s="94"/>
    </row>
    <row r="694" spans="1:12" x14ac:dyDescent="0.35">
      <c r="A694" s="29"/>
      <c r="B694" s="7"/>
      <c r="C694" s="8"/>
      <c r="D694" s="7"/>
      <c r="E694" s="7"/>
      <c r="F694" s="9"/>
      <c r="G694" s="13"/>
      <c r="H694" s="13"/>
      <c r="I694" s="9"/>
      <c r="J694" s="8"/>
      <c r="K694" s="47">
        <f>K693+Table234535612[[#This Row],[AMOUNT]]-Table234535612[[#This Row],[AMOUNT2]]-Table234535612[[#This Row],[AMOUNT3]]</f>
        <v>15500</v>
      </c>
      <c r="L694" s="94"/>
    </row>
    <row r="695" spans="1:12" x14ac:dyDescent="0.35">
      <c r="A695" s="29"/>
      <c r="B695" s="7"/>
      <c r="C695" s="8"/>
      <c r="D695" s="7"/>
      <c r="E695" s="7"/>
      <c r="F695" s="9"/>
      <c r="G695" s="13"/>
      <c r="H695" s="13"/>
      <c r="I695" s="9"/>
      <c r="J695" s="8"/>
      <c r="K695" s="47">
        <f>K694+Table234535612[[#This Row],[AMOUNT]]-Table234535612[[#This Row],[AMOUNT2]]-Table234535612[[#This Row],[AMOUNT3]]</f>
        <v>15500</v>
      </c>
      <c r="L695" s="94"/>
    </row>
    <row r="696" spans="1:12" x14ac:dyDescent="0.35">
      <c r="A696" s="29"/>
      <c r="B696" s="7"/>
      <c r="C696" s="8"/>
      <c r="D696" s="7"/>
      <c r="E696" s="7"/>
      <c r="F696" s="9"/>
      <c r="G696" s="13"/>
      <c r="H696" s="13"/>
      <c r="I696" s="9"/>
      <c r="J696" s="8"/>
      <c r="K696" s="47">
        <f>K695+Table234535612[[#This Row],[AMOUNT]]-Table234535612[[#This Row],[AMOUNT2]]-Table234535612[[#This Row],[AMOUNT3]]</f>
        <v>15500</v>
      </c>
      <c r="L696" s="94"/>
    </row>
    <row r="697" spans="1:12" x14ac:dyDescent="0.35">
      <c r="A697" s="30"/>
      <c r="B697" s="25"/>
      <c r="C697" s="20"/>
      <c r="D697" s="7" t="s">
        <v>48</v>
      </c>
      <c r="E697" s="25"/>
      <c r="F697" s="19"/>
      <c r="G697" s="21"/>
      <c r="H697" s="21"/>
      <c r="I697" s="19"/>
      <c r="J697" s="20"/>
      <c r="K697" s="47">
        <f>K696+Table234535612[[#This Row],[AMOUNT]]-Table234535612[[#This Row],[AMOUNT2]]-Table234535612[[#This Row],[AMOUNT3]]</f>
        <v>15500</v>
      </c>
      <c r="L697" s="94"/>
    </row>
    <row r="698" spans="1:12" x14ac:dyDescent="0.35">
      <c r="A698" s="148" t="s">
        <v>15</v>
      </c>
      <c r="B698" s="150"/>
      <c r="C698" s="6">
        <f>SUM(C5:C697)</f>
        <v>2164100</v>
      </c>
      <c r="D698" s="6"/>
      <c r="E698" s="6"/>
      <c r="F698" s="6"/>
      <c r="G698" s="6">
        <f>SUM(G5:G697)</f>
        <v>2063122</v>
      </c>
      <c r="H698" s="6"/>
      <c r="I698" s="6"/>
      <c r="J698" s="6">
        <f>SUM(J5:J697)</f>
        <v>10000</v>
      </c>
      <c r="K698" s="6"/>
    </row>
  </sheetData>
  <mergeCells count="5">
    <mergeCell ref="A1:K2"/>
    <mergeCell ref="A3:C3"/>
    <mergeCell ref="G3:J3"/>
    <mergeCell ref="A698:B698"/>
    <mergeCell ref="N55:P55"/>
  </mergeCells>
  <printOptions horizontalCentere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8"/>
  <sheetViews>
    <sheetView zoomScale="85" zoomScaleNormal="85" workbookViewId="0">
      <pane ySplit="4" topLeftCell="A5" activePane="bottomLeft" state="frozen"/>
      <selection pane="bottomLeft" activeCell="F14" sqref="F14"/>
    </sheetView>
  </sheetViews>
  <sheetFormatPr defaultRowHeight="15.5" x14ac:dyDescent="0.35"/>
  <cols>
    <col min="1" max="1" width="11.90625" style="32" bestFit="1" customWidth="1"/>
    <col min="2" max="2" width="11.453125" style="15" customWidth="1"/>
    <col min="3" max="3" width="9.81640625" style="15" customWidth="1"/>
    <col min="4" max="4" width="14.6328125" style="14" customWidth="1"/>
    <col min="5" max="5" width="23" style="14" bestFit="1" customWidth="1"/>
    <col min="6" max="6" width="22.90625" style="14" customWidth="1"/>
    <col min="7" max="7" width="10.90625" style="14" customWidth="1"/>
    <col min="8" max="8" width="19" style="14" bestFit="1" customWidth="1"/>
    <col min="9" max="9" width="10.36328125" style="14" customWidth="1"/>
    <col min="10" max="10" width="10.08984375" style="14" customWidth="1"/>
    <col min="11" max="11" width="20.6328125" bestFit="1" customWidth="1"/>
  </cols>
  <sheetData>
    <row r="1" spans="1:11" ht="14.5" x14ac:dyDescent="0.35">
      <c r="A1" s="139" t="s">
        <v>57</v>
      </c>
      <c r="B1" s="140"/>
      <c r="C1" s="140"/>
      <c r="D1" s="140"/>
      <c r="E1" s="140"/>
      <c r="F1" s="140"/>
      <c r="G1" s="140"/>
      <c r="H1" s="140"/>
      <c r="I1" s="140"/>
      <c r="J1" s="141"/>
    </row>
    <row r="2" spans="1:11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4"/>
    </row>
    <row r="3" spans="1:11" x14ac:dyDescent="0.35">
      <c r="A3" s="145" t="s">
        <v>3</v>
      </c>
      <c r="B3" s="146"/>
      <c r="C3" s="147"/>
      <c r="D3" s="4">
        <v>796</v>
      </c>
      <c r="E3" s="4"/>
      <c r="F3" s="4"/>
      <c r="G3" s="145" t="s">
        <v>4</v>
      </c>
      <c r="H3" s="146"/>
      <c r="I3" s="147"/>
      <c r="J3" s="4"/>
    </row>
    <row r="4" spans="1:11" x14ac:dyDescent="0.35">
      <c r="A4" s="31" t="s">
        <v>5</v>
      </c>
      <c r="B4" s="6" t="s">
        <v>6</v>
      </c>
      <c r="C4" s="6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80" t="s">
        <v>554</v>
      </c>
    </row>
    <row r="5" spans="1:11" x14ac:dyDescent="0.35">
      <c r="A5" s="28"/>
      <c r="B5" s="8"/>
      <c r="C5" s="8"/>
      <c r="D5" s="8"/>
      <c r="E5" s="7"/>
      <c r="F5" s="9"/>
      <c r="G5" s="10">
        <v>0</v>
      </c>
      <c r="H5" s="8"/>
      <c r="I5" s="8"/>
      <c r="J5" s="8">
        <f>+D3</f>
        <v>796</v>
      </c>
      <c r="K5" s="125"/>
    </row>
    <row r="6" spans="1:11" x14ac:dyDescent="0.35">
      <c r="A6" s="29">
        <v>46113</v>
      </c>
      <c r="B6" s="8"/>
      <c r="C6" s="8"/>
      <c r="D6" s="8" t="s">
        <v>58</v>
      </c>
      <c r="E6" s="8" t="s">
        <v>1</v>
      </c>
      <c r="F6" s="9" t="s">
        <v>1</v>
      </c>
      <c r="G6" s="13">
        <v>200</v>
      </c>
      <c r="H6" s="8"/>
      <c r="I6" s="8"/>
      <c r="J6" s="8">
        <f>+J5+Table234535910[[#This Row],[AMOUNT]]-Table234535910[[#This Row],[AMOUNT2]]-Table234535910[[#This Row],[AMOUNT3]]</f>
        <v>596</v>
      </c>
      <c r="K6" s="125"/>
    </row>
    <row r="7" spans="1:11" x14ac:dyDescent="0.35">
      <c r="A7" s="29">
        <v>46113</v>
      </c>
      <c r="B7" s="8"/>
      <c r="C7" s="8"/>
      <c r="D7" s="8" t="s">
        <v>115</v>
      </c>
      <c r="E7" s="8" t="s">
        <v>75</v>
      </c>
      <c r="F7" s="9" t="s">
        <v>216</v>
      </c>
      <c r="G7" s="13">
        <v>100</v>
      </c>
      <c r="H7" s="8"/>
      <c r="I7" s="8"/>
      <c r="J7" s="8">
        <f>J6+Table234535910[[#This Row],[AMOUNT]]-Table234535910[[#This Row],[AMOUNT2]]-Table234535910[[#This Row],[AMOUNT3]]</f>
        <v>496</v>
      </c>
      <c r="K7" s="125"/>
    </row>
    <row r="8" spans="1:11" x14ac:dyDescent="0.35">
      <c r="A8" s="29">
        <v>46119</v>
      </c>
      <c r="B8" s="8"/>
      <c r="C8" s="8"/>
      <c r="D8" s="8" t="s">
        <v>99</v>
      </c>
      <c r="E8" s="8" t="s">
        <v>1</v>
      </c>
      <c r="F8" s="9" t="s">
        <v>217</v>
      </c>
      <c r="G8" s="13">
        <v>200</v>
      </c>
      <c r="H8" s="8"/>
      <c r="I8" s="8"/>
      <c r="J8" s="8">
        <f>J7+Table234535910[[#This Row],[AMOUNT]]-Table234535910[[#This Row],[AMOUNT2]]-Table234535910[[#This Row],[AMOUNT3]]</f>
        <v>296</v>
      </c>
      <c r="K8" s="125"/>
    </row>
    <row r="9" spans="1:11" x14ac:dyDescent="0.35">
      <c r="A9" s="29">
        <v>46121</v>
      </c>
      <c r="B9" s="8" t="s">
        <v>18</v>
      </c>
      <c r="C9" s="23">
        <v>3000</v>
      </c>
      <c r="D9" s="8" t="s">
        <v>99</v>
      </c>
      <c r="E9" s="8" t="s">
        <v>99</v>
      </c>
      <c r="F9" s="9" t="s">
        <v>218</v>
      </c>
      <c r="G9" s="13">
        <v>930</v>
      </c>
      <c r="H9" s="8"/>
      <c r="I9" s="8"/>
      <c r="J9" s="8">
        <f>J8+Table234535910[[#This Row],[AMOUNT]]-Table234535910[[#This Row],[AMOUNT2]]-Table234535910[[#This Row],[AMOUNT3]]</f>
        <v>2366</v>
      </c>
      <c r="K9" s="125"/>
    </row>
    <row r="10" spans="1:11" x14ac:dyDescent="0.35">
      <c r="A10" s="29">
        <v>46121</v>
      </c>
      <c r="B10" s="8"/>
      <c r="C10" s="8"/>
      <c r="D10" s="8" t="s">
        <v>79</v>
      </c>
      <c r="E10" s="8" t="s">
        <v>2</v>
      </c>
      <c r="F10" s="9" t="s">
        <v>36</v>
      </c>
      <c r="G10" s="27">
        <f>2*700</f>
        <v>1400</v>
      </c>
      <c r="H10" s="8"/>
      <c r="I10" s="8"/>
      <c r="J10" s="8">
        <f>J9+Table234535910[[#This Row],[AMOUNT]]-Table234535910[[#This Row],[AMOUNT2]]-Table234535910[[#This Row],[AMOUNT3]]</f>
        <v>966</v>
      </c>
      <c r="K10" s="125"/>
    </row>
    <row r="11" spans="1:11" x14ac:dyDescent="0.35">
      <c r="A11" s="29">
        <v>46121</v>
      </c>
      <c r="B11" s="8"/>
      <c r="C11" s="8"/>
      <c r="D11" s="8" t="s">
        <v>79</v>
      </c>
      <c r="E11" s="8" t="s">
        <v>30</v>
      </c>
      <c r="F11" s="9" t="s">
        <v>219</v>
      </c>
      <c r="G11" s="13">
        <f>50+300</f>
        <v>350</v>
      </c>
      <c r="H11" s="8"/>
      <c r="I11" s="8"/>
      <c r="J11" s="8">
        <f>J10+Table234535910[[#This Row],[AMOUNT]]-Table234535910[[#This Row],[AMOUNT2]]-Table234535910[[#This Row],[AMOUNT3]]</f>
        <v>616</v>
      </c>
      <c r="K11" s="125"/>
    </row>
    <row r="12" spans="1:11" x14ac:dyDescent="0.35">
      <c r="A12" s="29">
        <v>46123</v>
      </c>
      <c r="B12" s="8"/>
      <c r="C12" s="8"/>
      <c r="D12" s="8" t="s">
        <v>115</v>
      </c>
      <c r="E12" s="8" t="s">
        <v>17</v>
      </c>
      <c r="F12" s="9" t="s">
        <v>220</v>
      </c>
      <c r="G12" s="13">
        <v>90</v>
      </c>
      <c r="H12" s="8"/>
      <c r="I12" s="8"/>
      <c r="J12" s="8">
        <f>J11+Table234535910[[#This Row],[AMOUNT]]-Table234535910[[#This Row],[AMOUNT2]]-Table234535910[[#This Row],[AMOUNT3]]</f>
        <v>526</v>
      </c>
      <c r="K12" s="125"/>
    </row>
    <row r="13" spans="1:11" x14ac:dyDescent="0.35">
      <c r="A13" s="29">
        <v>46124</v>
      </c>
      <c r="B13" s="8"/>
      <c r="C13" s="8"/>
      <c r="D13" s="8" t="s">
        <v>79</v>
      </c>
      <c r="E13" s="8" t="s">
        <v>1</v>
      </c>
      <c r="F13" s="9" t="s">
        <v>1</v>
      </c>
      <c r="G13" s="13">
        <v>100</v>
      </c>
      <c r="H13" s="8"/>
      <c r="I13" s="8"/>
      <c r="J13" s="8">
        <f>J12+Table234535910[[#This Row],[AMOUNT]]-Table234535910[[#This Row],[AMOUNT2]]-Table234535910[[#This Row],[AMOUNT3]]</f>
        <v>426</v>
      </c>
      <c r="K13" s="125"/>
    </row>
    <row r="14" spans="1:11" x14ac:dyDescent="0.35">
      <c r="A14" s="98">
        <v>46142</v>
      </c>
      <c r="B14" s="23"/>
      <c r="C14" s="23"/>
      <c r="D14" s="23"/>
      <c r="E14" s="23" t="s">
        <v>806</v>
      </c>
      <c r="F14" s="23" t="s">
        <v>805</v>
      </c>
      <c r="G14" s="51">
        <v>426</v>
      </c>
      <c r="H14" s="23"/>
      <c r="I14" s="23"/>
      <c r="J14" s="23">
        <f>J13+Table234535910[[#This Row],[AMOUNT]]-Table234535910[[#This Row],[AMOUNT2]]-Table234535910[[#This Row],[AMOUNT3]]</f>
        <v>0</v>
      </c>
      <c r="K14" s="126" t="s">
        <v>880</v>
      </c>
    </row>
    <row r="15" spans="1:11" x14ac:dyDescent="0.35">
      <c r="A15" s="29" t="s">
        <v>791</v>
      </c>
      <c r="B15" s="8" t="s">
        <v>18</v>
      </c>
      <c r="C15" s="23">
        <v>6600</v>
      </c>
      <c r="D15" s="8"/>
      <c r="E15" s="8"/>
      <c r="F15" s="9"/>
      <c r="G15" s="13"/>
      <c r="H15" s="8"/>
      <c r="I15" s="8"/>
      <c r="J15" s="8">
        <f>J14+Table234535910[[#This Row],[AMOUNT]]-Table234535910[[#This Row],[AMOUNT2]]-Table234535910[[#This Row],[AMOUNT3]]</f>
        <v>6600</v>
      </c>
      <c r="K15" s="125"/>
    </row>
    <row r="16" spans="1:11" x14ac:dyDescent="0.35">
      <c r="A16" s="29" t="s">
        <v>795</v>
      </c>
      <c r="B16" s="8" t="s">
        <v>18</v>
      </c>
      <c r="C16" s="23">
        <v>9500</v>
      </c>
      <c r="D16" s="8" t="s">
        <v>166</v>
      </c>
      <c r="E16" s="8" t="s">
        <v>2</v>
      </c>
      <c r="F16" s="9" t="s">
        <v>807</v>
      </c>
      <c r="G16" s="13">
        <v>4500</v>
      </c>
      <c r="H16" s="8"/>
      <c r="I16" s="8"/>
      <c r="J16" s="8">
        <f>J15+Table234535910[[#This Row],[AMOUNT]]-Table234535910[[#This Row],[AMOUNT2]]-Table234535910[[#This Row],[AMOUNT3]]</f>
        <v>11600</v>
      </c>
      <c r="K16" s="125"/>
    </row>
    <row r="17" spans="1:11" x14ac:dyDescent="0.35">
      <c r="A17" s="29" t="s">
        <v>795</v>
      </c>
      <c r="B17" s="8"/>
      <c r="C17" s="8"/>
      <c r="D17" s="8" t="s">
        <v>166</v>
      </c>
      <c r="E17" s="8" t="s">
        <v>0</v>
      </c>
      <c r="F17" s="9" t="s">
        <v>808</v>
      </c>
      <c r="G17" s="13">
        <v>120</v>
      </c>
      <c r="H17" s="8"/>
      <c r="I17" s="8"/>
      <c r="J17" s="8">
        <f>J16+Table234535910[[#This Row],[AMOUNT]]-Table234535910[[#This Row],[AMOUNT2]]-Table234535910[[#This Row],[AMOUNT3]]</f>
        <v>11480</v>
      </c>
      <c r="K17" s="125"/>
    </row>
    <row r="18" spans="1:11" x14ac:dyDescent="0.35">
      <c r="A18" s="29" t="s">
        <v>795</v>
      </c>
      <c r="B18" s="8"/>
      <c r="C18" s="8"/>
      <c r="D18" s="8" t="s">
        <v>166</v>
      </c>
      <c r="E18" s="8" t="s">
        <v>749</v>
      </c>
      <c r="F18" s="9" t="s">
        <v>1</v>
      </c>
      <c r="G18" s="13">
        <v>150</v>
      </c>
      <c r="H18" s="8"/>
      <c r="I18" s="8"/>
      <c r="J18" s="8">
        <f>J17+Table234535910[[#This Row],[AMOUNT]]-Table234535910[[#This Row],[AMOUNT2]]-Table234535910[[#This Row],[AMOUNT3]]</f>
        <v>11330</v>
      </c>
      <c r="K18" s="125"/>
    </row>
    <row r="19" spans="1:11" x14ac:dyDescent="0.35">
      <c r="A19" s="29" t="s">
        <v>798</v>
      </c>
      <c r="B19" s="8"/>
      <c r="C19" s="8"/>
      <c r="D19" s="8" t="s">
        <v>166</v>
      </c>
      <c r="E19" s="8" t="s">
        <v>2</v>
      </c>
      <c r="F19" s="9" t="s">
        <v>809</v>
      </c>
      <c r="G19" s="13">
        <v>4800</v>
      </c>
      <c r="H19" s="8"/>
      <c r="I19" s="8"/>
      <c r="J19" s="8">
        <f>J18+Table234535910[[#This Row],[AMOUNT]]-Table234535910[[#This Row],[AMOUNT2]]-Table234535910[[#This Row],[AMOUNT3]]</f>
        <v>6530</v>
      </c>
      <c r="K19" s="125"/>
    </row>
    <row r="20" spans="1:11" x14ac:dyDescent="0.35">
      <c r="A20" s="29" t="s">
        <v>798</v>
      </c>
      <c r="B20" s="8"/>
      <c r="C20" s="8"/>
      <c r="D20" s="8" t="s">
        <v>166</v>
      </c>
      <c r="E20" s="8" t="s">
        <v>749</v>
      </c>
      <c r="F20" s="9" t="s">
        <v>1</v>
      </c>
      <c r="G20" s="13">
        <v>150</v>
      </c>
      <c r="H20" s="8"/>
      <c r="I20" s="8"/>
      <c r="J20" s="8">
        <f>J19+Table234535910[[#This Row],[AMOUNT]]-Table234535910[[#This Row],[AMOUNT2]]-Table234535910[[#This Row],[AMOUNT3]]</f>
        <v>6380</v>
      </c>
      <c r="K20" s="125"/>
    </row>
    <row r="21" spans="1:11" x14ac:dyDescent="0.35">
      <c r="A21" s="29" t="s">
        <v>802</v>
      </c>
      <c r="B21" s="8" t="s">
        <v>18</v>
      </c>
      <c r="C21" s="23">
        <v>10550</v>
      </c>
      <c r="D21" s="8" t="s">
        <v>166</v>
      </c>
      <c r="E21" s="8" t="s">
        <v>2</v>
      </c>
      <c r="F21" s="9" t="s">
        <v>809</v>
      </c>
      <c r="G21" s="13">
        <v>4800</v>
      </c>
      <c r="H21" s="8"/>
      <c r="I21" s="8"/>
      <c r="J21" s="8">
        <f>J20+Table234535910[[#This Row],[AMOUNT]]-Table234535910[[#This Row],[AMOUNT2]]-Table234535910[[#This Row],[AMOUNT3]]</f>
        <v>12130</v>
      </c>
      <c r="K21" s="125"/>
    </row>
    <row r="22" spans="1:11" x14ac:dyDescent="0.35">
      <c r="A22" s="29" t="s">
        <v>802</v>
      </c>
      <c r="B22" s="8"/>
      <c r="C22" s="8"/>
      <c r="D22" s="8" t="s">
        <v>166</v>
      </c>
      <c r="E22" s="8" t="s">
        <v>749</v>
      </c>
      <c r="F22" s="9" t="s">
        <v>1</v>
      </c>
      <c r="G22" s="13">
        <v>150</v>
      </c>
      <c r="H22" s="8"/>
      <c r="I22" s="8"/>
      <c r="J22" s="8">
        <f>J21+Table234535910[[#This Row],[AMOUNT]]-Table234535910[[#This Row],[AMOUNT2]]-Table234535910[[#This Row],[AMOUNT3]]</f>
        <v>11980</v>
      </c>
      <c r="K22" s="125"/>
    </row>
    <row r="23" spans="1:11" x14ac:dyDescent="0.35">
      <c r="A23" s="29" t="s">
        <v>802</v>
      </c>
      <c r="B23" s="113"/>
      <c r="C23" s="113"/>
      <c r="D23" s="113" t="s">
        <v>166</v>
      </c>
      <c r="E23" s="113" t="s">
        <v>0</v>
      </c>
      <c r="F23" s="96" t="s">
        <v>810</v>
      </c>
      <c r="G23" s="107">
        <v>80</v>
      </c>
      <c r="H23" s="8"/>
      <c r="I23" s="8"/>
      <c r="J23" s="8">
        <f>J22+Table234535910[[#This Row],[AMOUNT]]-Table234535910[[#This Row],[AMOUNT2]]-Table234535910[[#This Row],[AMOUNT3]]</f>
        <v>11900</v>
      </c>
      <c r="K23" s="125"/>
    </row>
    <row r="24" spans="1:11" x14ac:dyDescent="0.35">
      <c r="A24" s="29" t="s">
        <v>802</v>
      </c>
      <c r="B24" s="8"/>
      <c r="C24" s="8"/>
      <c r="D24" s="8" t="s">
        <v>166</v>
      </c>
      <c r="E24" s="8" t="s">
        <v>30</v>
      </c>
      <c r="F24" s="9" t="s">
        <v>811</v>
      </c>
      <c r="G24" s="13">
        <v>350</v>
      </c>
      <c r="H24" s="8"/>
      <c r="I24" s="8"/>
      <c r="J24" s="8">
        <f>J23+Table234535910[[#This Row],[AMOUNT]]-Table234535910[[#This Row],[AMOUNT2]]-Table234535910[[#This Row],[AMOUNT3]]</f>
        <v>11550</v>
      </c>
      <c r="K24" s="125"/>
    </row>
    <row r="25" spans="1:11" x14ac:dyDescent="0.35">
      <c r="A25" s="29" t="s">
        <v>842</v>
      </c>
      <c r="B25" s="8"/>
      <c r="C25" s="8"/>
      <c r="D25" s="8" t="s">
        <v>166</v>
      </c>
      <c r="E25" s="8" t="s">
        <v>2</v>
      </c>
      <c r="F25" s="9" t="s">
        <v>843</v>
      </c>
      <c r="G25" s="13">
        <v>4800</v>
      </c>
      <c r="H25" s="8"/>
      <c r="I25" s="8"/>
      <c r="J25" s="8">
        <f>J24+Table234535910[[#This Row],[AMOUNT]]-Table234535910[[#This Row],[AMOUNT2]]-Table234535910[[#This Row],[AMOUNT3]]</f>
        <v>6750</v>
      </c>
      <c r="K25" s="125"/>
    </row>
    <row r="26" spans="1:11" x14ac:dyDescent="0.35">
      <c r="A26" s="29" t="s">
        <v>842</v>
      </c>
      <c r="B26" s="8"/>
      <c r="C26" s="8"/>
      <c r="D26" s="8" t="s">
        <v>166</v>
      </c>
      <c r="E26" s="8" t="s">
        <v>749</v>
      </c>
      <c r="F26" s="9" t="s">
        <v>1</v>
      </c>
      <c r="G26" s="13">
        <v>250</v>
      </c>
      <c r="H26" s="8"/>
      <c r="I26" s="8"/>
      <c r="J26" s="8">
        <f>J25+Table234535910[[#This Row],[AMOUNT]]-Table234535910[[#This Row],[AMOUNT2]]-Table234535910[[#This Row],[AMOUNT3]]</f>
        <v>6500</v>
      </c>
      <c r="K26" s="125"/>
    </row>
    <row r="27" spans="1:11" x14ac:dyDescent="0.35">
      <c r="A27" s="29" t="s">
        <v>844</v>
      </c>
      <c r="B27" s="8"/>
      <c r="C27" s="8"/>
      <c r="D27" s="8" t="s">
        <v>166</v>
      </c>
      <c r="E27" s="8" t="s">
        <v>16</v>
      </c>
      <c r="F27" s="9" t="s">
        <v>845</v>
      </c>
      <c r="G27" s="13">
        <v>2400</v>
      </c>
      <c r="H27" s="8"/>
      <c r="I27" s="8"/>
      <c r="J27" s="8">
        <f>J26+Table234535910[[#This Row],[AMOUNT]]-Table234535910[[#This Row],[AMOUNT2]]-Table234535910[[#This Row],[AMOUNT3]]</f>
        <v>4100</v>
      </c>
      <c r="K27" s="125"/>
    </row>
    <row r="28" spans="1:11" x14ac:dyDescent="0.35">
      <c r="A28" s="29" t="s">
        <v>844</v>
      </c>
      <c r="B28" s="8"/>
      <c r="C28" s="8"/>
      <c r="D28" s="8" t="s">
        <v>166</v>
      </c>
      <c r="E28" s="8" t="s">
        <v>2</v>
      </c>
      <c r="F28" s="9" t="s">
        <v>843</v>
      </c>
      <c r="G28" s="13">
        <v>4800</v>
      </c>
      <c r="H28" s="8"/>
      <c r="I28" s="8"/>
      <c r="J28" s="8">
        <f>J27+Table234535910[[#This Row],[AMOUNT]]-Table234535910[[#This Row],[AMOUNT2]]-Table234535910[[#This Row],[AMOUNT3]]</f>
        <v>-700</v>
      </c>
      <c r="K28" s="125"/>
    </row>
    <row r="29" spans="1:11" x14ac:dyDescent="0.35">
      <c r="A29" s="29" t="s">
        <v>844</v>
      </c>
      <c r="B29" s="8"/>
      <c r="C29" s="8"/>
      <c r="D29" s="8" t="s">
        <v>166</v>
      </c>
      <c r="E29" s="8" t="s">
        <v>749</v>
      </c>
      <c r="F29" s="9" t="s">
        <v>1</v>
      </c>
      <c r="G29" s="13">
        <v>100</v>
      </c>
      <c r="H29" s="8"/>
      <c r="I29" s="8"/>
      <c r="J29" s="8">
        <f>J28+Table234535910[[#This Row],[AMOUNT]]-Table234535910[[#This Row],[AMOUNT2]]-Table234535910[[#This Row],[AMOUNT3]]</f>
        <v>-800</v>
      </c>
      <c r="K29" s="125"/>
    </row>
    <row r="30" spans="1:11" x14ac:dyDescent="0.35">
      <c r="A30" s="29" t="s">
        <v>846</v>
      </c>
      <c r="B30" s="8"/>
      <c r="C30" s="8"/>
      <c r="D30" s="8" t="s">
        <v>166</v>
      </c>
      <c r="E30" s="8" t="s">
        <v>2</v>
      </c>
      <c r="F30" s="9" t="s">
        <v>847</v>
      </c>
      <c r="G30" s="13">
        <v>4000</v>
      </c>
      <c r="H30" s="8"/>
      <c r="I30" s="8"/>
      <c r="J30" s="8">
        <f>J29+Table234535910[[#This Row],[AMOUNT]]-Table234535910[[#This Row],[AMOUNT2]]-Table234535910[[#This Row],[AMOUNT3]]</f>
        <v>-4800</v>
      </c>
      <c r="K30" s="125"/>
    </row>
    <row r="31" spans="1:11" x14ac:dyDescent="0.35">
      <c r="A31" s="29" t="s">
        <v>846</v>
      </c>
      <c r="B31" s="8"/>
      <c r="C31" s="8"/>
      <c r="D31" s="8" t="s">
        <v>166</v>
      </c>
      <c r="E31" s="8" t="s">
        <v>749</v>
      </c>
      <c r="F31" s="9" t="s">
        <v>1</v>
      </c>
      <c r="G31" s="13">
        <v>200</v>
      </c>
      <c r="H31" s="8"/>
      <c r="I31" s="8"/>
      <c r="J31" s="8">
        <f>J30+Table234535910[[#This Row],[AMOUNT]]-Table234535910[[#This Row],[AMOUNT2]]-Table234535910[[#This Row],[AMOUNT3]]</f>
        <v>-5000</v>
      </c>
      <c r="K31" s="125"/>
    </row>
    <row r="32" spans="1:11" x14ac:dyDescent="0.35">
      <c r="A32" s="29" t="s">
        <v>846</v>
      </c>
      <c r="B32" s="8"/>
      <c r="C32" s="8"/>
      <c r="D32" s="8" t="s">
        <v>166</v>
      </c>
      <c r="E32" s="8" t="s">
        <v>17</v>
      </c>
      <c r="F32" s="9" t="s">
        <v>848</v>
      </c>
      <c r="G32" s="13">
        <v>450</v>
      </c>
      <c r="H32" s="8"/>
      <c r="I32" s="8"/>
      <c r="J32" s="8">
        <f>J31+Table234535910[[#This Row],[AMOUNT]]-Table234535910[[#This Row],[AMOUNT2]]-Table234535910[[#This Row],[AMOUNT3]]</f>
        <v>-5450</v>
      </c>
      <c r="K32" s="125"/>
    </row>
    <row r="33" spans="1:11" x14ac:dyDescent="0.35">
      <c r="A33" s="29" t="s">
        <v>849</v>
      </c>
      <c r="B33" s="8" t="s">
        <v>18</v>
      </c>
      <c r="C33" s="23">
        <v>10000</v>
      </c>
      <c r="D33" s="8" t="s">
        <v>166</v>
      </c>
      <c r="E33" s="8" t="s">
        <v>2</v>
      </c>
      <c r="F33" s="9" t="s">
        <v>847</v>
      </c>
      <c r="G33" s="13">
        <v>4000</v>
      </c>
      <c r="H33" s="8"/>
      <c r="I33" s="8"/>
      <c r="J33" s="8">
        <f>J32+Table234535910[[#This Row],[AMOUNT]]-Table234535910[[#This Row],[AMOUNT2]]-Table234535910[[#This Row],[AMOUNT3]]</f>
        <v>550</v>
      </c>
      <c r="K33" s="125"/>
    </row>
    <row r="34" spans="1:11" x14ac:dyDescent="0.35">
      <c r="A34" s="29" t="s">
        <v>849</v>
      </c>
      <c r="B34" s="8"/>
      <c r="C34" s="8"/>
      <c r="D34" s="8" t="s">
        <v>166</v>
      </c>
      <c r="E34" s="8" t="s">
        <v>749</v>
      </c>
      <c r="F34" s="9" t="s">
        <v>1</v>
      </c>
      <c r="G34" s="13">
        <v>200</v>
      </c>
      <c r="H34" s="8"/>
      <c r="I34" s="8"/>
      <c r="J34" s="8">
        <f>J33+Table234535910[[#This Row],[AMOUNT]]-Table234535910[[#This Row],[AMOUNT2]]-Table234535910[[#This Row],[AMOUNT3]]</f>
        <v>350</v>
      </c>
      <c r="K34" s="125"/>
    </row>
    <row r="35" spans="1:11" x14ac:dyDescent="0.35">
      <c r="A35" s="29" t="s">
        <v>881</v>
      </c>
      <c r="B35" s="8"/>
      <c r="C35" s="8"/>
      <c r="D35" s="8" t="s">
        <v>166</v>
      </c>
      <c r="E35" s="8" t="s">
        <v>749</v>
      </c>
      <c r="F35" s="9" t="s">
        <v>1</v>
      </c>
      <c r="G35" s="13">
        <v>100</v>
      </c>
      <c r="H35" s="8"/>
      <c r="I35" s="8"/>
      <c r="J35" s="8">
        <f>J34+Table234535910[[#This Row],[AMOUNT]]-Table234535910[[#This Row],[AMOUNT2]]-Table234535910[[#This Row],[AMOUNT3]]</f>
        <v>250</v>
      </c>
      <c r="K35" s="125"/>
    </row>
    <row r="36" spans="1:11" x14ac:dyDescent="0.35">
      <c r="A36" s="29" t="s">
        <v>881</v>
      </c>
      <c r="B36" s="8"/>
      <c r="C36" s="8"/>
      <c r="D36" s="8" t="s">
        <v>166</v>
      </c>
      <c r="E36" s="8" t="s">
        <v>2</v>
      </c>
      <c r="F36" s="9" t="s">
        <v>262</v>
      </c>
      <c r="G36" s="13">
        <v>2400</v>
      </c>
      <c r="H36" s="8"/>
      <c r="I36" s="8"/>
      <c r="J36" s="8">
        <f>J35+Table234535910[[#This Row],[AMOUNT]]-Table234535910[[#This Row],[AMOUNT2]]-Table234535910[[#This Row],[AMOUNT3]]</f>
        <v>-2150</v>
      </c>
      <c r="K36" s="125"/>
    </row>
    <row r="37" spans="1:11" x14ac:dyDescent="0.35">
      <c r="A37" s="29" t="s">
        <v>882</v>
      </c>
      <c r="B37" s="8" t="s">
        <v>18</v>
      </c>
      <c r="C37" s="23">
        <v>10000</v>
      </c>
      <c r="D37" s="8" t="s">
        <v>166</v>
      </c>
      <c r="E37" s="8" t="s">
        <v>749</v>
      </c>
      <c r="F37" s="9" t="s">
        <v>1</v>
      </c>
      <c r="G37" s="13">
        <v>100</v>
      </c>
      <c r="H37" s="8"/>
      <c r="I37" s="8"/>
      <c r="J37" s="8">
        <f>J36+Table234535910[[#This Row],[AMOUNT]]-Table234535910[[#This Row],[AMOUNT2]]-Table234535910[[#This Row],[AMOUNT3]]</f>
        <v>7750</v>
      </c>
      <c r="K37" s="125"/>
    </row>
    <row r="38" spans="1:11" x14ac:dyDescent="0.35">
      <c r="A38" s="29" t="s">
        <v>884</v>
      </c>
      <c r="B38" s="8"/>
      <c r="C38" s="8"/>
      <c r="D38" s="8" t="s">
        <v>166</v>
      </c>
      <c r="E38" s="8" t="s">
        <v>2</v>
      </c>
      <c r="F38" s="9" t="s">
        <v>913</v>
      </c>
      <c r="G38" s="13">
        <v>1800</v>
      </c>
      <c r="H38" s="8"/>
      <c r="I38" s="8"/>
      <c r="J38" s="8">
        <f>J37+Table234535910[[#This Row],[AMOUNT]]-Table234535910[[#This Row],[AMOUNT2]]-Table234535910[[#This Row],[AMOUNT3]]</f>
        <v>5950</v>
      </c>
      <c r="K38" s="125"/>
    </row>
    <row r="39" spans="1:11" x14ac:dyDescent="0.35">
      <c r="A39" s="29" t="s">
        <v>884</v>
      </c>
      <c r="B39" s="8"/>
      <c r="C39" s="8"/>
      <c r="D39" s="8" t="s">
        <v>166</v>
      </c>
      <c r="E39" s="8" t="s">
        <v>2</v>
      </c>
      <c r="F39" s="9" t="s">
        <v>914</v>
      </c>
      <c r="G39" s="13">
        <v>1350</v>
      </c>
      <c r="H39" s="8"/>
      <c r="I39" s="8"/>
      <c r="J39" s="8">
        <f>J38+Table234535910[[#This Row],[AMOUNT]]-Table234535910[[#This Row],[AMOUNT2]]-Table234535910[[#This Row],[AMOUNT3]]</f>
        <v>4600</v>
      </c>
      <c r="K39" s="125"/>
    </row>
    <row r="40" spans="1:11" x14ac:dyDescent="0.35">
      <c r="A40" s="29" t="s">
        <v>884</v>
      </c>
      <c r="B40" s="8"/>
      <c r="C40" s="8"/>
      <c r="D40" s="8" t="s">
        <v>166</v>
      </c>
      <c r="E40" s="8" t="s">
        <v>16</v>
      </c>
      <c r="F40" s="9" t="s">
        <v>915</v>
      </c>
      <c r="G40" s="13">
        <v>1050</v>
      </c>
      <c r="H40" s="8"/>
      <c r="I40" s="8"/>
      <c r="J40" s="8">
        <f>J39+Table234535910[[#This Row],[AMOUNT]]-Table234535910[[#This Row],[AMOUNT2]]-Table234535910[[#This Row],[AMOUNT3]]</f>
        <v>3550</v>
      </c>
      <c r="K40" s="125"/>
    </row>
    <row r="41" spans="1:11" x14ac:dyDescent="0.35">
      <c r="A41" s="29" t="s">
        <v>884</v>
      </c>
      <c r="B41" s="8"/>
      <c r="C41" s="8"/>
      <c r="D41" s="8" t="s">
        <v>166</v>
      </c>
      <c r="E41" s="8" t="s">
        <v>749</v>
      </c>
      <c r="F41" s="9" t="s">
        <v>1</v>
      </c>
      <c r="G41" s="13">
        <v>100</v>
      </c>
      <c r="H41" s="8"/>
      <c r="I41" s="8"/>
      <c r="J41" s="8">
        <f>J40+Table234535910[[#This Row],[AMOUNT]]-Table234535910[[#This Row],[AMOUNT2]]-Table234535910[[#This Row],[AMOUNT3]]</f>
        <v>3450</v>
      </c>
      <c r="K41" s="125"/>
    </row>
    <row r="42" spans="1:11" x14ac:dyDescent="0.35">
      <c r="A42" s="29" t="s">
        <v>885</v>
      </c>
      <c r="B42" s="8"/>
      <c r="C42" s="8"/>
      <c r="D42" s="8" t="s">
        <v>166</v>
      </c>
      <c r="E42" s="8" t="s">
        <v>2</v>
      </c>
      <c r="F42" s="9" t="s">
        <v>285</v>
      </c>
      <c r="G42" s="13">
        <v>1600</v>
      </c>
      <c r="H42" s="8"/>
      <c r="I42" s="8"/>
      <c r="J42" s="8">
        <f>J41+Table234535910[[#This Row],[AMOUNT]]-Table234535910[[#This Row],[AMOUNT2]]-Table234535910[[#This Row],[AMOUNT3]]</f>
        <v>1850</v>
      </c>
      <c r="K42" s="125"/>
    </row>
    <row r="43" spans="1:11" x14ac:dyDescent="0.35">
      <c r="A43" s="29" t="s">
        <v>885</v>
      </c>
      <c r="B43" s="8"/>
      <c r="C43" s="8"/>
      <c r="D43" s="8" t="s">
        <v>166</v>
      </c>
      <c r="E43" s="8" t="s">
        <v>16</v>
      </c>
      <c r="F43" s="9" t="s">
        <v>631</v>
      </c>
      <c r="G43" s="13">
        <v>1150</v>
      </c>
      <c r="H43" s="8"/>
      <c r="I43" s="8"/>
      <c r="J43" s="8">
        <f>J42+Table234535910[[#This Row],[AMOUNT]]-Table234535910[[#This Row],[AMOUNT2]]-Table234535910[[#This Row],[AMOUNT3]]</f>
        <v>700</v>
      </c>
      <c r="K43" s="125"/>
    </row>
    <row r="44" spans="1:11" x14ac:dyDescent="0.35">
      <c r="A44" s="29" t="s">
        <v>885</v>
      </c>
      <c r="B44" s="8"/>
      <c r="C44" s="8"/>
      <c r="D44" s="8" t="s">
        <v>166</v>
      </c>
      <c r="E44" s="8" t="s">
        <v>2</v>
      </c>
      <c r="F44" s="9" t="s">
        <v>916</v>
      </c>
      <c r="G44" s="13">
        <v>1800</v>
      </c>
      <c r="H44" s="8"/>
      <c r="I44" s="8"/>
      <c r="J44" s="8">
        <f>J43+Table234535910[[#This Row],[AMOUNT]]-Table234535910[[#This Row],[AMOUNT2]]-Table234535910[[#This Row],[AMOUNT3]]</f>
        <v>-1100</v>
      </c>
      <c r="K44" s="125"/>
    </row>
    <row r="45" spans="1:11" x14ac:dyDescent="0.35">
      <c r="A45" s="29" t="s">
        <v>885</v>
      </c>
      <c r="B45" s="8"/>
      <c r="C45" s="8"/>
      <c r="D45" s="8" t="s">
        <v>166</v>
      </c>
      <c r="E45" s="8" t="s">
        <v>749</v>
      </c>
      <c r="F45" s="9" t="s">
        <v>1</v>
      </c>
      <c r="G45" s="13">
        <v>100</v>
      </c>
      <c r="H45" s="8"/>
      <c r="I45" s="8"/>
      <c r="J45" s="8">
        <f>J44+Table234535910[[#This Row],[AMOUNT]]-Table234535910[[#This Row],[AMOUNT2]]-Table234535910[[#This Row],[AMOUNT3]]</f>
        <v>-1200</v>
      </c>
      <c r="K45" s="125"/>
    </row>
    <row r="46" spans="1:11" x14ac:dyDescent="0.35">
      <c r="A46" s="29" t="s">
        <v>917</v>
      </c>
      <c r="B46" s="8"/>
      <c r="C46" s="8"/>
      <c r="D46" s="8" t="s">
        <v>166</v>
      </c>
      <c r="E46" s="8" t="s">
        <v>749</v>
      </c>
      <c r="F46" s="9" t="s">
        <v>1</v>
      </c>
      <c r="G46" s="13">
        <v>100</v>
      </c>
      <c r="H46" s="8"/>
      <c r="I46" s="8"/>
      <c r="J46" s="8">
        <f>J45+Table234535910[[#This Row],[AMOUNT]]-Table234535910[[#This Row],[AMOUNT2]]-Table234535910[[#This Row],[AMOUNT3]]</f>
        <v>-1300</v>
      </c>
      <c r="K46" s="125"/>
    </row>
    <row r="47" spans="1:11" x14ac:dyDescent="0.35">
      <c r="A47" s="29" t="s">
        <v>917</v>
      </c>
      <c r="B47" s="8"/>
      <c r="C47" s="8"/>
      <c r="D47" s="8" t="s">
        <v>166</v>
      </c>
      <c r="E47" s="8" t="s">
        <v>918</v>
      </c>
      <c r="F47" s="9" t="s">
        <v>919</v>
      </c>
      <c r="G47" s="13">
        <v>150</v>
      </c>
      <c r="H47" s="8"/>
      <c r="I47" s="8"/>
      <c r="J47" s="8">
        <f>J46+Table234535910[[#This Row],[AMOUNT]]-Table234535910[[#This Row],[AMOUNT2]]-Table234535910[[#This Row],[AMOUNT3]]</f>
        <v>-1450</v>
      </c>
      <c r="K47" s="125"/>
    </row>
    <row r="48" spans="1:11" x14ac:dyDescent="0.35">
      <c r="A48" s="29" t="s">
        <v>920</v>
      </c>
      <c r="B48" s="8"/>
      <c r="C48" s="8"/>
      <c r="D48" s="8" t="s">
        <v>166</v>
      </c>
      <c r="E48" s="8" t="s">
        <v>749</v>
      </c>
      <c r="F48" s="9" t="s">
        <v>1</v>
      </c>
      <c r="G48" s="13">
        <v>150</v>
      </c>
      <c r="H48" s="8"/>
      <c r="I48" s="8"/>
      <c r="J48" s="8">
        <f>J47+Table234535910[[#This Row],[AMOUNT]]-Table234535910[[#This Row],[AMOUNT2]]-Table234535910[[#This Row],[AMOUNT3]]</f>
        <v>-1600</v>
      </c>
      <c r="K48" s="125"/>
    </row>
    <row r="49" spans="1:11" x14ac:dyDescent="0.35">
      <c r="A49" s="29" t="s">
        <v>920</v>
      </c>
      <c r="B49" s="8"/>
      <c r="C49" s="8"/>
      <c r="D49" s="8" t="s">
        <v>166</v>
      </c>
      <c r="E49" s="8" t="s">
        <v>2</v>
      </c>
      <c r="F49" s="9" t="s">
        <v>500</v>
      </c>
      <c r="G49" s="13">
        <v>1600</v>
      </c>
      <c r="H49" s="8"/>
      <c r="I49" s="8"/>
      <c r="J49" s="8">
        <f>J48+Table234535910[[#This Row],[AMOUNT]]-Table234535910[[#This Row],[AMOUNT2]]-Table234535910[[#This Row],[AMOUNT3]]</f>
        <v>-3200</v>
      </c>
      <c r="K49" s="125"/>
    </row>
    <row r="50" spans="1:11" x14ac:dyDescent="0.35">
      <c r="A50" s="29" t="s">
        <v>921</v>
      </c>
      <c r="B50" s="8" t="s">
        <v>18</v>
      </c>
      <c r="C50" s="23">
        <v>10000</v>
      </c>
      <c r="D50" s="8" t="s">
        <v>166</v>
      </c>
      <c r="E50" s="8" t="s">
        <v>749</v>
      </c>
      <c r="F50" s="9" t="s">
        <v>1</v>
      </c>
      <c r="G50" s="13">
        <v>150</v>
      </c>
      <c r="H50" s="8"/>
      <c r="I50" s="8"/>
      <c r="J50" s="8">
        <f>J49+Table234535910[[#This Row],[AMOUNT]]-Table234535910[[#This Row],[AMOUNT2]]-Table234535910[[#This Row],[AMOUNT3]]</f>
        <v>6650</v>
      </c>
      <c r="K50" s="125"/>
    </row>
    <row r="51" spans="1:11" x14ac:dyDescent="0.35">
      <c r="A51" s="29" t="s">
        <v>921</v>
      </c>
      <c r="B51" s="8"/>
      <c r="C51" s="8"/>
      <c r="D51" s="8" t="s">
        <v>166</v>
      </c>
      <c r="E51" s="8" t="s">
        <v>918</v>
      </c>
      <c r="F51" s="9" t="s">
        <v>922</v>
      </c>
      <c r="G51" s="13">
        <v>130</v>
      </c>
      <c r="H51" s="8"/>
      <c r="I51" s="8"/>
      <c r="J51" s="8">
        <f>J50+Table234535910[[#This Row],[AMOUNT]]-Table234535910[[#This Row],[AMOUNT2]]-Table234535910[[#This Row],[AMOUNT3]]</f>
        <v>6520</v>
      </c>
      <c r="K51" s="125"/>
    </row>
    <row r="52" spans="1:11" x14ac:dyDescent="0.35">
      <c r="A52" s="29" t="s">
        <v>921</v>
      </c>
      <c r="B52" s="8"/>
      <c r="C52" s="8"/>
      <c r="D52" s="8" t="s">
        <v>166</v>
      </c>
      <c r="E52" s="8" t="s">
        <v>2</v>
      </c>
      <c r="F52" s="9" t="s">
        <v>285</v>
      </c>
      <c r="G52" s="13">
        <v>1600</v>
      </c>
      <c r="H52" s="8"/>
      <c r="I52" s="8"/>
      <c r="J52" s="8">
        <f>J51+Table234535910[[#This Row],[AMOUNT]]-Table234535910[[#This Row],[AMOUNT2]]-Table234535910[[#This Row],[AMOUNT3]]</f>
        <v>4920</v>
      </c>
      <c r="K52" s="125"/>
    </row>
    <row r="53" spans="1:11" x14ac:dyDescent="0.35">
      <c r="A53" s="29" t="s">
        <v>921</v>
      </c>
      <c r="B53" s="8"/>
      <c r="C53" s="8"/>
      <c r="D53" s="8" t="s">
        <v>166</v>
      </c>
      <c r="E53" s="8" t="s">
        <v>16</v>
      </c>
      <c r="F53" s="9" t="s">
        <v>631</v>
      </c>
      <c r="G53" s="13">
        <v>1150</v>
      </c>
      <c r="H53" s="8"/>
      <c r="I53" s="8"/>
      <c r="J53" s="8">
        <f>J52+Table234535910[[#This Row],[AMOUNT]]-Table234535910[[#This Row],[AMOUNT2]]-Table234535910[[#This Row],[AMOUNT3]]</f>
        <v>3770</v>
      </c>
      <c r="K53" s="125"/>
    </row>
    <row r="54" spans="1:11" x14ac:dyDescent="0.35">
      <c r="A54" s="29" t="s">
        <v>941</v>
      </c>
      <c r="B54" s="8"/>
      <c r="C54" s="8"/>
      <c r="D54" s="8" t="s">
        <v>166</v>
      </c>
      <c r="E54" s="8" t="s">
        <v>2</v>
      </c>
      <c r="F54" s="9" t="s">
        <v>285</v>
      </c>
      <c r="G54" s="13">
        <v>1600</v>
      </c>
      <c r="H54" s="8"/>
      <c r="I54" s="8"/>
      <c r="J54" s="8">
        <f>J53+Table234535910[[#This Row],[AMOUNT]]-Table234535910[[#This Row],[AMOUNT2]]-Table234535910[[#This Row],[AMOUNT3]]</f>
        <v>2170</v>
      </c>
      <c r="K54" s="125"/>
    </row>
    <row r="55" spans="1:11" x14ac:dyDescent="0.35">
      <c r="A55" s="29" t="s">
        <v>941</v>
      </c>
      <c r="B55" s="8"/>
      <c r="C55" s="8"/>
      <c r="D55" s="8" t="s">
        <v>166</v>
      </c>
      <c r="E55" s="8" t="s">
        <v>16</v>
      </c>
      <c r="F55" s="9" t="s">
        <v>631</v>
      </c>
      <c r="G55" s="13">
        <v>1150</v>
      </c>
      <c r="H55" s="8"/>
      <c r="I55" s="8"/>
      <c r="J55" s="8">
        <f>J54+Table234535910[[#This Row],[AMOUNT]]-Table234535910[[#This Row],[AMOUNT2]]-Table234535910[[#This Row],[AMOUNT3]]</f>
        <v>1020</v>
      </c>
      <c r="K55" s="125"/>
    </row>
    <row r="56" spans="1:11" x14ac:dyDescent="0.35">
      <c r="A56" s="29" t="s">
        <v>941</v>
      </c>
      <c r="B56" s="8"/>
      <c r="C56" s="8"/>
      <c r="D56" s="8" t="s">
        <v>166</v>
      </c>
      <c r="E56" s="8" t="s">
        <v>749</v>
      </c>
      <c r="F56" s="9" t="s">
        <v>793</v>
      </c>
      <c r="G56" s="13">
        <v>150</v>
      </c>
      <c r="H56" s="8"/>
      <c r="I56" s="8"/>
      <c r="J56" s="8">
        <f>J55+Table234535910[[#This Row],[AMOUNT]]-Table234535910[[#This Row],[AMOUNT2]]-Table234535910[[#This Row],[AMOUNT3]]</f>
        <v>870</v>
      </c>
      <c r="K56" s="125"/>
    </row>
    <row r="57" spans="1:11" x14ac:dyDescent="0.35">
      <c r="A57" s="29" t="s">
        <v>942</v>
      </c>
      <c r="B57" s="8"/>
      <c r="C57" s="8"/>
      <c r="D57" s="8" t="s">
        <v>166</v>
      </c>
      <c r="E57" s="8" t="s">
        <v>2</v>
      </c>
      <c r="F57" s="9" t="s">
        <v>285</v>
      </c>
      <c r="G57" s="13">
        <v>1600</v>
      </c>
      <c r="H57" s="8"/>
      <c r="I57" s="8"/>
      <c r="J57" s="8">
        <f>J56+Table234535910[[#This Row],[AMOUNT]]-Table234535910[[#This Row],[AMOUNT2]]-Table234535910[[#This Row],[AMOUNT3]]</f>
        <v>-730</v>
      </c>
      <c r="K57" s="125"/>
    </row>
    <row r="58" spans="1:11" x14ac:dyDescent="0.35">
      <c r="A58" s="29" t="s">
        <v>942</v>
      </c>
      <c r="B58" s="8"/>
      <c r="C58" s="8"/>
      <c r="D58" s="8" t="s">
        <v>166</v>
      </c>
      <c r="E58" s="8" t="s">
        <v>16</v>
      </c>
      <c r="F58" s="9" t="s">
        <v>631</v>
      </c>
      <c r="G58" s="13">
        <v>1150</v>
      </c>
      <c r="H58" s="8"/>
      <c r="I58" s="8"/>
      <c r="J58" s="8">
        <f>J57+Table234535910[[#This Row],[AMOUNT]]-Table234535910[[#This Row],[AMOUNT2]]-Table234535910[[#This Row],[AMOUNT3]]</f>
        <v>-1880</v>
      </c>
      <c r="K58" s="125"/>
    </row>
    <row r="59" spans="1:11" x14ac:dyDescent="0.35">
      <c r="A59" s="29" t="s">
        <v>942</v>
      </c>
      <c r="B59" s="8"/>
      <c r="C59" s="8"/>
      <c r="D59" s="8" t="s">
        <v>166</v>
      </c>
      <c r="E59" s="8" t="s">
        <v>749</v>
      </c>
      <c r="F59" s="9" t="s">
        <v>1</v>
      </c>
      <c r="G59" s="13">
        <v>150</v>
      </c>
      <c r="H59" s="8"/>
      <c r="I59" s="8"/>
      <c r="J59" s="8">
        <f>J58+Table234535910[[#This Row],[AMOUNT]]-Table234535910[[#This Row],[AMOUNT2]]-Table234535910[[#This Row],[AMOUNT3]]</f>
        <v>-2030</v>
      </c>
      <c r="K59" s="125"/>
    </row>
    <row r="60" spans="1:11" x14ac:dyDescent="0.35">
      <c r="A60" s="29" t="s">
        <v>943</v>
      </c>
      <c r="B60" s="8" t="s">
        <v>18</v>
      </c>
      <c r="C60" s="8">
        <v>10000</v>
      </c>
      <c r="D60" s="8" t="s">
        <v>166</v>
      </c>
      <c r="E60" s="8" t="s">
        <v>2</v>
      </c>
      <c r="F60" s="9" t="s">
        <v>285</v>
      </c>
      <c r="G60" s="13">
        <v>1600</v>
      </c>
      <c r="H60" s="8"/>
      <c r="I60" s="8"/>
      <c r="J60" s="8">
        <f>J59+Table234535910[[#This Row],[AMOUNT]]-Table234535910[[#This Row],[AMOUNT2]]-Table234535910[[#This Row],[AMOUNT3]]</f>
        <v>6370</v>
      </c>
      <c r="K60" s="125"/>
    </row>
    <row r="61" spans="1:11" x14ac:dyDescent="0.35">
      <c r="A61" s="29" t="s">
        <v>943</v>
      </c>
      <c r="B61" s="8"/>
      <c r="C61" s="8"/>
      <c r="D61" s="8" t="s">
        <v>166</v>
      </c>
      <c r="E61" s="8" t="s">
        <v>16</v>
      </c>
      <c r="F61" s="9" t="s">
        <v>631</v>
      </c>
      <c r="G61" s="13">
        <v>1150</v>
      </c>
      <c r="H61" s="8"/>
      <c r="I61" s="8"/>
      <c r="J61" s="8">
        <f>J60+Table234535910[[#This Row],[AMOUNT]]-Table234535910[[#This Row],[AMOUNT2]]-Table234535910[[#This Row],[AMOUNT3]]</f>
        <v>5220</v>
      </c>
      <c r="K61" s="125"/>
    </row>
    <row r="62" spans="1:11" x14ac:dyDescent="0.35">
      <c r="A62" s="29" t="s">
        <v>943</v>
      </c>
      <c r="B62" s="8"/>
      <c r="C62" s="8"/>
      <c r="D62" s="8" t="s">
        <v>166</v>
      </c>
      <c r="E62" s="8" t="s">
        <v>749</v>
      </c>
      <c r="F62" s="9" t="s">
        <v>1</v>
      </c>
      <c r="G62" s="13">
        <v>150</v>
      </c>
      <c r="H62" s="8"/>
      <c r="I62" s="8"/>
      <c r="J62" s="8">
        <f>J61+Table234535910[[#This Row],[AMOUNT]]-Table234535910[[#This Row],[AMOUNT2]]-Table234535910[[#This Row],[AMOUNT3]]</f>
        <v>5070</v>
      </c>
      <c r="K62" s="125"/>
    </row>
    <row r="63" spans="1:11" x14ac:dyDescent="0.35">
      <c r="A63" s="29" t="s">
        <v>944</v>
      </c>
      <c r="B63" s="8"/>
      <c r="C63" s="8"/>
      <c r="D63" s="8" t="s">
        <v>166</v>
      </c>
      <c r="E63" s="8" t="s">
        <v>2</v>
      </c>
      <c r="F63" s="9" t="s">
        <v>500</v>
      </c>
      <c r="G63" s="13">
        <v>1600</v>
      </c>
      <c r="H63" s="8"/>
      <c r="I63" s="8"/>
      <c r="J63" s="8">
        <f>J62+Table234535910[[#This Row],[AMOUNT]]-Table234535910[[#This Row],[AMOUNT2]]-Table234535910[[#This Row],[AMOUNT3]]</f>
        <v>3470</v>
      </c>
      <c r="K63" s="125"/>
    </row>
    <row r="64" spans="1:11" x14ac:dyDescent="0.35">
      <c r="A64" s="29" t="s">
        <v>944</v>
      </c>
      <c r="B64" s="8"/>
      <c r="C64" s="8"/>
      <c r="D64" s="8" t="s">
        <v>166</v>
      </c>
      <c r="E64" s="8" t="s">
        <v>16</v>
      </c>
      <c r="F64" s="9" t="s">
        <v>631</v>
      </c>
      <c r="G64" s="13">
        <v>1150</v>
      </c>
      <c r="H64" s="8"/>
      <c r="I64" s="8"/>
      <c r="J64" s="8">
        <f>J63+Table234535910[[#This Row],[AMOUNT]]-Table234535910[[#This Row],[AMOUNT2]]-Table234535910[[#This Row],[AMOUNT3]]</f>
        <v>2320</v>
      </c>
      <c r="K64" s="125"/>
    </row>
    <row r="65" spans="1:11" x14ac:dyDescent="0.35">
      <c r="A65" s="29" t="s">
        <v>944</v>
      </c>
      <c r="B65" s="8"/>
      <c r="C65" s="8"/>
      <c r="D65" s="8" t="s">
        <v>166</v>
      </c>
      <c r="E65" s="8" t="s">
        <v>749</v>
      </c>
      <c r="F65" s="9" t="s">
        <v>1</v>
      </c>
      <c r="G65" s="13">
        <v>250</v>
      </c>
      <c r="H65" s="8"/>
      <c r="I65" s="8"/>
      <c r="J65" s="8">
        <f>J64+Table234535910[[#This Row],[AMOUNT]]-Table234535910[[#This Row],[AMOUNT2]]-Table234535910[[#This Row],[AMOUNT3]]</f>
        <v>2070</v>
      </c>
      <c r="K65" s="125"/>
    </row>
    <row r="66" spans="1:11" x14ac:dyDescent="0.35">
      <c r="A66" s="29" t="s">
        <v>944</v>
      </c>
      <c r="B66" s="8"/>
      <c r="C66" s="8"/>
      <c r="D66" s="8" t="s">
        <v>166</v>
      </c>
      <c r="E66" s="8" t="s">
        <v>918</v>
      </c>
      <c r="F66" s="9" t="s">
        <v>945</v>
      </c>
      <c r="G66" s="13">
        <v>300</v>
      </c>
      <c r="H66" s="8"/>
      <c r="I66" s="8"/>
      <c r="J66" s="8">
        <f>J65+Table234535910[[#This Row],[AMOUNT]]-Table234535910[[#This Row],[AMOUNT2]]-Table234535910[[#This Row],[AMOUNT3]]</f>
        <v>1770</v>
      </c>
      <c r="K66" s="125"/>
    </row>
    <row r="67" spans="1:11" x14ac:dyDescent="0.35">
      <c r="A67" s="29" t="s">
        <v>944</v>
      </c>
      <c r="B67" s="8"/>
      <c r="C67" s="8"/>
      <c r="D67" s="8" t="s">
        <v>166</v>
      </c>
      <c r="E67" s="8" t="s">
        <v>918</v>
      </c>
      <c r="F67" s="9" t="s">
        <v>946</v>
      </c>
      <c r="G67" s="13">
        <v>70</v>
      </c>
      <c r="H67" s="8"/>
      <c r="I67" s="8"/>
      <c r="J67" s="8">
        <f>J66+Table234535910[[#This Row],[AMOUNT]]-Table234535910[[#This Row],[AMOUNT2]]-Table234535910[[#This Row],[AMOUNT3]]</f>
        <v>1700</v>
      </c>
      <c r="K67" s="125"/>
    </row>
    <row r="68" spans="1:11" x14ac:dyDescent="0.35">
      <c r="A68" s="29" t="s">
        <v>944</v>
      </c>
      <c r="B68" s="8"/>
      <c r="C68" s="8"/>
      <c r="D68" s="8" t="s">
        <v>166</v>
      </c>
      <c r="E68" s="8" t="s">
        <v>918</v>
      </c>
      <c r="F68" s="9" t="s">
        <v>947</v>
      </c>
      <c r="G68" s="13">
        <v>50</v>
      </c>
      <c r="H68" s="8"/>
      <c r="I68" s="8"/>
      <c r="J68" s="8">
        <f>J67+Table234535910[[#This Row],[AMOUNT]]-Table234535910[[#This Row],[AMOUNT2]]-Table234535910[[#This Row],[AMOUNT3]]</f>
        <v>1650</v>
      </c>
      <c r="K68" s="125"/>
    </row>
    <row r="69" spans="1:11" x14ac:dyDescent="0.35">
      <c r="A69" s="29" t="s">
        <v>948</v>
      </c>
      <c r="B69" s="8"/>
      <c r="C69" s="8"/>
      <c r="D69" s="8" t="s">
        <v>166</v>
      </c>
      <c r="E69" s="8" t="s">
        <v>2</v>
      </c>
      <c r="F69" s="9" t="s">
        <v>500</v>
      </c>
      <c r="G69" s="13">
        <v>1600</v>
      </c>
      <c r="H69" s="8"/>
      <c r="I69" s="8"/>
      <c r="J69" s="8">
        <f>J68+Table234535910[[#This Row],[AMOUNT]]-Table234535910[[#This Row],[AMOUNT2]]-Table234535910[[#This Row],[AMOUNT3]]</f>
        <v>50</v>
      </c>
      <c r="K69" s="125"/>
    </row>
    <row r="70" spans="1:11" x14ac:dyDescent="0.35">
      <c r="A70" s="29" t="s">
        <v>948</v>
      </c>
      <c r="B70" s="8"/>
      <c r="C70" s="8"/>
      <c r="D70" s="8" t="s">
        <v>166</v>
      </c>
      <c r="E70" s="8" t="s">
        <v>749</v>
      </c>
      <c r="F70" s="9" t="s">
        <v>1</v>
      </c>
      <c r="G70" s="13">
        <v>300</v>
      </c>
      <c r="H70" s="8"/>
      <c r="I70" s="8"/>
      <c r="J70" s="8">
        <f>J69+Table234535910[[#This Row],[AMOUNT]]-Table234535910[[#This Row],[AMOUNT2]]-Table234535910[[#This Row],[AMOUNT3]]</f>
        <v>-250</v>
      </c>
      <c r="K70" s="125"/>
    </row>
    <row r="71" spans="1:11" x14ac:dyDescent="0.35">
      <c r="A71" s="29" t="s">
        <v>949</v>
      </c>
      <c r="B71" s="8" t="s">
        <v>18</v>
      </c>
      <c r="C71" s="8">
        <v>10000</v>
      </c>
      <c r="D71" s="8" t="s">
        <v>166</v>
      </c>
      <c r="E71" s="8" t="s">
        <v>2</v>
      </c>
      <c r="F71" s="9" t="s">
        <v>467</v>
      </c>
      <c r="G71" s="13">
        <v>800</v>
      </c>
      <c r="H71" s="8"/>
      <c r="I71" s="8"/>
      <c r="J71" s="8">
        <f>J70+Table234535910[[#This Row],[AMOUNT]]-Table234535910[[#This Row],[AMOUNT2]]-Table234535910[[#This Row],[AMOUNT3]]</f>
        <v>8950</v>
      </c>
      <c r="K71" s="125"/>
    </row>
    <row r="72" spans="1:11" x14ac:dyDescent="0.35">
      <c r="A72" s="29" t="s">
        <v>949</v>
      </c>
      <c r="B72" s="8"/>
      <c r="C72" s="8"/>
      <c r="D72" s="8" t="s">
        <v>166</v>
      </c>
      <c r="E72" s="8" t="s">
        <v>16</v>
      </c>
      <c r="F72" s="9" t="s">
        <v>631</v>
      </c>
      <c r="G72" s="13">
        <v>1150</v>
      </c>
      <c r="H72" s="8"/>
      <c r="I72" s="8"/>
      <c r="J72" s="8">
        <f>J71+Table234535910[[#This Row],[AMOUNT]]-Table234535910[[#This Row],[AMOUNT2]]-Table234535910[[#This Row],[AMOUNT3]]</f>
        <v>7800</v>
      </c>
      <c r="K72" s="125"/>
    </row>
    <row r="73" spans="1:11" x14ac:dyDescent="0.35">
      <c r="A73" s="29" t="s">
        <v>949</v>
      </c>
      <c r="B73" s="8"/>
      <c r="C73" s="8"/>
      <c r="D73" s="8" t="s">
        <v>166</v>
      </c>
      <c r="E73" s="8" t="s">
        <v>749</v>
      </c>
      <c r="F73" s="9" t="s">
        <v>1</v>
      </c>
      <c r="G73" s="13">
        <v>200</v>
      </c>
      <c r="H73" s="8"/>
      <c r="I73" s="8"/>
      <c r="J73" s="8">
        <f>J72+Table234535910[[#This Row],[AMOUNT]]-Table234535910[[#This Row],[AMOUNT2]]-Table234535910[[#This Row],[AMOUNT3]]</f>
        <v>7600</v>
      </c>
      <c r="K73" s="125"/>
    </row>
    <row r="74" spans="1:11" x14ac:dyDescent="0.35">
      <c r="A74" s="29" t="s">
        <v>949</v>
      </c>
      <c r="B74" s="8"/>
      <c r="C74" s="8"/>
      <c r="D74" s="8" t="s">
        <v>166</v>
      </c>
      <c r="E74" s="8" t="s">
        <v>749</v>
      </c>
      <c r="F74" s="9" t="s">
        <v>985</v>
      </c>
      <c r="G74" s="13">
        <v>70</v>
      </c>
      <c r="H74" s="8"/>
      <c r="I74" s="8"/>
      <c r="J74" s="8">
        <f>J73+Table234535910[[#This Row],[AMOUNT]]-Table234535910[[#This Row],[AMOUNT2]]-Table234535910[[#This Row],[AMOUNT3]]</f>
        <v>7530</v>
      </c>
      <c r="K74" s="125"/>
    </row>
    <row r="75" spans="1:11" x14ac:dyDescent="0.35">
      <c r="A75" s="29" t="s">
        <v>949</v>
      </c>
      <c r="B75" s="8"/>
      <c r="C75" s="8"/>
      <c r="D75" s="8" t="s">
        <v>166</v>
      </c>
      <c r="E75" s="8" t="s">
        <v>918</v>
      </c>
      <c r="F75" s="9" t="s">
        <v>986</v>
      </c>
      <c r="G75" s="13">
        <v>860</v>
      </c>
      <c r="H75" s="8"/>
      <c r="I75" s="8"/>
      <c r="J75" s="8">
        <f>J74+Table234535910[[#This Row],[AMOUNT]]-Table234535910[[#This Row],[AMOUNT2]]-Table234535910[[#This Row],[AMOUNT3]]</f>
        <v>6670</v>
      </c>
      <c r="K75" s="125"/>
    </row>
    <row r="76" spans="1:11" x14ac:dyDescent="0.35">
      <c r="A76" s="29" t="s">
        <v>968</v>
      </c>
      <c r="B76" s="8"/>
      <c r="C76" s="8"/>
      <c r="D76" s="8" t="s">
        <v>166</v>
      </c>
      <c r="E76" s="8" t="s">
        <v>749</v>
      </c>
      <c r="F76" s="9" t="s">
        <v>1</v>
      </c>
      <c r="G76" s="13">
        <v>200</v>
      </c>
      <c r="H76" s="8"/>
      <c r="I76" s="8"/>
      <c r="J76" s="8">
        <f>J75+Table234535910[[#This Row],[AMOUNT]]-Table234535910[[#This Row],[AMOUNT2]]-Table234535910[[#This Row],[AMOUNT3]]</f>
        <v>6470</v>
      </c>
      <c r="K76" s="125"/>
    </row>
    <row r="77" spans="1:11" x14ac:dyDescent="0.35">
      <c r="A77" s="29" t="s">
        <v>968</v>
      </c>
      <c r="B77" s="8"/>
      <c r="C77" s="8"/>
      <c r="D77" s="8" t="s">
        <v>166</v>
      </c>
      <c r="E77" s="8" t="s">
        <v>2</v>
      </c>
      <c r="F77" s="9" t="s">
        <v>262</v>
      </c>
      <c r="G77" s="13">
        <v>2400</v>
      </c>
      <c r="H77" s="8"/>
      <c r="I77" s="8"/>
      <c r="J77" s="8">
        <f>J76+Table234535910[[#This Row],[AMOUNT]]-Table234535910[[#This Row],[AMOUNT2]]-Table234535910[[#This Row],[AMOUNT3]]</f>
        <v>4070</v>
      </c>
      <c r="K77" s="125"/>
    </row>
    <row r="78" spans="1:11" x14ac:dyDescent="0.35">
      <c r="A78" s="29" t="s">
        <v>968</v>
      </c>
      <c r="B78" s="8"/>
      <c r="C78" s="8"/>
      <c r="D78" s="8" t="s">
        <v>166</v>
      </c>
      <c r="E78" s="8" t="s">
        <v>16</v>
      </c>
      <c r="F78" s="9" t="s">
        <v>631</v>
      </c>
      <c r="G78" s="13">
        <v>1150</v>
      </c>
      <c r="H78" s="8"/>
      <c r="I78" s="8"/>
      <c r="J78" s="8">
        <f>J77+Table234535910[[#This Row],[AMOUNT]]-Table234535910[[#This Row],[AMOUNT2]]-Table234535910[[#This Row],[AMOUNT3]]</f>
        <v>2920</v>
      </c>
      <c r="K78" s="125"/>
    </row>
    <row r="79" spans="1:11" x14ac:dyDescent="0.35">
      <c r="A79" s="29" t="s">
        <v>968</v>
      </c>
      <c r="B79" s="8"/>
      <c r="C79" s="8"/>
      <c r="D79" s="8" t="s">
        <v>166</v>
      </c>
      <c r="E79" s="8" t="s">
        <v>918</v>
      </c>
      <c r="F79" s="9" t="s">
        <v>987</v>
      </c>
      <c r="G79" s="13">
        <v>2400</v>
      </c>
      <c r="H79" s="8"/>
      <c r="I79" s="8"/>
      <c r="J79" s="8">
        <f>J78+Table234535910[[#This Row],[AMOUNT]]-Table234535910[[#This Row],[AMOUNT2]]-Table234535910[[#This Row],[AMOUNT3]]</f>
        <v>520</v>
      </c>
      <c r="K79" s="125"/>
    </row>
    <row r="80" spans="1:11" x14ac:dyDescent="0.35">
      <c r="A80" s="29" t="s">
        <v>1035</v>
      </c>
      <c r="B80" s="8"/>
      <c r="C80" s="8"/>
      <c r="D80" s="8" t="s">
        <v>166</v>
      </c>
      <c r="E80" s="8" t="s">
        <v>1049</v>
      </c>
      <c r="F80" s="9"/>
      <c r="G80" s="13">
        <v>800</v>
      </c>
      <c r="H80" s="8"/>
      <c r="I80" s="8"/>
      <c r="J80" s="8">
        <f>J79+Table234535910[[#This Row],[AMOUNT]]-Table234535910[[#This Row],[AMOUNT2]]-Table234535910[[#This Row],[AMOUNT3]]</f>
        <v>-280</v>
      </c>
      <c r="K80" s="125"/>
    </row>
    <row r="81" spans="1:11" x14ac:dyDescent="0.35">
      <c r="A81" s="29" t="s">
        <v>1035</v>
      </c>
      <c r="B81" s="8"/>
      <c r="C81" s="8"/>
      <c r="D81" s="8" t="s">
        <v>166</v>
      </c>
      <c r="E81" s="8" t="s">
        <v>749</v>
      </c>
      <c r="F81" s="9" t="s">
        <v>955</v>
      </c>
      <c r="G81" s="13">
        <v>200</v>
      </c>
      <c r="H81" s="8"/>
      <c r="I81" s="8"/>
      <c r="J81" s="8">
        <f>J80+Table234535910[[#This Row],[AMOUNT]]-Table234535910[[#This Row],[AMOUNT2]]-Table234535910[[#This Row],[AMOUNT3]]</f>
        <v>-480</v>
      </c>
      <c r="K81" s="125"/>
    </row>
    <row r="82" spans="1:11" x14ac:dyDescent="0.35">
      <c r="A82" s="29" t="s">
        <v>1017</v>
      </c>
      <c r="B82" s="8"/>
      <c r="C82" s="8"/>
      <c r="D82" s="8" t="s">
        <v>166</v>
      </c>
      <c r="E82" s="8" t="s">
        <v>749</v>
      </c>
      <c r="F82" s="9" t="s">
        <v>955</v>
      </c>
      <c r="G82" s="13">
        <v>200</v>
      </c>
      <c r="H82" s="8"/>
      <c r="I82" s="8"/>
      <c r="J82" s="8">
        <f>J81+Table234535910[[#This Row],[AMOUNT]]-Table234535910[[#This Row],[AMOUNT2]]-Table234535910[[#This Row],[AMOUNT3]]</f>
        <v>-680</v>
      </c>
      <c r="K82" s="125"/>
    </row>
    <row r="83" spans="1:11" x14ac:dyDescent="0.35">
      <c r="A83" s="29" t="s">
        <v>1017</v>
      </c>
      <c r="B83" s="8"/>
      <c r="C83" s="8"/>
      <c r="D83" s="8" t="s">
        <v>166</v>
      </c>
      <c r="E83" s="8" t="s">
        <v>0</v>
      </c>
      <c r="F83" s="9" t="s">
        <v>1050</v>
      </c>
      <c r="G83" s="13">
        <v>100</v>
      </c>
      <c r="H83" s="8"/>
      <c r="I83" s="8"/>
      <c r="J83" s="8">
        <f>J82+Table234535910[[#This Row],[AMOUNT]]-Table234535910[[#This Row],[AMOUNT2]]-Table234535910[[#This Row],[AMOUNT3]]</f>
        <v>-780</v>
      </c>
      <c r="K83" s="125"/>
    </row>
    <row r="84" spans="1:11" x14ac:dyDescent="0.35">
      <c r="A84" s="29" t="s">
        <v>1020</v>
      </c>
      <c r="B84" s="8"/>
      <c r="C84" s="8"/>
      <c r="D84" s="8" t="s">
        <v>166</v>
      </c>
      <c r="E84" s="8" t="s">
        <v>0</v>
      </c>
      <c r="F84" s="9" t="s">
        <v>1050</v>
      </c>
      <c r="G84" s="13">
        <v>100</v>
      </c>
      <c r="H84" s="8"/>
      <c r="I84" s="8"/>
      <c r="J84" s="8">
        <f>J83+Table234535910[[#This Row],[AMOUNT]]-Table234535910[[#This Row],[AMOUNT2]]-Table234535910[[#This Row],[AMOUNT3]]</f>
        <v>-880</v>
      </c>
      <c r="K84" s="125"/>
    </row>
    <row r="85" spans="1:11" x14ac:dyDescent="0.35">
      <c r="A85" s="29" t="s">
        <v>1020</v>
      </c>
      <c r="B85" s="8"/>
      <c r="C85" s="8"/>
      <c r="D85" s="8" t="s">
        <v>166</v>
      </c>
      <c r="E85" s="8" t="s">
        <v>749</v>
      </c>
      <c r="F85" s="9" t="s">
        <v>955</v>
      </c>
      <c r="G85" s="13">
        <v>300</v>
      </c>
      <c r="H85" s="8"/>
      <c r="I85" s="8"/>
      <c r="J85" s="8">
        <f>J84+Table234535910[[#This Row],[AMOUNT]]-Table234535910[[#This Row],[AMOUNT2]]-Table234535910[[#This Row],[AMOUNT3]]</f>
        <v>-1180</v>
      </c>
      <c r="K85" s="125"/>
    </row>
    <row r="86" spans="1:11" x14ac:dyDescent="0.35">
      <c r="A86" s="29" t="s">
        <v>1025</v>
      </c>
      <c r="B86" s="8" t="s">
        <v>18</v>
      </c>
      <c r="C86" s="8">
        <v>4000</v>
      </c>
      <c r="D86" s="8"/>
      <c r="E86" s="8"/>
      <c r="F86" s="9"/>
      <c r="G86" s="13"/>
      <c r="H86" s="8"/>
      <c r="I86" s="8"/>
      <c r="J86" s="8">
        <f>J85+Table234535910[[#This Row],[AMOUNT]]-Table234535910[[#This Row],[AMOUNT2]]-Table234535910[[#This Row],[AMOUNT3]]</f>
        <v>2820</v>
      </c>
      <c r="K86" s="125"/>
    </row>
    <row r="87" spans="1:11" x14ac:dyDescent="0.35">
      <c r="A87" s="29" t="s">
        <v>1042</v>
      </c>
      <c r="B87" s="8"/>
      <c r="C87" s="8"/>
      <c r="D87" s="8" t="s">
        <v>166</v>
      </c>
      <c r="E87" s="8" t="s">
        <v>749</v>
      </c>
      <c r="F87" s="9" t="s">
        <v>955</v>
      </c>
      <c r="G87" s="13">
        <v>200</v>
      </c>
      <c r="H87" s="8"/>
      <c r="I87" s="8"/>
      <c r="J87" s="8">
        <f>J86+Table234535910[[#This Row],[AMOUNT]]-Table234535910[[#This Row],[AMOUNT2]]-Table234535910[[#This Row],[AMOUNT3]]</f>
        <v>2620</v>
      </c>
      <c r="K87" s="125"/>
    </row>
    <row r="88" spans="1:11" x14ac:dyDescent="0.35">
      <c r="A88" s="29" t="s">
        <v>1052</v>
      </c>
      <c r="B88" s="8" t="s">
        <v>18</v>
      </c>
      <c r="C88" s="8">
        <v>1000</v>
      </c>
      <c r="D88" s="8" t="s">
        <v>166</v>
      </c>
      <c r="E88" s="8"/>
      <c r="F88" s="9"/>
      <c r="G88" s="13"/>
      <c r="H88" s="8"/>
      <c r="I88" s="8"/>
      <c r="J88" s="8">
        <f>J87+Table234535910[[#This Row],[AMOUNT]]-Table234535910[[#This Row],[AMOUNT2]]-Table234535910[[#This Row],[AMOUNT3]]</f>
        <v>3620</v>
      </c>
      <c r="K88" s="125"/>
    </row>
    <row r="89" spans="1:11" x14ac:dyDescent="0.35">
      <c r="A89" s="29" t="s">
        <v>1052</v>
      </c>
      <c r="B89" s="8"/>
      <c r="C89" s="8"/>
      <c r="D89" s="8" t="s">
        <v>166</v>
      </c>
      <c r="E89" s="8" t="s">
        <v>1096</v>
      </c>
      <c r="F89" s="9" t="s">
        <v>1083</v>
      </c>
      <c r="G89" s="13">
        <v>450</v>
      </c>
      <c r="H89" s="8"/>
      <c r="I89" s="8"/>
      <c r="J89" s="8">
        <f>J88+Table234535910[[#This Row],[AMOUNT]]-Table234535910[[#This Row],[AMOUNT2]]-Table234535910[[#This Row],[AMOUNT3]]</f>
        <v>3170</v>
      </c>
      <c r="K89" s="125"/>
    </row>
    <row r="90" spans="1:11" x14ac:dyDescent="0.35">
      <c r="A90" s="29" t="s">
        <v>1052</v>
      </c>
      <c r="B90" s="8"/>
      <c r="C90" s="8"/>
      <c r="D90" s="8" t="s">
        <v>166</v>
      </c>
      <c r="E90" s="8" t="s">
        <v>918</v>
      </c>
      <c r="F90" s="9" t="s">
        <v>1086</v>
      </c>
      <c r="G90" s="13">
        <v>50</v>
      </c>
      <c r="H90" s="8"/>
      <c r="I90" s="8"/>
      <c r="J90" s="8">
        <f>J89+Table234535910[[#This Row],[AMOUNT]]-Table234535910[[#This Row],[AMOUNT2]]-Table234535910[[#This Row],[AMOUNT3]]</f>
        <v>3120</v>
      </c>
      <c r="K90" s="125"/>
    </row>
    <row r="91" spans="1:11" x14ac:dyDescent="0.35">
      <c r="A91" s="29" t="s">
        <v>1052</v>
      </c>
      <c r="B91" s="8"/>
      <c r="C91" s="8"/>
      <c r="D91" s="8" t="s">
        <v>166</v>
      </c>
      <c r="E91" s="8" t="s">
        <v>2</v>
      </c>
      <c r="F91" s="9" t="s">
        <v>1084</v>
      </c>
      <c r="G91" s="13">
        <v>800</v>
      </c>
      <c r="H91" s="8"/>
      <c r="I91" s="8"/>
      <c r="J91" s="8">
        <f>J90+Table234535910[[#This Row],[AMOUNT]]-Table234535910[[#This Row],[AMOUNT2]]-Table234535910[[#This Row],[AMOUNT3]]</f>
        <v>2320</v>
      </c>
      <c r="K91" s="125"/>
    </row>
    <row r="92" spans="1:11" x14ac:dyDescent="0.35">
      <c r="A92" s="29" t="s">
        <v>1052</v>
      </c>
      <c r="B92" s="8"/>
      <c r="C92" s="8"/>
      <c r="D92" s="8" t="s">
        <v>166</v>
      </c>
      <c r="E92" s="8" t="s">
        <v>0</v>
      </c>
      <c r="F92" s="9" t="s">
        <v>1085</v>
      </c>
      <c r="G92" s="13">
        <v>190</v>
      </c>
      <c r="H92" s="8"/>
      <c r="I92" s="8"/>
      <c r="J92" s="8">
        <f>J91+Table234535910[[#This Row],[AMOUNT]]-Table234535910[[#This Row],[AMOUNT2]]-Table234535910[[#This Row],[AMOUNT3]]</f>
        <v>2130</v>
      </c>
      <c r="K92" s="125"/>
    </row>
    <row r="93" spans="1:11" x14ac:dyDescent="0.35">
      <c r="A93" s="29" t="s">
        <v>1080</v>
      </c>
      <c r="B93" s="8" t="s">
        <v>18</v>
      </c>
      <c r="C93" s="8">
        <v>2800</v>
      </c>
      <c r="D93" s="8" t="s">
        <v>166</v>
      </c>
      <c r="E93" s="8"/>
      <c r="F93" s="9"/>
      <c r="G93" s="13"/>
      <c r="H93" s="8"/>
      <c r="I93" s="8"/>
      <c r="J93" s="8">
        <f>J92+Table234535910[[#This Row],[AMOUNT]]-Table234535910[[#This Row],[AMOUNT2]]-Table234535910[[#This Row],[AMOUNT3]]</f>
        <v>4930</v>
      </c>
      <c r="K93" s="125"/>
    </row>
    <row r="94" spans="1:11" x14ac:dyDescent="0.35">
      <c r="A94" s="29" t="s">
        <v>1080</v>
      </c>
      <c r="B94" s="8"/>
      <c r="C94" s="8"/>
      <c r="D94" s="8" t="s">
        <v>166</v>
      </c>
      <c r="E94" s="8" t="s">
        <v>2</v>
      </c>
      <c r="F94" s="9" t="s">
        <v>1091</v>
      </c>
      <c r="G94" s="13">
        <v>800</v>
      </c>
      <c r="H94" s="8"/>
      <c r="I94" s="8"/>
      <c r="J94" s="8">
        <f>J93+Table234535910[[#This Row],[AMOUNT]]-Table234535910[[#This Row],[AMOUNT2]]-Table234535910[[#This Row],[AMOUNT3]]</f>
        <v>4130</v>
      </c>
      <c r="K94" s="125"/>
    </row>
    <row r="95" spans="1:11" x14ac:dyDescent="0.35">
      <c r="A95" s="29" t="s">
        <v>1080</v>
      </c>
      <c r="B95" s="8"/>
      <c r="C95" s="8"/>
      <c r="D95" s="8" t="s">
        <v>166</v>
      </c>
      <c r="E95" s="8" t="s">
        <v>749</v>
      </c>
      <c r="F95" s="9" t="s">
        <v>955</v>
      </c>
      <c r="G95" s="13">
        <v>100</v>
      </c>
      <c r="H95" s="8"/>
      <c r="I95" s="8"/>
      <c r="J95" s="8">
        <f>J94+Table234535910[[#This Row],[AMOUNT]]-Table234535910[[#This Row],[AMOUNT2]]-Table234535910[[#This Row],[AMOUNT3]]</f>
        <v>4030</v>
      </c>
      <c r="K95" s="125"/>
    </row>
    <row r="96" spans="1:11" x14ac:dyDescent="0.35">
      <c r="A96" s="29" t="s">
        <v>1080</v>
      </c>
      <c r="B96" s="8"/>
      <c r="C96" s="8"/>
      <c r="D96" s="8" t="s">
        <v>166</v>
      </c>
      <c r="E96" s="8" t="s">
        <v>918</v>
      </c>
      <c r="F96" s="9" t="s">
        <v>1087</v>
      </c>
      <c r="G96" s="13">
        <v>70</v>
      </c>
      <c r="H96" s="8"/>
      <c r="I96" s="8"/>
      <c r="J96" s="8">
        <f>J95+Table234535910[[#This Row],[AMOUNT]]-Table234535910[[#This Row],[AMOUNT2]]-Table234535910[[#This Row],[AMOUNT3]]</f>
        <v>3960</v>
      </c>
      <c r="K96" s="125"/>
    </row>
    <row r="97" spans="1:11" x14ac:dyDescent="0.35">
      <c r="A97" s="29" t="s">
        <v>1082</v>
      </c>
      <c r="B97" s="8"/>
      <c r="C97" s="8"/>
      <c r="D97" s="8" t="s">
        <v>166</v>
      </c>
      <c r="E97" s="8" t="s">
        <v>749</v>
      </c>
      <c r="F97" s="9" t="s">
        <v>955</v>
      </c>
      <c r="G97" s="13">
        <v>150</v>
      </c>
      <c r="H97" s="8"/>
      <c r="I97" s="8"/>
      <c r="J97" s="8">
        <f>J96+Table234535910[[#This Row],[AMOUNT]]-Table234535910[[#This Row],[AMOUNT2]]-Table234535910[[#This Row],[AMOUNT3]]</f>
        <v>3810</v>
      </c>
      <c r="K97" s="125"/>
    </row>
    <row r="98" spans="1:11" x14ac:dyDescent="0.35">
      <c r="A98" s="29" t="s">
        <v>1089</v>
      </c>
      <c r="B98" s="8"/>
      <c r="C98" s="8"/>
      <c r="D98" s="8" t="s">
        <v>166</v>
      </c>
      <c r="E98" s="8" t="s">
        <v>2</v>
      </c>
      <c r="F98" s="9" t="s">
        <v>1091</v>
      </c>
      <c r="G98" s="13">
        <v>800</v>
      </c>
      <c r="H98" s="8"/>
      <c r="I98" s="8"/>
      <c r="J98" s="8">
        <f>J97+Table234535910[[#This Row],[AMOUNT]]-Table234535910[[#This Row],[AMOUNT2]]-Table234535910[[#This Row],[AMOUNT3]]</f>
        <v>3010</v>
      </c>
      <c r="K98" s="125"/>
    </row>
    <row r="99" spans="1:11" x14ac:dyDescent="0.35">
      <c r="A99" s="29" t="s">
        <v>1089</v>
      </c>
      <c r="B99" s="8"/>
      <c r="C99" s="8"/>
      <c r="D99" s="8" t="s">
        <v>166</v>
      </c>
      <c r="E99" s="8" t="s">
        <v>0</v>
      </c>
      <c r="F99" s="9" t="s">
        <v>1088</v>
      </c>
      <c r="G99" s="13">
        <v>70</v>
      </c>
      <c r="H99" s="8"/>
      <c r="I99" s="8"/>
      <c r="J99" s="8">
        <f>J98+Table234535910[[#This Row],[AMOUNT]]-Table234535910[[#This Row],[AMOUNT2]]-Table234535910[[#This Row],[AMOUNT3]]</f>
        <v>2940</v>
      </c>
      <c r="K99" s="125"/>
    </row>
    <row r="100" spans="1:11" x14ac:dyDescent="0.35">
      <c r="A100" s="29" t="s">
        <v>1089</v>
      </c>
      <c r="B100" s="8"/>
      <c r="C100" s="8"/>
      <c r="D100" s="8" t="s">
        <v>166</v>
      </c>
      <c r="E100" s="8" t="s">
        <v>749</v>
      </c>
      <c r="F100" s="9" t="s">
        <v>955</v>
      </c>
      <c r="G100" s="13">
        <v>150</v>
      </c>
      <c r="H100" s="8"/>
      <c r="I100" s="8"/>
      <c r="J100" s="8">
        <f>J99+Table234535910[[#This Row],[AMOUNT]]-Table234535910[[#This Row],[AMOUNT2]]-Table234535910[[#This Row],[AMOUNT3]]</f>
        <v>2790</v>
      </c>
      <c r="K100" s="125"/>
    </row>
    <row r="101" spans="1:11" x14ac:dyDescent="0.35">
      <c r="A101" s="29" t="s">
        <v>1090</v>
      </c>
      <c r="B101" s="8" t="s">
        <v>18</v>
      </c>
      <c r="C101" s="8">
        <v>4800</v>
      </c>
      <c r="D101" s="8" t="s">
        <v>166</v>
      </c>
      <c r="E101" s="8"/>
      <c r="F101" s="9"/>
      <c r="G101" s="13"/>
      <c r="H101" s="8"/>
      <c r="I101" s="8"/>
      <c r="J101" s="8">
        <f>J100+Table234535910[[#This Row],[AMOUNT]]-Table234535910[[#This Row],[AMOUNT2]]-Table234535910[[#This Row],[AMOUNT3]]</f>
        <v>7590</v>
      </c>
      <c r="K101" s="125"/>
    </row>
    <row r="102" spans="1:11" x14ac:dyDescent="0.35">
      <c r="A102" s="29" t="s">
        <v>1090</v>
      </c>
      <c r="B102" s="8"/>
      <c r="C102" s="8"/>
      <c r="D102" s="8" t="s">
        <v>166</v>
      </c>
      <c r="E102" s="8" t="s">
        <v>2</v>
      </c>
      <c r="F102" s="9" t="s">
        <v>1091</v>
      </c>
      <c r="G102" s="13">
        <v>800</v>
      </c>
      <c r="H102" s="8"/>
      <c r="I102" s="8"/>
      <c r="J102" s="8">
        <f>J101+Table234535910[[#This Row],[AMOUNT]]-Table234535910[[#This Row],[AMOUNT2]]-Table234535910[[#This Row],[AMOUNT3]]</f>
        <v>6790</v>
      </c>
      <c r="K102" s="125"/>
    </row>
    <row r="103" spans="1:11" x14ac:dyDescent="0.35">
      <c r="A103" s="29" t="s">
        <v>1090</v>
      </c>
      <c r="B103" s="8"/>
      <c r="C103" s="8"/>
      <c r="D103" s="8" t="s">
        <v>166</v>
      </c>
      <c r="E103" s="8" t="s">
        <v>749</v>
      </c>
      <c r="F103" s="9" t="s">
        <v>955</v>
      </c>
      <c r="G103" s="13">
        <v>100</v>
      </c>
      <c r="H103" s="8"/>
      <c r="I103" s="8"/>
      <c r="J103" s="8">
        <f>J102+Table234535910[[#This Row],[AMOUNT]]-Table234535910[[#This Row],[AMOUNT2]]-Table234535910[[#This Row],[AMOUNT3]]</f>
        <v>6690</v>
      </c>
      <c r="K103" s="125"/>
    </row>
    <row r="104" spans="1:11" x14ac:dyDescent="0.35">
      <c r="A104" s="29" t="s">
        <v>1092</v>
      </c>
      <c r="B104" s="8"/>
      <c r="C104" s="8"/>
      <c r="D104" s="8" t="s">
        <v>166</v>
      </c>
      <c r="E104" s="8" t="s">
        <v>2</v>
      </c>
      <c r="F104" s="9" t="s">
        <v>1091</v>
      </c>
      <c r="G104" s="13">
        <v>800</v>
      </c>
      <c r="H104" s="8"/>
      <c r="I104" s="8"/>
      <c r="J104" s="8">
        <f>J103+Table234535910[[#This Row],[AMOUNT]]-Table234535910[[#This Row],[AMOUNT2]]-Table234535910[[#This Row],[AMOUNT3]]</f>
        <v>5890</v>
      </c>
      <c r="K104" s="125"/>
    </row>
    <row r="105" spans="1:11" x14ac:dyDescent="0.35">
      <c r="A105" s="29" t="s">
        <v>1093</v>
      </c>
      <c r="B105" s="8"/>
      <c r="C105" s="8"/>
      <c r="D105" s="8" t="s">
        <v>166</v>
      </c>
      <c r="E105" s="8" t="s">
        <v>31</v>
      </c>
      <c r="F105" s="9" t="s">
        <v>1094</v>
      </c>
      <c r="G105" s="13">
        <v>320</v>
      </c>
      <c r="H105" s="8"/>
      <c r="I105" s="8"/>
      <c r="J105" s="8">
        <f>J104+Table234535910[[#This Row],[AMOUNT]]-Table234535910[[#This Row],[AMOUNT2]]-Table234535910[[#This Row],[AMOUNT3]]</f>
        <v>5570</v>
      </c>
      <c r="K105" s="125"/>
    </row>
    <row r="106" spans="1:11" x14ac:dyDescent="0.35">
      <c r="A106" s="29" t="s">
        <v>1093</v>
      </c>
      <c r="B106" s="8"/>
      <c r="C106" s="8"/>
      <c r="D106" s="8" t="s">
        <v>166</v>
      </c>
      <c r="E106" s="8" t="s">
        <v>749</v>
      </c>
      <c r="F106" s="9" t="s">
        <v>1095</v>
      </c>
      <c r="G106" s="13">
        <v>250</v>
      </c>
      <c r="H106" s="8"/>
      <c r="I106" s="8"/>
      <c r="J106" s="8">
        <f>J105+Table234535910[[#This Row],[AMOUNT]]-Table234535910[[#This Row],[AMOUNT2]]-Table234535910[[#This Row],[AMOUNT3]]</f>
        <v>5320</v>
      </c>
      <c r="K106" s="125"/>
    </row>
    <row r="107" spans="1:11" x14ac:dyDescent="0.35">
      <c r="A107" s="29" t="s">
        <v>1093</v>
      </c>
      <c r="B107" s="8"/>
      <c r="C107" s="8"/>
      <c r="D107" s="8" t="s">
        <v>166</v>
      </c>
      <c r="E107" s="8" t="s">
        <v>749</v>
      </c>
      <c r="F107" s="9" t="s">
        <v>955</v>
      </c>
      <c r="G107" s="13">
        <v>200</v>
      </c>
      <c r="H107" s="8"/>
      <c r="I107" s="8"/>
      <c r="J107" s="8">
        <f>J106+Table234535910[[#This Row],[AMOUNT]]-Table234535910[[#This Row],[AMOUNT2]]-Table234535910[[#This Row],[AMOUNT3]]</f>
        <v>5120</v>
      </c>
      <c r="K107" s="125"/>
    </row>
    <row r="108" spans="1:11" x14ac:dyDescent="0.35">
      <c r="A108" s="29" t="s">
        <v>1099</v>
      </c>
      <c r="B108" s="8"/>
      <c r="C108" s="8"/>
      <c r="D108" s="8" t="s">
        <v>166</v>
      </c>
      <c r="E108" s="8" t="s">
        <v>749</v>
      </c>
      <c r="F108" s="9" t="s">
        <v>955</v>
      </c>
      <c r="G108" s="13">
        <v>100</v>
      </c>
      <c r="H108" s="8"/>
      <c r="I108" s="8"/>
      <c r="J108" s="8">
        <f>J107+Table234535910[[#This Row],[AMOUNT]]-Table234535910[[#This Row],[AMOUNT2]]-Table234535910[[#This Row],[AMOUNT3]]</f>
        <v>5020</v>
      </c>
      <c r="K108" s="125"/>
    </row>
    <row r="109" spans="1:11" x14ac:dyDescent="0.35">
      <c r="A109" s="29" t="s">
        <v>1099</v>
      </c>
      <c r="B109" s="8"/>
      <c r="C109" s="8"/>
      <c r="D109" s="8" t="s">
        <v>166</v>
      </c>
      <c r="E109" s="8" t="s">
        <v>749</v>
      </c>
      <c r="F109" s="9" t="s">
        <v>1097</v>
      </c>
      <c r="G109" s="13">
        <v>150</v>
      </c>
      <c r="H109" s="8"/>
      <c r="I109" s="8"/>
      <c r="J109" s="8">
        <f>J108+Table234535910[[#This Row],[AMOUNT]]-Table234535910[[#This Row],[AMOUNT2]]-Table234535910[[#This Row],[AMOUNT3]]</f>
        <v>4870</v>
      </c>
      <c r="K109" s="125"/>
    </row>
    <row r="110" spans="1:11" x14ac:dyDescent="0.35">
      <c r="A110" s="29" t="s">
        <v>1099</v>
      </c>
      <c r="B110" s="8"/>
      <c r="C110" s="8"/>
      <c r="D110" s="8" t="s">
        <v>166</v>
      </c>
      <c r="E110" s="8" t="s">
        <v>30</v>
      </c>
      <c r="F110" s="9" t="s">
        <v>1098</v>
      </c>
      <c r="G110" s="13">
        <v>299</v>
      </c>
      <c r="H110" s="8"/>
      <c r="I110" s="8"/>
      <c r="J110" s="8">
        <f>J109+Table234535910[[#This Row],[AMOUNT]]-Table234535910[[#This Row],[AMOUNT2]]-Table234535910[[#This Row],[AMOUNT3]]</f>
        <v>4571</v>
      </c>
      <c r="K110" s="125"/>
    </row>
    <row r="111" spans="1:11" x14ac:dyDescent="0.35">
      <c r="A111" s="29" t="s">
        <v>1104</v>
      </c>
      <c r="B111" s="8"/>
      <c r="C111" s="8"/>
      <c r="D111" s="8" t="s">
        <v>166</v>
      </c>
      <c r="E111" s="8" t="s">
        <v>749</v>
      </c>
      <c r="F111" s="9" t="s">
        <v>955</v>
      </c>
      <c r="G111" s="13">
        <v>100</v>
      </c>
      <c r="H111" s="8"/>
      <c r="I111" s="8"/>
      <c r="J111" s="8">
        <f>J110+Table234535910[[#This Row],[AMOUNT]]-Table234535910[[#This Row],[AMOUNT2]]-Table234535910[[#This Row],[AMOUNT3]]</f>
        <v>4471</v>
      </c>
      <c r="K111" s="125"/>
    </row>
    <row r="112" spans="1:11" x14ac:dyDescent="0.35">
      <c r="A112" s="29" t="s">
        <v>1122</v>
      </c>
      <c r="B112" s="8"/>
      <c r="C112" s="8"/>
      <c r="D112" s="8" t="s">
        <v>166</v>
      </c>
      <c r="E112" s="8" t="s">
        <v>749</v>
      </c>
      <c r="F112" s="9" t="s">
        <v>955</v>
      </c>
      <c r="G112" s="13">
        <v>100</v>
      </c>
      <c r="H112" s="8"/>
      <c r="I112" s="8"/>
      <c r="J112" s="8">
        <f>J111+Table234535910[[#This Row],[AMOUNT]]-Table234535910[[#This Row],[AMOUNT2]]-Table234535910[[#This Row],[AMOUNT3]]</f>
        <v>4371</v>
      </c>
      <c r="K112" s="125"/>
    </row>
    <row r="113" spans="1:11" x14ac:dyDescent="0.35">
      <c r="A113" s="29" t="s">
        <v>1165</v>
      </c>
      <c r="B113" s="8"/>
      <c r="C113" s="8"/>
      <c r="D113" s="8" t="s">
        <v>166</v>
      </c>
      <c r="E113" s="8" t="s">
        <v>749</v>
      </c>
      <c r="F113" s="9" t="s">
        <v>955</v>
      </c>
      <c r="G113" s="13">
        <v>100</v>
      </c>
      <c r="H113" s="8"/>
      <c r="I113" s="8"/>
      <c r="J113" s="8">
        <f>J112+Table234535910[[#This Row],[AMOUNT]]-Table234535910[[#This Row],[AMOUNT2]]-Table234535910[[#This Row],[AMOUNT3]]</f>
        <v>4271</v>
      </c>
      <c r="K113" s="125"/>
    </row>
    <row r="114" spans="1:11" x14ac:dyDescent="0.35">
      <c r="A114" s="29" t="s">
        <v>1165</v>
      </c>
      <c r="B114" s="8"/>
      <c r="C114" s="8"/>
      <c r="D114" s="8" t="s">
        <v>166</v>
      </c>
      <c r="E114" s="8" t="s">
        <v>16</v>
      </c>
      <c r="F114" s="9" t="s">
        <v>1237</v>
      </c>
      <c r="G114" s="13">
        <v>1150</v>
      </c>
      <c r="H114" s="8"/>
      <c r="I114" s="8"/>
      <c r="J114" s="8">
        <f>J113+Table234535910[[#This Row],[AMOUNT]]-Table234535910[[#This Row],[AMOUNT2]]-Table234535910[[#This Row],[AMOUNT3]]</f>
        <v>3121</v>
      </c>
      <c r="K114" s="125"/>
    </row>
    <row r="115" spans="1:11" x14ac:dyDescent="0.35">
      <c r="A115" s="29" t="s">
        <v>1165</v>
      </c>
      <c r="B115" s="8"/>
      <c r="C115" s="8"/>
      <c r="D115" s="8" t="s">
        <v>166</v>
      </c>
      <c r="E115" s="8" t="s">
        <v>2</v>
      </c>
      <c r="F115" s="9" t="s">
        <v>1238</v>
      </c>
      <c r="G115" s="13">
        <v>800</v>
      </c>
      <c r="H115" s="8"/>
      <c r="I115" s="8"/>
      <c r="J115" s="8">
        <f>J114+Table234535910[[#This Row],[AMOUNT]]-Table234535910[[#This Row],[AMOUNT2]]-Table234535910[[#This Row],[AMOUNT3]]</f>
        <v>2321</v>
      </c>
      <c r="K115" s="125"/>
    </row>
    <row r="116" spans="1:11" x14ac:dyDescent="0.35">
      <c r="A116" s="29" t="s">
        <v>1150</v>
      </c>
      <c r="B116" s="8" t="s">
        <v>18</v>
      </c>
      <c r="C116" s="8">
        <v>2000</v>
      </c>
      <c r="D116" s="8"/>
      <c r="E116" s="8"/>
      <c r="F116" s="9"/>
      <c r="G116" s="13"/>
      <c r="H116" s="8"/>
      <c r="I116" s="8"/>
      <c r="J116" s="8">
        <f>J115+Table234535910[[#This Row],[AMOUNT]]-Table234535910[[#This Row],[AMOUNT2]]-Table234535910[[#This Row],[AMOUNT3]]</f>
        <v>4321</v>
      </c>
      <c r="K116" s="125"/>
    </row>
    <row r="117" spans="1:11" x14ac:dyDescent="0.35">
      <c r="A117" s="29" t="s">
        <v>1153</v>
      </c>
      <c r="B117" s="8"/>
      <c r="C117" s="8"/>
      <c r="D117" s="8" t="s">
        <v>1213</v>
      </c>
      <c r="E117" s="8" t="s">
        <v>749</v>
      </c>
      <c r="F117" s="9" t="s">
        <v>955</v>
      </c>
      <c r="G117" s="13">
        <v>100</v>
      </c>
      <c r="H117" s="8"/>
      <c r="I117" s="8"/>
      <c r="J117" s="8">
        <f>J116+Table234535910[[#This Row],[AMOUNT]]-Table234535910[[#This Row],[AMOUNT2]]-Table234535910[[#This Row],[AMOUNT3]]</f>
        <v>4221</v>
      </c>
      <c r="K117" s="125"/>
    </row>
    <row r="118" spans="1:11" x14ac:dyDescent="0.35">
      <c r="A118" s="29" t="s">
        <v>1158</v>
      </c>
      <c r="B118" s="8"/>
      <c r="C118" s="8"/>
      <c r="D118" s="8" t="s">
        <v>1213</v>
      </c>
      <c r="E118" s="8" t="s">
        <v>749</v>
      </c>
      <c r="F118" s="9" t="s">
        <v>955</v>
      </c>
      <c r="G118" s="13">
        <v>100</v>
      </c>
      <c r="H118" s="8"/>
      <c r="I118" s="8"/>
      <c r="J118" s="8">
        <f>J117+Table234535910[[#This Row],[AMOUNT]]-Table234535910[[#This Row],[AMOUNT2]]-Table234535910[[#This Row],[AMOUNT3]]</f>
        <v>4121</v>
      </c>
      <c r="K118" s="125"/>
    </row>
    <row r="119" spans="1:11" x14ac:dyDescent="0.35">
      <c r="A119" s="29" t="s">
        <v>1158</v>
      </c>
      <c r="B119" s="8"/>
      <c r="C119" s="8"/>
      <c r="D119" s="8" t="s">
        <v>1213</v>
      </c>
      <c r="E119" s="8" t="s">
        <v>0</v>
      </c>
      <c r="F119" s="9" t="s">
        <v>1088</v>
      </c>
      <c r="G119" s="13">
        <v>150</v>
      </c>
      <c r="H119" s="8"/>
      <c r="I119" s="8"/>
      <c r="J119" s="8">
        <f>J118+Table234535910[[#This Row],[AMOUNT]]-Table234535910[[#This Row],[AMOUNT2]]-Table234535910[[#This Row],[AMOUNT3]]</f>
        <v>3971</v>
      </c>
      <c r="K119" s="125"/>
    </row>
    <row r="120" spans="1:11" x14ac:dyDescent="0.35">
      <c r="A120" s="29" t="s">
        <v>1160</v>
      </c>
      <c r="B120" s="8"/>
      <c r="C120" s="8"/>
      <c r="D120" s="8" t="s">
        <v>1213</v>
      </c>
      <c r="E120" s="8" t="s">
        <v>749</v>
      </c>
      <c r="F120" s="9" t="s">
        <v>955</v>
      </c>
      <c r="G120" s="13">
        <v>100</v>
      </c>
      <c r="H120" s="8"/>
      <c r="I120" s="8"/>
      <c r="J120" s="8">
        <f>J119+Table234535910[[#This Row],[AMOUNT]]-Table234535910[[#This Row],[AMOUNT2]]-Table234535910[[#This Row],[AMOUNT3]]</f>
        <v>3871</v>
      </c>
      <c r="K120" s="125"/>
    </row>
    <row r="121" spans="1:11" x14ac:dyDescent="0.35">
      <c r="A121" s="29" t="s">
        <v>1160</v>
      </c>
      <c r="B121" s="8"/>
      <c r="C121" s="8"/>
      <c r="D121" s="8" t="s">
        <v>1213</v>
      </c>
      <c r="E121" s="8" t="s">
        <v>0</v>
      </c>
      <c r="F121" s="9" t="s">
        <v>1214</v>
      </c>
      <c r="G121" s="13">
        <v>50</v>
      </c>
      <c r="H121" s="8"/>
      <c r="I121" s="8"/>
      <c r="J121" s="8">
        <f>J120+Table234535910[[#This Row],[AMOUNT]]-Table234535910[[#This Row],[AMOUNT2]]-Table234535910[[#This Row],[AMOUNT3]]</f>
        <v>3821</v>
      </c>
      <c r="K121" s="125"/>
    </row>
    <row r="122" spans="1:11" x14ac:dyDescent="0.35">
      <c r="A122" s="29" t="s">
        <v>1166</v>
      </c>
      <c r="B122" s="8"/>
      <c r="C122" s="8"/>
      <c r="D122" s="8" t="s">
        <v>1213</v>
      </c>
      <c r="E122" s="8" t="s">
        <v>1215</v>
      </c>
      <c r="F122" s="9" t="s">
        <v>1216</v>
      </c>
      <c r="G122" s="13">
        <v>100</v>
      </c>
      <c r="H122" s="8"/>
      <c r="I122" s="8"/>
      <c r="J122" s="8">
        <f>J121+Table234535910[[#This Row],[AMOUNT]]-Table234535910[[#This Row],[AMOUNT2]]-Table234535910[[#This Row],[AMOUNT3]]</f>
        <v>3721</v>
      </c>
      <c r="K122" s="125"/>
    </row>
    <row r="123" spans="1:11" x14ac:dyDescent="0.35">
      <c r="A123" s="29" t="s">
        <v>1167</v>
      </c>
      <c r="B123" s="8"/>
      <c r="C123" s="8"/>
      <c r="D123" s="8" t="s">
        <v>1213</v>
      </c>
      <c r="E123" s="8" t="s">
        <v>749</v>
      </c>
      <c r="F123" s="9" t="s">
        <v>955</v>
      </c>
      <c r="G123" s="13">
        <v>100</v>
      </c>
      <c r="H123" s="8"/>
      <c r="I123" s="8"/>
      <c r="J123" s="8">
        <f>J122+Table234535910[[#This Row],[AMOUNT]]-Table234535910[[#This Row],[AMOUNT2]]-Table234535910[[#This Row],[AMOUNT3]]</f>
        <v>3621</v>
      </c>
      <c r="K123" s="125"/>
    </row>
    <row r="124" spans="1:11" x14ac:dyDescent="0.35">
      <c r="A124" s="29" t="s">
        <v>1168</v>
      </c>
      <c r="B124" s="8"/>
      <c r="C124" s="8"/>
      <c r="D124" s="8" t="s">
        <v>1213</v>
      </c>
      <c r="E124" s="8" t="s">
        <v>749</v>
      </c>
      <c r="F124" s="9" t="s">
        <v>955</v>
      </c>
      <c r="G124" s="13">
        <v>100</v>
      </c>
      <c r="H124" s="8"/>
      <c r="I124" s="8"/>
      <c r="J124" s="8">
        <f>J123+Table234535910[[#This Row],[AMOUNT]]-Table234535910[[#This Row],[AMOUNT2]]-Table234535910[[#This Row],[AMOUNT3]]</f>
        <v>3521</v>
      </c>
      <c r="K124" s="125"/>
    </row>
    <row r="125" spans="1:11" x14ac:dyDescent="0.35">
      <c r="A125" s="29" t="s">
        <v>1172</v>
      </c>
      <c r="B125" s="8" t="s">
        <v>18</v>
      </c>
      <c r="C125" s="8">
        <v>2000</v>
      </c>
      <c r="D125" s="8" t="s">
        <v>1213</v>
      </c>
      <c r="E125" s="8" t="s">
        <v>749</v>
      </c>
      <c r="F125" s="9" t="s">
        <v>955</v>
      </c>
      <c r="G125" s="13">
        <v>100</v>
      </c>
      <c r="H125" s="8"/>
      <c r="I125" s="8"/>
      <c r="J125" s="8">
        <f>J124+Table234535910[[#This Row],[AMOUNT]]-Table234535910[[#This Row],[AMOUNT2]]-Table234535910[[#This Row],[AMOUNT3]]</f>
        <v>5421</v>
      </c>
      <c r="K125" s="125"/>
    </row>
    <row r="126" spans="1:11" x14ac:dyDescent="0.35">
      <c r="A126" s="29" t="s">
        <v>1196</v>
      </c>
      <c r="B126" s="8"/>
      <c r="C126" s="8"/>
      <c r="D126" s="8" t="s">
        <v>1213</v>
      </c>
      <c r="E126" s="8" t="s">
        <v>749</v>
      </c>
      <c r="F126" s="9" t="s">
        <v>955</v>
      </c>
      <c r="G126" s="13">
        <v>100</v>
      </c>
      <c r="H126" s="8"/>
      <c r="I126" s="8"/>
      <c r="J126" s="8">
        <f>J125+Table234535910[[#This Row],[AMOUNT]]-Table234535910[[#This Row],[AMOUNT2]]-Table234535910[[#This Row],[AMOUNT3]]</f>
        <v>5321</v>
      </c>
      <c r="K126" s="125"/>
    </row>
    <row r="127" spans="1:11" x14ac:dyDescent="0.35">
      <c r="A127" s="29" t="s">
        <v>1202</v>
      </c>
      <c r="B127" s="8"/>
      <c r="C127" s="8"/>
      <c r="D127" s="8" t="s">
        <v>1213</v>
      </c>
      <c r="E127" s="8" t="s">
        <v>749</v>
      </c>
      <c r="F127" s="9" t="s">
        <v>955</v>
      </c>
      <c r="G127" s="13">
        <v>100</v>
      </c>
      <c r="H127" s="8"/>
      <c r="I127" s="8"/>
      <c r="J127" s="8">
        <f>J126+Table234535910[[#This Row],[AMOUNT]]-Table234535910[[#This Row],[AMOUNT2]]-Table234535910[[#This Row],[AMOUNT3]]</f>
        <v>5221</v>
      </c>
      <c r="K127" s="125"/>
    </row>
    <row r="128" spans="1:11" x14ac:dyDescent="0.35">
      <c r="A128" s="29" t="s">
        <v>1242</v>
      </c>
      <c r="B128" s="8"/>
      <c r="C128" s="8"/>
      <c r="D128" s="8" t="s">
        <v>1213</v>
      </c>
      <c r="E128" s="8" t="s">
        <v>749</v>
      </c>
      <c r="F128" s="9" t="s">
        <v>955</v>
      </c>
      <c r="G128" s="13">
        <v>100</v>
      </c>
      <c r="H128" s="8"/>
      <c r="I128" s="8"/>
      <c r="J128" s="8">
        <f>J127+Table234535910[[#This Row],[AMOUNT]]-Table234535910[[#This Row],[AMOUNT2]]-Table234535910[[#This Row],[AMOUNT3]]</f>
        <v>5121</v>
      </c>
      <c r="K128" s="125"/>
    </row>
    <row r="129" spans="1:11" x14ac:dyDescent="0.35">
      <c r="A129" s="29" t="s">
        <v>1245</v>
      </c>
      <c r="B129" s="8"/>
      <c r="C129" s="8"/>
      <c r="D129" s="8" t="s">
        <v>1213</v>
      </c>
      <c r="E129" s="8" t="s">
        <v>749</v>
      </c>
      <c r="F129" s="9" t="s">
        <v>955</v>
      </c>
      <c r="G129" s="13">
        <v>100</v>
      </c>
      <c r="H129" s="8"/>
      <c r="I129" s="8"/>
      <c r="J129" s="8">
        <f>J128+Table234535910[[#This Row],[AMOUNT]]-Table234535910[[#This Row],[AMOUNT2]]-Table234535910[[#This Row],[AMOUNT3]]</f>
        <v>5021</v>
      </c>
      <c r="K129" s="125"/>
    </row>
    <row r="130" spans="1:11" x14ac:dyDescent="0.35">
      <c r="A130" s="29" t="s">
        <v>1256</v>
      </c>
      <c r="B130" s="8"/>
      <c r="C130" s="8"/>
      <c r="D130" s="8" t="s">
        <v>1208</v>
      </c>
      <c r="E130" s="8" t="s">
        <v>0</v>
      </c>
      <c r="F130" s="9" t="s">
        <v>1273</v>
      </c>
      <c r="G130" s="13">
        <v>120</v>
      </c>
      <c r="H130" s="8"/>
      <c r="I130" s="8"/>
      <c r="J130" s="8">
        <f>J129+Table234535910[[#This Row],[AMOUNT]]-Table234535910[[#This Row],[AMOUNT2]]-Table234535910[[#This Row],[AMOUNT3]]</f>
        <v>4901</v>
      </c>
      <c r="K130" s="125"/>
    </row>
    <row r="131" spans="1:11" x14ac:dyDescent="0.35">
      <c r="A131" s="29" t="s">
        <v>1261</v>
      </c>
      <c r="B131" s="8"/>
      <c r="C131" s="8"/>
      <c r="D131" s="8" t="s">
        <v>1208</v>
      </c>
      <c r="E131" s="8" t="s">
        <v>0</v>
      </c>
      <c r="F131" s="9" t="s">
        <v>1273</v>
      </c>
      <c r="G131" s="13">
        <v>100</v>
      </c>
      <c r="H131" s="8"/>
      <c r="I131" s="8"/>
      <c r="J131" s="8">
        <f>J130+Table234535910[[#This Row],[AMOUNT]]-Table234535910[[#This Row],[AMOUNT2]]-Table234535910[[#This Row],[AMOUNT3]]</f>
        <v>4801</v>
      </c>
      <c r="K131" s="125"/>
    </row>
    <row r="132" spans="1:11" x14ac:dyDescent="0.35">
      <c r="A132" s="29" t="s">
        <v>1264</v>
      </c>
      <c r="B132" s="8" t="s">
        <v>18</v>
      </c>
      <c r="C132" s="8">
        <v>2000</v>
      </c>
      <c r="D132" s="8" t="s">
        <v>953</v>
      </c>
      <c r="E132" s="8" t="s">
        <v>749</v>
      </c>
      <c r="F132" s="9" t="s">
        <v>955</v>
      </c>
      <c r="G132" s="13">
        <v>200</v>
      </c>
      <c r="H132" s="8"/>
      <c r="I132" s="8"/>
      <c r="J132" s="8">
        <f>J131+Table234535910[[#This Row],[AMOUNT]]-Table234535910[[#This Row],[AMOUNT2]]-Table234535910[[#This Row],[AMOUNT3]]</f>
        <v>6601</v>
      </c>
      <c r="K132" s="125"/>
    </row>
    <row r="133" spans="1:11" x14ac:dyDescent="0.35">
      <c r="A133" s="29" t="s">
        <v>1264</v>
      </c>
      <c r="B133" s="8"/>
      <c r="C133" s="8"/>
      <c r="D133" s="8" t="s">
        <v>166</v>
      </c>
      <c r="E133" s="8" t="s">
        <v>749</v>
      </c>
      <c r="F133" s="9" t="s">
        <v>1274</v>
      </c>
      <c r="G133" s="13">
        <v>1170</v>
      </c>
      <c r="H133" s="8"/>
      <c r="I133" s="8"/>
      <c r="J133" s="8">
        <f>J132+Table234535910[[#This Row],[AMOUNT]]-Table234535910[[#This Row],[AMOUNT2]]-Table234535910[[#This Row],[AMOUNT3]]</f>
        <v>5431</v>
      </c>
      <c r="K133" s="125"/>
    </row>
    <row r="134" spans="1:11" x14ac:dyDescent="0.35">
      <c r="A134" s="29" t="s">
        <v>1264</v>
      </c>
      <c r="B134" s="8"/>
      <c r="C134" s="8"/>
      <c r="D134" s="8" t="s">
        <v>166</v>
      </c>
      <c r="E134" s="8" t="s">
        <v>749</v>
      </c>
      <c r="F134" s="9" t="s">
        <v>1275</v>
      </c>
      <c r="G134" s="13">
        <v>150</v>
      </c>
      <c r="H134" s="8"/>
      <c r="I134" s="8"/>
      <c r="J134" s="8">
        <f>J133+Table234535910[[#This Row],[AMOUNT]]-Table234535910[[#This Row],[AMOUNT2]]-Table234535910[[#This Row],[AMOUNT3]]</f>
        <v>5281</v>
      </c>
      <c r="K134" s="125"/>
    </row>
    <row r="135" spans="1:11" x14ac:dyDescent="0.35">
      <c r="A135" s="29" t="s">
        <v>1266</v>
      </c>
      <c r="B135" s="8"/>
      <c r="C135" s="8"/>
      <c r="D135" s="8" t="s">
        <v>1213</v>
      </c>
      <c r="E135" s="8" t="s">
        <v>0</v>
      </c>
      <c r="F135" s="9" t="s">
        <v>1276</v>
      </c>
      <c r="G135" s="13">
        <v>100</v>
      </c>
      <c r="H135" s="8"/>
      <c r="I135" s="8"/>
      <c r="J135" s="8">
        <f>J134+Table234535910[[#This Row],[AMOUNT]]-Table234535910[[#This Row],[AMOUNT2]]-Table234535910[[#This Row],[AMOUNT3]]</f>
        <v>5181</v>
      </c>
      <c r="K135" s="125"/>
    </row>
    <row r="136" spans="1:11" x14ac:dyDescent="0.35">
      <c r="A136" s="29" t="s">
        <v>1267</v>
      </c>
      <c r="B136" s="8"/>
      <c r="C136" s="8"/>
      <c r="D136" s="8" t="s">
        <v>1277</v>
      </c>
      <c r="E136" s="8" t="s">
        <v>749</v>
      </c>
      <c r="F136" s="9" t="s">
        <v>955</v>
      </c>
      <c r="G136" s="13">
        <v>100</v>
      </c>
      <c r="H136" s="8"/>
      <c r="I136" s="8"/>
      <c r="J136" s="8">
        <f>J135+Table234535910[[#This Row],[AMOUNT]]-Table234535910[[#This Row],[AMOUNT2]]-Table234535910[[#This Row],[AMOUNT3]]</f>
        <v>5081</v>
      </c>
      <c r="K136" s="125"/>
    </row>
    <row r="137" spans="1:11" x14ac:dyDescent="0.35">
      <c r="A137" s="29"/>
      <c r="B137" s="8"/>
      <c r="C137" s="8"/>
      <c r="D137" s="8"/>
      <c r="E137" s="8"/>
      <c r="F137" s="9"/>
      <c r="G137" s="13"/>
      <c r="H137" s="8"/>
      <c r="I137" s="8"/>
      <c r="J137" s="8">
        <f>J136+Table234535910[[#This Row],[AMOUNT]]-Table234535910[[#This Row],[AMOUNT2]]-Table234535910[[#This Row],[AMOUNT3]]</f>
        <v>5081</v>
      </c>
      <c r="K137" s="125"/>
    </row>
    <row r="138" spans="1:11" x14ac:dyDescent="0.35">
      <c r="A138" s="29"/>
      <c r="B138" s="8"/>
      <c r="C138" s="8"/>
      <c r="D138" s="8"/>
      <c r="E138" s="8"/>
      <c r="F138" s="9"/>
      <c r="G138" s="13"/>
      <c r="H138" s="8"/>
      <c r="I138" s="8"/>
      <c r="J138" s="8">
        <f>J137+Table234535910[[#This Row],[AMOUNT]]-Table234535910[[#This Row],[AMOUNT2]]-Table234535910[[#This Row],[AMOUNT3]]</f>
        <v>5081</v>
      </c>
      <c r="K138" s="125"/>
    </row>
    <row r="139" spans="1:11" x14ac:dyDescent="0.35">
      <c r="A139" s="29"/>
      <c r="B139" s="8"/>
      <c r="C139" s="8"/>
      <c r="D139" s="8"/>
      <c r="E139" s="8"/>
      <c r="F139" s="9"/>
      <c r="G139" s="13"/>
      <c r="H139" s="8"/>
      <c r="I139" s="8"/>
      <c r="J139" s="8">
        <f>J138+Table234535910[[#This Row],[AMOUNT]]-Table234535910[[#This Row],[AMOUNT2]]-Table234535910[[#This Row],[AMOUNT3]]</f>
        <v>5081</v>
      </c>
      <c r="K139" s="125"/>
    </row>
    <row r="140" spans="1:11" x14ac:dyDescent="0.35">
      <c r="A140" s="29"/>
      <c r="B140" s="8"/>
      <c r="C140" s="8"/>
      <c r="D140" s="8"/>
      <c r="E140" s="8"/>
      <c r="F140" s="9"/>
      <c r="G140" s="13"/>
      <c r="H140" s="8"/>
      <c r="I140" s="8"/>
      <c r="J140" s="8">
        <f>J139+Table234535910[[#This Row],[AMOUNT]]-Table234535910[[#This Row],[AMOUNT2]]-Table234535910[[#This Row],[AMOUNT3]]</f>
        <v>5081</v>
      </c>
      <c r="K140" s="125"/>
    </row>
    <row r="141" spans="1:11" x14ac:dyDescent="0.35">
      <c r="A141" s="29"/>
      <c r="B141" s="8"/>
      <c r="C141" s="8"/>
      <c r="D141" s="8"/>
      <c r="E141" s="8"/>
      <c r="F141" s="9"/>
      <c r="G141" s="13"/>
      <c r="H141" s="8"/>
      <c r="I141" s="8"/>
      <c r="J141" s="8">
        <f>J140+Table234535910[[#This Row],[AMOUNT]]-Table234535910[[#This Row],[AMOUNT2]]-Table234535910[[#This Row],[AMOUNT3]]</f>
        <v>5081</v>
      </c>
      <c r="K141" s="125"/>
    </row>
    <row r="142" spans="1:11" x14ac:dyDescent="0.35">
      <c r="A142" s="29"/>
      <c r="B142" s="8"/>
      <c r="C142" s="8"/>
      <c r="D142" s="8"/>
      <c r="E142" s="8"/>
      <c r="F142" s="9"/>
      <c r="G142" s="13"/>
      <c r="H142" s="8"/>
      <c r="I142" s="8"/>
      <c r="J142" s="8">
        <f>J141+Table234535910[[#This Row],[AMOUNT]]-Table234535910[[#This Row],[AMOUNT2]]-Table234535910[[#This Row],[AMOUNT3]]</f>
        <v>5081</v>
      </c>
      <c r="K142" s="125"/>
    </row>
    <row r="143" spans="1:11" x14ac:dyDescent="0.35">
      <c r="A143" s="29"/>
      <c r="B143" s="8"/>
      <c r="C143" s="8"/>
      <c r="D143" s="8"/>
      <c r="E143" s="8"/>
      <c r="F143" s="9"/>
      <c r="G143" s="13"/>
      <c r="H143" s="8"/>
      <c r="I143" s="8"/>
      <c r="J143" s="8">
        <f>J142+Table234535910[[#This Row],[AMOUNT]]-Table234535910[[#This Row],[AMOUNT2]]-Table234535910[[#This Row],[AMOUNT3]]</f>
        <v>5081</v>
      </c>
      <c r="K143" s="125"/>
    </row>
    <row r="144" spans="1:11" x14ac:dyDescent="0.35">
      <c r="A144" s="29"/>
      <c r="B144" s="8"/>
      <c r="C144" s="8"/>
      <c r="D144" s="8"/>
      <c r="E144" s="8"/>
      <c r="F144" s="9"/>
      <c r="G144" s="13"/>
      <c r="H144" s="8"/>
      <c r="I144" s="8"/>
      <c r="J144" s="8">
        <f>J143+Table234535910[[#This Row],[AMOUNT]]-Table234535910[[#This Row],[AMOUNT2]]-Table234535910[[#This Row],[AMOUNT3]]</f>
        <v>5081</v>
      </c>
      <c r="K144" s="125"/>
    </row>
    <row r="145" spans="1:11" x14ac:dyDescent="0.35">
      <c r="A145" s="29"/>
      <c r="B145" s="8"/>
      <c r="C145" s="8"/>
      <c r="D145" s="8"/>
      <c r="E145" s="8"/>
      <c r="F145" s="9"/>
      <c r="G145" s="13"/>
      <c r="H145" s="8"/>
      <c r="I145" s="8"/>
      <c r="J145" s="8">
        <f>J144+Table234535910[[#This Row],[AMOUNT]]-Table234535910[[#This Row],[AMOUNT2]]-Table234535910[[#This Row],[AMOUNT3]]</f>
        <v>5081</v>
      </c>
      <c r="K145" s="125"/>
    </row>
    <row r="146" spans="1:11" x14ac:dyDescent="0.35">
      <c r="A146" s="29"/>
      <c r="B146" s="8"/>
      <c r="C146" s="8"/>
      <c r="D146" s="8"/>
      <c r="E146" s="8"/>
      <c r="F146" s="9"/>
      <c r="G146" s="13"/>
      <c r="H146" s="8"/>
      <c r="I146" s="8"/>
      <c r="J146" s="8">
        <f>J145+Table234535910[[#This Row],[AMOUNT]]-Table234535910[[#This Row],[AMOUNT2]]-Table234535910[[#This Row],[AMOUNT3]]</f>
        <v>5081</v>
      </c>
      <c r="K146" s="125"/>
    </row>
    <row r="147" spans="1:11" x14ac:dyDescent="0.35">
      <c r="A147" s="29"/>
      <c r="B147" s="8"/>
      <c r="C147" s="8"/>
      <c r="D147" s="8"/>
      <c r="E147" s="8"/>
      <c r="F147" s="9"/>
      <c r="G147" s="13"/>
      <c r="H147" s="8"/>
      <c r="I147" s="8"/>
      <c r="J147" s="8">
        <f>J146+Table234535910[[#This Row],[AMOUNT]]-Table234535910[[#This Row],[AMOUNT2]]-Table234535910[[#This Row],[AMOUNT3]]</f>
        <v>5081</v>
      </c>
      <c r="K147" s="125"/>
    </row>
    <row r="148" spans="1:11" x14ac:dyDescent="0.35">
      <c r="A148" s="29"/>
      <c r="B148" s="8"/>
      <c r="C148" s="8"/>
      <c r="D148" s="8"/>
      <c r="E148" s="8"/>
      <c r="F148" s="9"/>
      <c r="G148" s="13"/>
      <c r="H148" s="8"/>
      <c r="I148" s="8"/>
      <c r="J148" s="8">
        <f>J147+Table234535910[[#This Row],[AMOUNT]]-Table234535910[[#This Row],[AMOUNT2]]-Table234535910[[#This Row],[AMOUNT3]]</f>
        <v>5081</v>
      </c>
      <c r="K148" s="125"/>
    </row>
    <row r="149" spans="1:11" x14ac:dyDescent="0.35">
      <c r="A149" s="29"/>
      <c r="B149" s="8"/>
      <c r="C149" s="8"/>
      <c r="D149" s="8"/>
      <c r="E149" s="8"/>
      <c r="F149" s="9"/>
      <c r="G149" s="13"/>
      <c r="H149" s="8"/>
      <c r="I149" s="8"/>
      <c r="J149" s="8">
        <f>J148+Table234535910[[#This Row],[AMOUNT]]-Table234535910[[#This Row],[AMOUNT2]]-Table234535910[[#This Row],[AMOUNT3]]</f>
        <v>5081</v>
      </c>
      <c r="K149" s="125"/>
    </row>
    <row r="150" spans="1:11" x14ac:dyDescent="0.35">
      <c r="A150" s="29"/>
      <c r="B150" s="8"/>
      <c r="C150" s="8"/>
      <c r="D150" s="8"/>
      <c r="E150" s="8"/>
      <c r="F150" s="9"/>
      <c r="G150" s="13"/>
      <c r="H150" s="8"/>
      <c r="I150" s="8"/>
      <c r="J150" s="8">
        <f>J149+Table234535910[[#This Row],[AMOUNT]]-Table234535910[[#This Row],[AMOUNT2]]-Table234535910[[#This Row],[AMOUNT3]]</f>
        <v>5081</v>
      </c>
      <c r="K150" s="125"/>
    </row>
    <row r="151" spans="1:11" x14ac:dyDescent="0.35">
      <c r="A151" s="29"/>
      <c r="B151" s="8"/>
      <c r="C151" s="8"/>
      <c r="D151" s="8"/>
      <c r="E151" s="8"/>
      <c r="F151" s="9"/>
      <c r="G151" s="13"/>
      <c r="H151" s="8"/>
      <c r="I151" s="8"/>
      <c r="J151" s="8">
        <f>J150+Table234535910[[#This Row],[AMOUNT]]-Table234535910[[#This Row],[AMOUNT2]]-Table234535910[[#This Row],[AMOUNT3]]</f>
        <v>5081</v>
      </c>
      <c r="K151" s="125"/>
    </row>
    <row r="152" spans="1:11" x14ac:dyDescent="0.35">
      <c r="A152" s="29"/>
      <c r="B152" s="8"/>
      <c r="C152" s="8"/>
      <c r="D152" s="8"/>
      <c r="E152" s="8"/>
      <c r="F152" s="9"/>
      <c r="G152" s="13"/>
      <c r="H152" s="8"/>
      <c r="I152" s="8"/>
      <c r="J152" s="8">
        <f>J151+Table234535910[[#This Row],[AMOUNT]]-Table234535910[[#This Row],[AMOUNT2]]-Table234535910[[#This Row],[AMOUNT3]]</f>
        <v>5081</v>
      </c>
      <c r="K152" s="125"/>
    </row>
    <row r="153" spans="1:11" x14ac:dyDescent="0.35">
      <c r="A153" s="29"/>
      <c r="B153" s="8"/>
      <c r="C153" s="8"/>
      <c r="D153" s="8"/>
      <c r="E153" s="8"/>
      <c r="F153" s="9"/>
      <c r="G153" s="13"/>
      <c r="H153" s="8"/>
      <c r="I153" s="8"/>
      <c r="J153" s="8">
        <f>J152+Table234535910[[#This Row],[AMOUNT]]-Table234535910[[#This Row],[AMOUNT2]]-Table234535910[[#This Row],[AMOUNT3]]</f>
        <v>5081</v>
      </c>
      <c r="K153" s="125"/>
    </row>
    <row r="154" spans="1:11" x14ac:dyDescent="0.35">
      <c r="A154" s="29"/>
      <c r="B154" s="8"/>
      <c r="C154" s="8"/>
      <c r="D154" s="8"/>
      <c r="E154" s="8"/>
      <c r="F154" s="9"/>
      <c r="G154" s="13"/>
      <c r="H154" s="8"/>
      <c r="I154" s="8"/>
      <c r="J154" s="8">
        <f>J153+Table234535910[[#This Row],[AMOUNT]]-Table234535910[[#This Row],[AMOUNT2]]-Table234535910[[#This Row],[AMOUNT3]]</f>
        <v>5081</v>
      </c>
      <c r="K154" s="125"/>
    </row>
    <row r="155" spans="1:11" x14ac:dyDescent="0.35">
      <c r="A155" s="29"/>
      <c r="B155" s="8"/>
      <c r="C155" s="8"/>
      <c r="D155" s="8"/>
      <c r="E155" s="8"/>
      <c r="F155" s="9"/>
      <c r="G155" s="13"/>
      <c r="H155" s="8"/>
      <c r="I155" s="8"/>
      <c r="J155" s="8">
        <f>J154+Table234535910[[#This Row],[AMOUNT]]-Table234535910[[#This Row],[AMOUNT2]]-Table234535910[[#This Row],[AMOUNT3]]</f>
        <v>5081</v>
      </c>
      <c r="K155" s="125"/>
    </row>
    <row r="156" spans="1:11" x14ac:dyDescent="0.35">
      <c r="A156" s="29"/>
      <c r="B156" s="8"/>
      <c r="C156" s="8"/>
      <c r="D156" s="8"/>
      <c r="E156" s="8"/>
      <c r="F156" s="9"/>
      <c r="G156" s="13"/>
      <c r="H156" s="8"/>
      <c r="I156" s="8"/>
      <c r="J156" s="8">
        <f>J155+Table234535910[[#This Row],[AMOUNT]]-Table234535910[[#This Row],[AMOUNT2]]-Table234535910[[#This Row],[AMOUNT3]]</f>
        <v>5081</v>
      </c>
      <c r="K156" s="125"/>
    </row>
    <row r="157" spans="1:11" x14ac:dyDescent="0.35">
      <c r="A157" s="29"/>
      <c r="B157" s="8"/>
      <c r="C157" s="8"/>
      <c r="D157" s="8"/>
      <c r="E157" s="8"/>
      <c r="F157" s="9"/>
      <c r="G157" s="13"/>
      <c r="H157" s="8"/>
      <c r="I157" s="8"/>
      <c r="J157" s="8">
        <f>J156+Table234535910[[#This Row],[AMOUNT]]-Table234535910[[#This Row],[AMOUNT2]]-Table234535910[[#This Row],[AMOUNT3]]</f>
        <v>5081</v>
      </c>
      <c r="K157" s="125"/>
    </row>
    <row r="158" spans="1:11" x14ac:dyDescent="0.35">
      <c r="A158" s="29"/>
      <c r="B158" s="8"/>
      <c r="C158" s="8"/>
      <c r="D158" s="8"/>
      <c r="E158" s="8"/>
      <c r="F158" s="9"/>
      <c r="G158" s="13"/>
      <c r="H158" s="8"/>
      <c r="I158" s="8"/>
      <c r="J158" s="8">
        <f>J157+Table234535910[[#This Row],[AMOUNT]]-Table234535910[[#This Row],[AMOUNT2]]-Table234535910[[#This Row],[AMOUNT3]]</f>
        <v>5081</v>
      </c>
      <c r="K158" s="125"/>
    </row>
    <row r="159" spans="1:11" x14ac:dyDescent="0.35">
      <c r="A159" s="29"/>
      <c r="B159" s="8"/>
      <c r="C159" s="8"/>
      <c r="D159" s="8"/>
      <c r="E159" s="8"/>
      <c r="F159" s="9"/>
      <c r="G159" s="13"/>
      <c r="H159" s="8"/>
      <c r="I159" s="8"/>
      <c r="J159" s="8">
        <f>J158+Table234535910[[#This Row],[AMOUNT]]-Table234535910[[#This Row],[AMOUNT2]]-Table234535910[[#This Row],[AMOUNT3]]</f>
        <v>5081</v>
      </c>
      <c r="K159" s="125"/>
    </row>
    <row r="160" spans="1:11" x14ac:dyDescent="0.35">
      <c r="A160" s="29"/>
      <c r="B160" s="8"/>
      <c r="C160" s="8"/>
      <c r="D160" s="8"/>
      <c r="E160" s="8"/>
      <c r="F160" s="9"/>
      <c r="G160" s="13"/>
      <c r="H160" s="8"/>
      <c r="I160" s="8"/>
      <c r="J160" s="8">
        <f>J159+Table234535910[[#This Row],[AMOUNT]]-Table234535910[[#This Row],[AMOUNT2]]-Table234535910[[#This Row],[AMOUNT3]]</f>
        <v>5081</v>
      </c>
      <c r="K160" s="125"/>
    </row>
    <row r="161" spans="1:11" x14ac:dyDescent="0.35">
      <c r="A161" s="29"/>
      <c r="B161" s="8"/>
      <c r="C161" s="8"/>
      <c r="D161" s="8"/>
      <c r="E161" s="8"/>
      <c r="F161" s="9"/>
      <c r="G161" s="13"/>
      <c r="H161" s="8"/>
      <c r="I161" s="8"/>
      <c r="J161" s="8">
        <f>J160+Table234535910[[#This Row],[AMOUNT]]-Table234535910[[#This Row],[AMOUNT2]]-Table234535910[[#This Row],[AMOUNT3]]</f>
        <v>5081</v>
      </c>
      <c r="K161" s="125"/>
    </row>
    <row r="162" spans="1:11" x14ac:dyDescent="0.35">
      <c r="A162" s="29"/>
      <c r="B162" s="8"/>
      <c r="C162" s="8"/>
      <c r="D162" s="8"/>
      <c r="E162" s="8"/>
      <c r="F162" s="9"/>
      <c r="G162" s="13"/>
      <c r="H162" s="8"/>
      <c r="I162" s="8"/>
      <c r="J162" s="8">
        <f>J161+Table234535910[[#This Row],[AMOUNT]]-Table234535910[[#This Row],[AMOUNT2]]-Table234535910[[#This Row],[AMOUNT3]]</f>
        <v>5081</v>
      </c>
      <c r="K162" s="125"/>
    </row>
    <row r="163" spans="1:11" x14ac:dyDescent="0.35">
      <c r="A163" s="29"/>
      <c r="B163" s="8"/>
      <c r="C163" s="8"/>
      <c r="D163" s="8"/>
      <c r="E163" s="8"/>
      <c r="F163" s="9"/>
      <c r="G163" s="13"/>
      <c r="H163" s="8"/>
      <c r="I163" s="8"/>
      <c r="J163" s="8">
        <f>J162+Table234535910[[#This Row],[AMOUNT]]-Table234535910[[#This Row],[AMOUNT2]]-Table234535910[[#This Row],[AMOUNT3]]</f>
        <v>5081</v>
      </c>
      <c r="K163" s="125"/>
    </row>
    <row r="164" spans="1:11" x14ac:dyDescent="0.35">
      <c r="A164" s="29"/>
      <c r="B164" s="8"/>
      <c r="C164" s="8"/>
      <c r="D164" s="8"/>
      <c r="E164" s="8"/>
      <c r="F164" s="9"/>
      <c r="G164" s="13"/>
      <c r="H164" s="8"/>
      <c r="I164" s="8"/>
      <c r="J164" s="8">
        <f>J163+Table234535910[[#This Row],[AMOUNT]]-Table234535910[[#This Row],[AMOUNT2]]-Table234535910[[#This Row],[AMOUNT3]]</f>
        <v>5081</v>
      </c>
      <c r="K164" s="125"/>
    </row>
    <row r="165" spans="1:11" x14ac:dyDescent="0.35">
      <c r="A165" s="29"/>
      <c r="B165" s="8"/>
      <c r="C165" s="8"/>
      <c r="D165" s="8"/>
      <c r="E165" s="8"/>
      <c r="F165" s="9"/>
      <c r="G165" s="13"/>
      <c r="H165" s="8"/>
      <c r="I165" s="8"/>
      <c r="J165" s="8">
        <f>J164+Table234535910[[#This Row],[AMOUNT]]-Table234535910[[#This Row],[AMOUNT2]]-Table234535910[[#This Row],[AMOUNT3]]</f>
        <v>5081</v>
      </c>
      <c r="K165" s="125"/>
    </row>
    <row r="166" spans="1:11" x14ac:dyDescent="0.35">
      <c r="A166" s="29"/>
      <c r="B166" s="8"/>
      <c r="C166" s="8"/>
      <c r="D166" s="8"/>
      <c r="E166" s="8"/>
      <c r="F166" s="9"/>
      <c r="G166" s="13"/>
      <c r="H166" s="8"/>
      <c r="I166" s="8"/>
      <c r="J166" s="8">
        <f>J165+Table234535910[[#This Row],[AMOUNT]]-Table234535910[[#This Row],[AMOUNT2]]-Table234535910[[#This Row],[AMOUNT3]]</f>
        <v>5081</v>
      </c>
      <c r="K166" s="125"/>
    </row>
    <row r="167" spans="1:11" x14ac:dyDescent="0.35">
      <c r="A167" s="29"/>
      <c r="B167" s="8"/>
      <c r="C167" s="8"/>
      <c r="D167" s="8"/>
      <c r="E167" s="8"/>
      <c r="F167" s="9"/>
      <c r="G167" s="13"/>
      <c r="H167" s="8"/>
      <c r="I167" s="8"/>
      <c r="J167" s="8">
        <f>J166+Table234535910[[#This Row],[AMOUNT]]-Table234535910[[#This Row],[AMOUNT2]]-Table234535910[[#This Row],[AMOUNT3]]</f>
        <v>5081</v>
      </c>
      <c r="K167" s="125"/>
    </row>
    <row r="168" spans="1:11" x14ac:dyDescent="0.35">
      <c r="A168" s="29"/>
      <c r="B168" s="8"/>
      <c r="C168" s="8"/>
      <c r="D168" s="8"/>
      <c r="E168" s="8"/>
      <c r="F168" s="9"/>
      <c r="G168" s="13"/>
      <c r="H168" s="8"/>
      <c r="I168" s="8"/>
      <c r="J168" s="8">
        <f>J167+Table234535910[[#This Row],[AMOUNT]]-Table234535910[[#This Row],[AMOUNT2]]-Table234535910[[#This Row],[AMOUNT3]]</f>
        <v>5081</v>
      </c>
      <c r="K168" s="125"/>
    </row>
    <row r="169" spans="1:11" x14ac:dyDescent="0.35">
      <c r="A169" s="29"/>
      <c r="B169" s="8"/>
      <c r="C169" s="8"/>
      <c r="D169" s="8"/>
      <c r="E169" s="8"/>
      <c r="F169" s="9"/>
      <c r="G169" s="13"/>
      <c r="H169" s="8"/>
      <c r="I169" s="8"/>
      <c r="J169" s="8">
        <f>J168+Table234535910[[#This Row],[AMOUNT]]-Table234535910[[#This Row],[AMOUNT2]]-Table234535910[[#This Row],[AMOUNT3]]</f>
        <v>5081</v>
      </c>
      <c r="K169" s="125"/>
    </row>
    <row r="170" spans="1:11" x14ac:dyDescent="0.35">
      <c r="A170" s="29"/>
      <c r="B170" s="8"/>
      <c r="C170" s="8"/>
      <c r="D170" s="8"/>
      <c r="E170" s="8"/>
      <c r="F170" s="9"/>
      <c r="G170" s="13"/>
      <c r="H170" s="8"/>
      <c r="I170" s="8"/>
      <c r="J170" s="8">
        <f>J169+Table234535910[[#This Row],[AMOUNT]]-Table234535910[[#This Row],[AMOUNT2]]-Table234535910[[#This Row],[AMOUNT3]]</f>
        <v>5081</v>
      </c>
      <c r="K170" s="125"/>
    </row>
    <row r="171" spans="1:11" x14ac:dyDescent="0.35">
      <c r="A171" s="29"/>
      <c r="B171" s="8"/>
      <c r="C171" s="8"/>
      <c r="D171" s="8"/>
      <c r="E171" s="8"/>
      <c r="F171" s="9"/>
      <c r="G171" s="13"/>
      <c r="H171" s="8"/>
      <c r="I171" s="8"/>
      <c r="J171" s="8">
        <f>J170+Table234535910[[#This Row],[AMOUNT]]-Table234535910[[#This Row],[AMOUNT2]]-Table234535910[[#This Row],[AMOUNT3]]</f>
        <v>5081</v>
      </c>
      <c r="K171" s="125"/>
    </row>
    <row r="172" spans="1:11" x14ac:dyDescent="0.35">
      <c r="A172" s="29"/>
      <c r="B172" s="8"/>
      <c r="C172" s="8"/>
      <c r="D172" s="8"/>
      <c r="E172" s="8"/>
      <c r="F172" s="9"/>
      <c r="G172" s="13"/>
      <c r="H172" s="8"/>
      <c r="I172" s="8"/>
      <c r="J172" s="8">
        <f>J171+Table234535910[[#This Row],[AMOUNT]]-Table234535910[[#This Row],[AMOUNT2]]-Table234535910[[#This Row],[AMOUNT3]]</f>
        <v>5081</v>
      </c>
      <c r="K172" s="125"/>
    </row>
    <row r="173" spans="1:11" x14ac:dyDescent="0.35">
      <c r="A173" s="29"/>
      <c r="B173" s="8"/>
      <c r="C173" s="8"/>
      <c r="D173" s="8"/>
      <c r="E173" s="8"/>
      <c r="F173" s="9"/>
      <c r="G173" s="13"/>
      <c r="H173" s="8"/>
      <c r="I173" s="8"/>
      <c r="J173" s="8">
        <f>J172+Table234535910[[#This Row],[AMOUNT]]-Table234535910[[#This Row],[AMOUNT2]]-Table234535910[[#This Row],[AMOUNT3]]</f>
        <v>5081</v>
      </c>
      <c r="K173" s="125"/>
    </row>
    <row r="174" spans="1:11" x14ac:dyDescent="0.35">
      <c r="A174" s="29"/>
      <c r="B174" s="8"/>
      <c r="C174" s="8"/>
      <c r="D174" s="8"/>
      <c r="E174" s="8"/>
      <c r="F174" s="9"/>
      <c r="G174" s="13"/>
      <c r="H174" s="8"/>
      <c r="I174" s="8"/>
      <c r="J174" s="8">
        <f>J173+Table234535910[[#This Row],[AMOUNT]]-Table234535910[[#This Row],[AMOUNT2]]-Table234535910[[#This Row],[AMOUNT3]]</f>
        <v>5081</v>
      </c>
      <c r="K174" s="125"/>
    </row>
    <row r="175" spans="1:11" x14ac:dyDescent="0.35">
      <c r="A175" s="29"/>
      <c r="B175" s="8"/>
      <c r="C175" s="8"/>
      <c r="D175" s="8"/>
      <c r="E175" s="8"/>
      <c r="F175" s="9"/>
      <c r="G175" s="13"/>
      <c r="H175" s="8"/>
      <c r="I175" s="8"/>
      <c r="J175" s="8">
        <f>J174+Table234535910[[#This Row],[AMOUNT]]-Table234535910[[#This Row],[AMOUNT2]]-Table234535910[[#This Row],[AMOUNT3]]</f>
        <v>5081</v>
      </c>
      <c r="K175" s="125"/>
    </row>
    <row r="176" spans="1:11" x14ac:dyDescent="0.35">
      <c r="A176" s="29"/>
      <c r="B176" s="8"/>
      <c r="C176" s="8"/>
      <c r="D176" s="8"/>
      <c r="E176" s="8"/>
      <c r="F176" s="9"/>
      <c r="G176" s="13"/>
      <c r="H176" s="8"/>
      <c r="I176" s="8"/>
      <c r="J176" s="8">
        <f>J175+Table234535910[[#This Row],[AMOUNT]]-Table234535910[[#This Row],[AMOUNT2]]-Table234535910[[#This Row],[AMOUNT3]]</f>
        <v>5081</v>
      </c>
      <c r="K176" s="125"/>
    </row>
    <row r="177" spans="1:11" x14ac:dyDescent="0.35">
      <c r="A177" s="29"/>
      <c r="B177" s="8"/>
      <c r="C177" s="8"/>
      <c r="D177" s="8"/>
      <c r="E177" s="8"/>
      <c r="F177" s="9"/>
      <c r="G177" s="13"/>
      <c r="H177" s="8"/>
      <c r="I177" s="8"/>
      <c r="J177" s="8">
        <f>J176+Table234535910[[#This Row],[AMOUNT]]-Table234535910[[#This Row],[AMOUNT2]]-Table234535910[[#This Row],[AMOUNT3]]</f>
        <v>5081</v>
      </c>
      <c r="K177" s="125"/>
    </row>
    <row r="178" spans="1:11" x14ac:dyDescent="0.35">
      <c r="A178" s="29"/>
      <c r="B178" s="8"/>
      <c r="C178" s="8"/>
      <c r="D178" s="8"/>
      <c r="E178" s="8"/>
      <c r="F178" s="9"/>
      <c r="G178" s="13"/>
      <c r="H178" s="8"/>
      <c r="I178" s="8"/>
      <c r="J178" s="8">
        <f>J177+Table234535910[[#This Row],[AMOUNT]]-Table234535910[[#This Row],[AMOUNT2]]-Table234535910[[#This Row],[AMOUNT3]]</f>
        <v>5081</v>
      </c>
      <c r="K178" s="125"/>
    </row>
    <row r="179" spans="1:11" x14ac:dyDescent="0.35">
      <c r="A179" s="29"/>
      <c r="B179" s="8"/>
      <c r="C179" s="8"/>
      <c r="D179" s="8"/>
      <c r="E179" s="8"/>
      <c r="F179" s="9"/>
      <c r="G179" s="13"/>
      <c r="H179" s="8"/>
      <c r="I179" s="8"/>
      <c r="J179" s="8">
        <f>J178+Table234535910[[#This Row],[AMOUNT]]-Table234535910[[#This Row],[AMOUNT2]]-Table234535910[[#This Row],[AMOUNT3]]</f>
        <v>5081</v>
      </c>
      <c r="K179" s="125"/>
    </row>
    <row r="180" spans="1:11" x14ac:dyDescent="0.35">
      <c r="A180" s="29"/>
      <c r="B180" s="8"/>
      <c r="C180" s="8"/>
      <c r="D180" s="8"/>
      <c r="E180" s="8"/>
      <c r="F180" s="9"/>
      <c r="G180" s="13"/>
      <c r="H180" s="8"/>
      <c r="I180" s="8"/>
      <c r="J180" s="8">
        <f>J179+Table234535910[[#This Row],[AMOUNT]]-Table234535910[[#This Row],[AMOUNT2]]-Table234535910[[#This Row],[AMOUNT3]]</f>
        <v>5081</v>
      </c>
      <c r="K180" s="125"/>
    </row>
    <row r="181" spans="1:11" x14ac:dyDescent="0.35">
      <c r="A181" s="29"/>
      <c r="B181" s="8"/>
      <c r="C181" s="8"/>
      <c r="D181" s="8"/>
      <c r="E181" s="8"/>
      <c r="F181" s="9"/>
      <c r="G181" s="13"/>
      <c r="H181" s="8"/>
      <c r="I181" s="8"/>
      <c r="J181" s="8">
        <f>J180+Table234535910[[#This Row],[AMOUNT]]-Table234535910[[#This Row],[AMOUNT2]]-Table234535910[[#This Row],[AMOUNT3]]</f>
        <v>5081</v>
      </c>
      <c r="K181" s="125"/>
    </row>
    <row r="182" spans="1:11" x14ac:dyDescent="0.35">
      <c r="A182" s="29"/>
      <c r="B182" s="8"/>
      <c r="C182" s="8"/>
      <c r="D182" s="8"/>
      <c r="E182" s="8"/>
      <c r="F182" s="9"/>
      <c r="G182" s="13"/>
      <c r="H182" s="8"/>
      <c r="I182" s="8"/>
      <c r="J182" s="8">
        <f>J181+Table234535910[[#This Row],[AMOUNT]]-Table234535910[[#This Row],[AMOUNT2]]-Table234535910[[#This Row],[AMOUNT3]]</f>
        <v>5081</v>
      </c>
      <c r="K182" s="125"/>
    </row>
    <row r="183" spans="1:11" x14ac:dyDescent="0.35">
      <c r="A183" s="29"/>
      <c r="B183" s="8"/>
      <c r="C183" s="8"/>
      <c r="D183" s="8"/>
      <c r="E183" s="8"/>
      <c r="F183" s="9"/>
      <c r="G183" s="13"/>
      <c r="H183" s="8"/>
      <c r="I183" s="8"/>
      <c r="J183" s="8">
        <f>J182+Table234535910[[#This Row],[AMOUNT]]-Table234535910[[#This Row],[AMOUNT2]]-Table234535910[[#This Row],[AMOUNT3]]</f>
        <v>5081</v>
      </c>
      <c r="K183" s="125"/>
    </row>
    <row r="184" spans="1:11" x14ac:dyDescent="0.35">
      <c r="A184" s="29"/>
      <c r="B184" s="8"/>
      <c r="C184" s="8"/>
      <c r="D184" s="8"/>
      <c r="E184" s="8"/>
      <c r="F184" s="9"/>
      <c r="G184" s="13"/>
      <c r="H184" s="8"/>
      <c r="I184" s="8"/>
      <c r="J184" s="8">
        <f>J183+Table234535910[[#This Row],[AMOUNT]]-Table234535910[[#This Row],[AMOUNT2]]-Table234535910[[#This Row],[AMOUNT3]]</f>
        <v>5081</v>
      </c>
      <c r="K184" s="125"/>
    </row>
    <row r="185" spans="1:11" x14ac:dyDescent="0.35">
      <c r="A185" s="29"/>
      <c r="B185" s="8"/>
      <c r="C185" s="8"/>
      <c r="D185" s="8"/>
      <c r="E185" s="8"/>
      <c r="F185" s="9"/>
      <c r="G185" s="13"/>
      <c r="H185" s="8"/>
      <c r="I185" s="8"/>
      <c r="J185" s="8">
        <f>J184+Table234535910[[#This Row],[AMOUNT]]-Table234535910[[#This Row],[AMOUNT2]]-Table234535910[[#This Row],[AMOUNT3]]</f>
        <v>5081</v>
      </c>
      <c r="K185" s="125"/>
    </row>
    <row r="186" spans="1:11" x14ac:dyDescent="0.35">
      <c r="A186" s="29"/>
      <c r="B186" s="8"/>
      <c r="C186" s="8"/>
      <c r="D186" s="8"/>
      <c r="E186" s="8"/>
      <c r="F186" s="9"/>
      <c r="G186" s="13"/>
      <c r="H186" s="8"/>
      <c r="I186" s="8"/>
      <c r="J186" s="8">
        <f>J185+Table234535910[[#This Row],[AMOUNT]]-Table234535910[[#This Row],[AMOUNT2]]-Table234535910[[#This Row],[AMOUNT3]]</f>
        <v>5081</v>
      </c>
      <c r="K186" s="125"/>
    </row>
    <row r="187" spans="1:11" x14ac:dyDescent="0.35">
      <c r="A187" s="29"/>
      <c r="B187" s="8"/>
      <c r="C187" s="8"/>
      <c r="D187" s="8"/>
      <c r="E187" s="8"/>
      <c r="F187" s="9"/>
      <c r="G187" s="13"/>
      <c r="H187" s="8"/>
      <c r="I187" s="8"/>
      <c r="J187" s="8">
        <f>J186+Table234535910[[#This Row],[AMOUNT]]-Table234535910[[#This Row],[AMOUNT2]]-Table234535910[[#This Row],[AMOUNT3]]</f>
        <v>5081</v>
      </c>
      <c r="K187" s="125"/>
    </row>
    <row r="188" spans="1:11" x14ac:dyDescent="0.35">
      <c r="A188" s="29"/>
      <c r="B188" s="8"/>
      <c r="C188" s="8"/>
      <c r="D188" s="8"/>
      <c r="E188" s="8"/>
      <c r="F188" s="9"/>
      <c r="G188" s="13"/>
      <c r="H188" s="8"/>
      <c r="I188" s="8"/>
      <c r="J188" s="8">
        <f>J187+Table234535910[[#This Row],[AMOUNT]]-Table234535910[[#This Row],[AMOUNT2]]-Table234535910[[#This Row],[AMOUNT3]]</f>
        <v>5081</v>
      </c>
      <c r="K188" s="125"/>
    </row>
    <row r="189" spans="1:11" x14ac:dyDescent="0.35">
      <c r="A189" s="29"/>
      <c r="B189" s="8"/>
      <c r="C189" s="8"/>
      <c r="D189" s="8"/>
      <c r="E189" s="8"/>
      <c r="F189" s="9"/>
      <c r="G189" s="13"/>
      <c r="H189" s="8"/>
      <c r="I189" s="8"/>
      <c r="J189" s="8">
        <f>J188+Table234535910[[#This Row],[AMOUNT]]-Table234535910[[#This Row],[AMOUNT2]]-Table234535910[[#This Row],[AMOUNT3]]</f>
        <v>5081</v>
      </c>
      <c r="K189" s="125"/>
    </row>
    <row r="190" spans="1:11" x14ac:dyDescent="0.35">
      <c r="A190" s="29"/>
      <c r="B190" s="8"/>
      <c r="C190" s="8"/>
      <c r="D190" s="8"/>
      <c r="E190" s="8"/>
      <c r="F190" s="9"/>
      <c r="G190" s="13"/>
      <c r="H190" s="8"/>
      <c r="I190" s="8"/>
      <c r="J190" s="8">
        <f>J189+Table234535910[[#This Row],[AMOUNT]]-Table234535910[[#This Row],[AMOUNT2]]-Table234535910[[#This Row],[AMOUNT3]]</f>
        <v>5081</v>
      </c>
      <c r="K190" s="125"/>
    </row>
    <row r="191" spans="1:11" x14ac:dyDescent="0.35">
      <c r="A191" s="29"/>
      <c r="B191" s="8"/>
      <c r="C191" s="8"/>
      <c r="D191" s="8"/>
      <c r="E191" s="8"/>
      <c r="F191" s="9"/>
      <c r="G191" s="13"/>
      <c r="H191" s="8"/>
      <c r="I191" s="8"/>
      <c r="J191" s="8">
        <f>J190+Table234535910[[#This Row],[AMOUNT]]-Table234535910[[#This Row],[AMOUNT2]]-Table234535910[[#This Row],[AMOUNT3]]</f>
        <v>5081</v>
      </c>
      <c r="K191" s="125"/>
    </row>
    <row r="192" spans="1:11" x14ac:dyDescent="0.35">
      <c r="A192" s="29"/>
      <c r="B192" s="8"/>
      <c r="C192" s="8"/>
      <c r="D192" s="8"/>
      <c r="E192" s="8"/>
      <c r="F192" s="9"/>
      <c r="G192" s="13"/>
      <c r="H192" s="8"/>
      <c r="I192" s="8"/>
      <c r="J192" s="8">
        <f>J191+Table234535910[[#This Row],[AMOUNT]]-Table234535910[[#This Row],[AMOUNT2]]-Table234535910[[#This Row],[AMOUNT3]]</f>
        <v>5081</v>
      </c>
      <c r="K192" s="125"/>
    </row>
    <row r="193" spans="1:11" x14ac:dyDescent="0.35">
      <c r="A193" s="29"/>
      <c r="B193" s="8"/>
      <c r="C193" s="8"/>
      <c r="D193" s="8"/>
      <c r="E193" s="8"/>
      <c r="F193" s="9"/>
      <c r="G193" s="13"/>
      <c r="H193" s="8"/>
      <c r="I193" s="8"/>
      <c r="J193" s="8">
        <f>J192+Table234535910[[#This Row],[AMOUNT]]-Table234535910[[#This Row],[AMOUNT2]]-Table234535910[[#This Row],[AMOUNT3]]</f>
        <v>5081</v>
      </c>
      <c r="K193" s="125"/>
    </row>
    <row r="194" spans="1:11" x14ac:dyDescent="0.35">
      <c r="A194" s="29"/>
      <c r="B194" s="8"/>
      <c r="C194" s="8"/>
      <c r="D194" s="8"/>
      <c r="E194" s="8"/>
      <c r="F194" s="9"/>
      <c r="G194" s="13"/>
      <c r="H194" s="8"/>
      <c r="I194" s="8"/>
      <c r="J194" s="8">
        <f>J193+Table234535910[[#This Row],[AMOUNT]]-Table234535910[[#This Row],[AMOUNT2]]-Table234535910[[#This Row],[AMOUNT3]]</f>
        <v>5081</v>
      </c>
      <c r="K194" s="125"/>
    </row>
    <row r="195" spans="1:11" x14ac:dyDescent="0.35">
      <c r="A195" s="29"/>
      <c r="B195" s="8"/>
      <c r="C195" s="8"/>
      <c r="D195" s="8"/>
      <c r="E195" s="8"/>
      <c r="F195" s="9"/>
      <c r="G195" s="13"/>
      <c r="H195" s="8"/>
      <c r="I195" s="8"/>
      <c r="J195" s="8">
        <f>J194+Table234535910[[#This Row],[AMOUNT]]-Table234535910[[#This Row],[AMOUNT2]]-Table234535910[[#This Row],[AMOUNT3]]</f>
        <v>5081</v>
      </c>
      <c r="K195" s="125"/>
    </row>
    <row r="196" spans="1:11" x14ac:dyDescent="0.35">
      <c r="A196" s="29"/>
      <c r="B196" s="8"/>
      <c r="C196" s="8"/>
      <c r="D196" s="8"/>
      <c r="E196" s="8"/>
      <c r="F196" s="9"/>
      <c r="G196" s="13"/>
      <c r="H196" s="8"/>
      <c r="I196" s="8"/>
      <c r="J196" s="8">
        <f>J195+Table234535910[[#This Row],[AMOUNT]]-Table234535910[[#This Row],[AMOUNT2]]-Table234535910[[#This Row],[AMOUNT3]]</f>
        <v>5081</v>
      </c>
      <c r="K196" s="125"/>
    </row>
    <row r="197" spans="1:11" x14ac:dyDescent="0.35">
      <c r="A197" s="29"/>
      <c r="B197" s="8"/>
      <c r="C197" s="8"/>
      <c r="D197" s="8"/>
      <c r="E197" s="8"/>
      <c r="F197" s="9"/>
      <c r="G197" s="13"/>
      <c r="H197" s="8"/>
      <c r="I197" s="8"/>
      <c r="J197" s="8">
        <f>J196+Table234535910[[#This Row],[AMOUNT]]-Table234535910[[#This Row],[AMOUNT2]]-Table234535910[[#This Row],[AMOUNT3]]</f>
        <v>5081</v>
      </c>
      <c r="K197" s="125"/>
    </row>
    <row r="198" spans="1:11" x14ac:dyDescent="0.35">
      <c r="A198" s="29"/>
      <c r="B198" s="8"/>
      <c r="C198" s="8"/>
      <c r="D198" s="8"/>
      <c r="E198" s="8"/>
      <c r="F198" s="9"/>
      <c r="G198" s="13"/>
      <c r="H198" s="8"/>
      <c r="I198" s="8"/>
      <c r="J198" s="8">
        <f>J197+Table234535910[[#This Row],[AMOUNT]]-Table234535910[[#This Row],[AMOUNT2]]-Table234535910[[#This Row],[AMOUNT3]]</f>
        <v>5081</v>
      </c>
      <c r="K198" s="125"/>
    </row>
    <row r="199" spans="1:11" x14ac:dyDescent="0.35">
      <c r="A199" s="29"/>
      <c r="B199" s="8"/>
      <c r="C199" s="8"/>
      <c r="D199" s="8"/>
      <c r="E199" s="8"/>
      <c r="F199" s="9"/>
      <c r="G199" s="13"/>
      <c r="H199" s="8"/>
      <c r="I199" s="8"/>
      <c r="J199" s="8">
        <f>J198+Table234535910[[#This Row],[AMOUNT]]-Table234535910[[#This Row],[AMOUNT2]]-Table234535910[[#This Row],[AMOUNT3]]</f>
        <v>5081</v>
      </c>
      <c r="K199" s="125"/>
    </row>
    <row r="200" spans="1:11" x14ac:dyDescent="0.35">
      <c r="A200" s="29"/>
      <c r="B200" s="8"/>
      <c r="C200" s="8"/>
      <c r="D200" s="8"/>
      <c r="E200" s="8"/>
      <c r="F200" s="9"/>
      <c r="G200" s="13"/>
      <c r="H200" s="8"/>
      <c r="I200" s="8"/>
      <c r="J200" s="8">
        <f>J199+Table234535910[[#This Row],[AMOUNT]]-Table234535910[[#This Row],[AMOUNT2]]-Table234535910[[#This Row],[AMOUNT3]]</f>
        <v>5081</v>
      </c>
      <c r="K200" s="125"/>
    </row>
    <row r="201" spans="1:11" x14ac:dyDescent="0.35">
      <c r="A201" s="29"/>
      <c r="B201" s="8"/>
      <c r="C201" s="8"/>
      <c r="D201" s="8"/>
      <c r="E201" s="8"/>
      <c r="F201" s="9"/>
      <c r="G201" s="13"/>
      <c r="H201" s="8"/>
      <c r="I201" s="8"/>
      <c r="J201" s="8">
        <f>J200+Table234535910[[#This Row],[AMOUNT]]-Table234535910[[#This Row],[AMOUNT2]]-Table234535910[[#This Row],[AMOUNT3]]</f>
        <v>5081</v>
      </c>
      <c r="K201" s="125"/>
    </row>
    <row r="202" spans="1:11" x14ac:dyDescent="0.35">
      <c r="A202" s="29"/>
      <c r="B202" s="8"/>
      <c r="C202" s="8"/>
      <c r="D202" s="8"/>
      <c r="E202" s="8"/>
      <c r="F202" s="9"/>
      <c r="G202" s="13"/>
      <c r="H202" s="8"/>
      <c r="I202" s="8"/>
      <c r="J202" s="8">
        <f>J201+Table234535910[[#This Row],[AMOUNT]]-Table234535910[[#This Row],[AMOUNT2]]-Table234535910[[#This Row],[AMOUNT3]]</f>
        <v>5081</v>
      </c>
      <c r="K202" s="125"/>
    </row>
    <row r="203" spans="1:11" x14ac:dyDescent="0.35">
      <c r="A203" s="29"/>
      <c r="B203" s="8"/>
      <c r="C203" s="8"/>
      <c r="D203" s="8"/>
      <c r="E203" s="8"/>
      <c r="F203" s="9"/>
      <c r="G203" s="13"/>
      <c r="H203" s="8"/>
      <c r="I203" s="8"/>
      <c r="J203" s="8">
        <f>J202+Table234535910[[#This Row],[AMOUNT]]-Table234535910[[#This Row],[AMOUNT2]]-Table234535910[[#This Row],[AMOUNT3]]</f>
        <v>5081</v>
      </c>
      <c r="K203" s="125"/>
    </row>
    <row r="204" spans="1:11" x14ac:dyDescent="0.35">
      <c r="A204" s="29"/>
      <c r="B204" s="8"/>
      <c r="C204" s="8"/>
      <c r="D204" s="8"/>
      <c r="E204" s="8"/>
      <c r="F204" s="9"/>
      <c r="G204" s="13"/>
      <c r="H204" s="8"/>
      <c r="I204" s="8"/>
      <c r="J204" s="8">
        <f>J203+Table234535910[[#This Row],[AMOUNT]]-Table234535910[[#This Row],[AMOUNT2]]-Table234535910[[#This Row],[AMOUNT3]]</f>
        <v>5081</v>
      </c>
      <c r="K204" s="125"/>
    </row>
    <row r="205" spans="1:11" x14ac:dyDescent="0.35">
      <c r="A205" s="29"/>
      <c r="B205" s="8"/>
      <c r="C205" s="8"/>
      <c r="D205" s="8"/>
      <c r="E205" s="8"/>
      <c r="F205" s="9"/>
      <c r="G205" s="13"/>
      <c r="H205" s="8"/>
      <c r="I205" s="8"/>
      <c r="J205" s="8">
        <f>J204+Table234535910[[#This Row],[AMOUNT]]-Table234535910[[#This Row],[AMOUNT2]]-Table234535910[[#This Row],[AMOUNT3]]</f>
        <v>5081</v>
      </c>
      <c r="K205" s="125"/>
    </row>
    <row r="206" spans="1:11" x14ac:dyDescent="0.35">
      <c r="A206" s="29"/>
      <c r="B206" s="8"/>
      <c r="C206" s="8"/>
      <c r="D206" s="8"/>
      <c r="E206" s="8"/>
      <c r="F206" s="9"/>
      <c r="G206" s="13"/>
      <c r="H206" s="8"/>
      <c r="I206" s="8"/>
      <c r="J206" s="8">
        <f>J205+Table234535910[[#This Row],[AMOUNT]]-Table234535910[[#This Row],[AMOUNT2]]-Table234535910[[#This Row],[AMOUNT3]]</f>
        <v>5081</v>
      </c>
      <c r="K206" s="125"/>
    </row>
    <row r="207" spans="1:11" x14ac:dyDescent="0.35">
      <c r="A207" s="29"/>
      <c r="B207" s="8"/>
      <c r="C207" s="8"/>
      <c r="D207" s="8"/>
      <c r="E207" s="8"/>
      <c r="F207" s="9"/>
      <c r="G207" s="13"/>
      <c r="H207" s="8"/>
      <c r="I207" s="8"/>
      <c r="J207" s="8">
        <f>J206+Table234535910[[#This Row],[AMOUNT]]-Table234535910[[#This Row],[AMOUNT2]]-Table234535910[[#This Row],[AMOUNT3]]</f>
        <v>5081</v>
      </c>
      <c r="K207" s="125"/>
    </row>
    <row r="208" spans="1:11" x14ac:dyDescent="0.35">
      <c r="A208" s="29"/>
      <c r="B208" s="8"/>
      <c r="C208" s="8"/>
      <c r="D208" s="8"/>
      <c r="E208" s="8"/>
      <c r="F208" s="9"/>
      <c r="G208" s="13"/>
      <c r="H208" s="8"/>
      <c r="I208" s="8"/>
      <c r="J208" s="8">
        <f>J207+Table234535910[[#This Row],[AMOUNT]]-Table234535910[[#This Row],[AMOUNT2]]-Table234535910[[#This Row],[AMOUNT3]]</f>
        <v>5081</v>
      </c>
      <c r="K208" s="125"/>
    </row>
    <row r="209" spans="1:11" x14ac:dyDescent="0.35">
      <c r="A209" s="29"/>
      <c r="B209" s="8"/>
      <c r="C209" s="8"/>
      <c r="D209" s="8"/>
      <c r="E209" s="8"/>
      <c r="F209" s="9"/>
      <c r="G209" s="13"/>
      <c r="H209" s="8"/>
      <c r="I209" s="8"/>
      <c r="J209" s="8">
        <f>J208+Table234535910[[#This Row],[AMOUNT]]-Table234535910[[#This Row],[AMOUNT2]]-Table234535910[[#This Row],[AMOUNT3]]</f>
        <v>5081</v>
      </c>
      <c r="K209" s="125"/>
    </row>
    <row r="210" spans="1:11" x14ac:dyDescent="0.35">
      <c r="A210" s="29"/>
      <c r="B210" s="8"/>
      <c r="C210" s="8"/>
      <c r="D210" s="8"/>
      <c r="E210" s="8"/>
      <c r="F210" s="9"/>
      <c r="G210" s="13"/>
      <c r="H210" s="8"/>
      <c r="I210" s="8"/>
      <c r="J210" s="8">
        <f>J209+Table234535910[[#This Row],[AMOUNT]]-Table234535910[[#This Row],[AMOUNT2]]-Table234535910[[#This Row],[AMOUNT3]]</f>
        <v>5081</v>
      </c>
      <c r="K210" s="125"/>
    </row>
    <row r="211" spans="1:11" x14ac:dyDescent="0.35">
      <c r="A211" s="29"/>
      <c r="B211" s="8"/>
      <c r="C211" s="8"/>
      <c r="D211" s="8"/>
      <c r="E211" s="8"/>
      <c r="F211" s="9"/>
      <c r="G211" s="13"/>
      <c r="H211" s="8"/>
      <c r="I211" s="8"/>
      <c r="J211" s="8">
        <f>J210+Table234535910[[#This Row],[AMOUNT]]-Table234535910[[#This Row],[AMOUNT2]]-Table234535910[[#This Row],[AMOUNT3]]</f>
        <v>5081</v>
      </c>
      <c r="K211" s="125"/>
    </row>
    <row r="212" spans="1:11" x14ac:dyDescent="0.35">
      <c r="A212" s="29"/>
      <c r="B212" s="8"/>
      <c r="C212" s="8"/>
      <c r="D212" s="8"/>
      <c r="E212" s="8"/>
      <c r="F212" s="9"/>
      <c r="G212" s="13"/>
      <c r="H212" s="8"/>
      <c r="I212" s="8"/>
      <c r="J212" s="8">
        <f>J211+Table234535910[[#This Row],[AMOUNT]]-Table234535910[[#This Row],[AMOUNT2]]-Table234535910[[#This Row],[AMOUNT3]]</f>
        <v>5081</v>
      </c>
      <c r="K212" s="125"/>
    </row>
    <row r="213" spans="1:11" x14ac:dyDescent="0.35">
      <c r="A213" s="29"/>
      <c r="B213" s="8"/>
      <c r="C213" s="8"/>
      <c r="D213" s="8"/>
      <c r="E213" s="8"/>
      <c r="F213" s="9"/>
      <c r="G213" s="13"/>
      <c r="H213" s="8"/>
      <c r="I213" s="8"/>
      <c r="J213" s="8">
        <f>J212+Table234535910[[#This Row],[AMOUNT]]-Table234535910[[#This Row],[AMOUNT2]]-Table234535910[[#This Row],[AMOUNT3]]</f>
        <v>5081</v>
      </c>
      <c r="K213" s="125"/>
    </row>
    <row r="214" spans="1:11" x14ac:dyDescent="0.35">
      <c r="A214" s="29"/>
      <c r="B214" s="8"/>
      <c r="C214" s="8"/>
      <c r="D214" s="8"/>
      <c r="E214" s="8"/>
      <c r="F214" s="9"/>
      <c r="G214" s="13"/>
      <c r="H214" s="8"/>
      <c r="I214" s="8"/>
      <c r="J214" s="8">
        <f>J213+Table234535910[[#This Row],[AMOUNT]]-Table234535910[[#This Row],[AMOUNT2]]-Table234535910[[#This Row],[AMOUNT3]]</f>
        <v>5081</v>
      </c>
      <c r="K214" s="125"/>
    </row>
    <row r="215" spans="1:11" x14ac:dyDescent="0.35">
      <c r="A215" s="29"/>
      <c r="B215" s="8"/>
      <c r="C215" s="8"/>
      <c r="D215" s="8"/>
      <c r="E215" s="8"/>
      <c r="F215" s="9"/>
      <c r="G215" s="13"/>
      <c r="H215" s="8"/>
      <c r="I215" s="8"/>
      <c r="J215" s="8">
        <f>J214+Table234535910[[#This Row],[AMOUNT]]-Table234535910[[#This Row],[AMOUNT2]]-Table234535910[[#This Row],[AMOUNT3]]</f>
        <v>5081</v>
      </c>
      <c r="K215" s="125"/>
    </row>
    <row r="216" spans="1:11" x14ac:dyDescent="0.35">
      <c r="A216" s="29"/>
      <c r="B216" s="8"/>
      <c r="C216" s="8"/>
      <c r="D216" s="8"/>
      <c r="E216" s="8"/>
      <c r="F216" s="9"/>
      <c r="G216" s="13"/>
      <c r="H216" s="8"/>
      <c r="I216" s="8"/>
      <c r="J216" s="8">
        <f>J215+Table234535910[[#This Row],[AMOUNT]]-Table234535910[[#This Row],[AMOUNT2]]-Table234535910[[#This Row],[AMOUNT3]]</f>
        <v>5081</v>
      </c>
      <c r="K216" s="125"/>
    </row>
    <row r="217" spans="1:11" x14ac:dyDescent="0.35">
      <c r="A217" s="29"/>
      <c r="B217" s="8"/>
      <c r="C217" s="8"/>
      <c r="D217" s="8"/>
      <c r="E217" s="8"/>
      <c r="F217" s="9"/>
      <c r="G217" s="13"/>
      <c r="H217" s="8"/>
      <c r="I217" s="8"/>
      <c r="J217" s="8">
        <f>J216+Table234535910[[#This Row],[AMOUNT]]-Table234535910[[#This Row],[AMOUNT2]]-Table234535910[[#This Row],[AMOUNT3]]</f>
        <v>5081</v>
      </c>
      <c r="K217" s="125"/>
    </row>
    <row r="218" spans="1:11" x14ac:dyDescent="0.35">
      <c r="A218" s="29"/>
      <c r="B218" s="8"/>
      <c r="C218" s="8"/>
      <c r="D218" s="8"/>
      <c r="E218" s="8"/>
      <c r="F218" s="9"/>
      <c r="G218" s="13"/>
      <c r="H218" s="8"/>
      <c r="I218" s="8"/>
      <c r="J218" s="8">
        <f>J217+Table234535910[[#This Row],[AMOUNT]]-Table234535910[[#This Row],[AMOUNT2]]-Table234535910[[#This Row],[AMOUNT3]]</f>
        <v>5081</v>
      </c>
      <c r="K218" s="125"/>
    </row>
    <row r="219" spans="1:11" x14ac:dyDescent="0.35">
      <c r="A219" s="29"/>
      <c r="B219" s="8"/>
      <c r="C219" s="8"/>
      <c r="D219" s="8"/>
      <c r="E219" s="8"/>
      <c r="F219" s="9"/>
      <c r="G219" s="13"/>
      <c r="H219" s="8"/>
      <c r="I219" s="8"/>
      <c r="J219" s="8">
        <f>J218+Table234535910[[#This Row],[AMOUNT]]-Table234535910[[#This Row],[AMOUNT2]]-Table234535910[[#This Row],[AMOUNT3]]</f>
        <v>5081</v>
      </c>
      <c r="K219" s="125"/>
    </row>
    <row r="220" spans="1:11" x14ac:dyDescent="0.35">
      <c r="A220" s="29"/>
      <c r="B220" s="8"/>
      <c r="C220" s="8"/>
      <c r="D220" s="8"/>
      <c r="E220" s="8"/>
      <c r="F220" s="9"/>
      <c r="G220" s="13"/>
      <c r="H220" s="8"/>
      <c r="I220" s="8"/>
      <c r="J220" s="8">
        <f>J219+Table234535910[[#This Row],[AMOUNT]]-Table234535910[[#This Row],[AMOUNT2]]-Table234535910[[#This Row],[AMOUNT3]]</f>
        <v>5081</v>
      </c>
      <c r="K220" s="125"/>
    </row>
    <row r="221" spans="1:11" x14ac:dyDescent="0.35">
      <c r="A221" s="29"/>
      <c r="B221" s="8"/>
      <c r="C221" s="8"/>
      <c r="D221" s="8"/>
      <c r="E221" s="8"/>
      <c r="F221" s="9"/>
      <c r="G221" s="13"/>
      <c r="H221" s="8"/>
      <c r="I221" s="8"/>
      <c r="J221" s="8">
        <f>J220+Table234535910[[#This Row],[AMOUNT]]-Table234535910[[#This Row],[AMOUNT2]]-Table234535910[[#This Row],[AMOUNT3]]</f>
        <v>5081</v>
      </c>
      <c r="K221" s="125"/>
    </row>
    <row r="222" spans="1:11" x14ac:dyDescent="0.35">
      <c r="A222" s="29"/>
      <c r="B222" s="8"/>
      <c r="C222" s="8"/>
      <c r="D222" s="8"/>
      <c r="E222" s="8"/>
      <c r="F222" s="9"/>
      <c r="G222" s="13"/>
      <c r="H222" s="8"/>
      <c r="I222" s="8"/>
      <c r="J222" s="8">
        <f>J221+Table234535910[[#This Row],[AMOUNT]]-Table234535910[[#This Row],[AMOUNT2]]-Table234535910[[#This Row],[AMOUNT3]]</f>
        <v>5081</v>
      </c>
      <c r="K222" s="125"/>
    </row>
    <row r="223" spans="1:11" x14ac:dyDescent="0.35">
      <c r="A223" s="29"/>
      <c r="B223" s="8"/>
      <c r="C223" s="8"/>
      <c r="D223" s="8"/>
      <c r="E223" s="8"/>
      <c r="F223" s="9"/>
      <c r="G223" s="13"/>
      <c r="H223" s="8"/>
      <c r="I223" s="8"/>
      <c r="J223" s="8">
        <f>J222+Table234535910[[#This Row],[AMOUNT]]-Table234535910[[#This Row],[AMOUNT2]]-Table234535910[[#This Row],[AMOUNT3]]</f>
        <v>5081</v>
      </c>
      <c r="K223" s="125"/>
    </row>
    <row r="224" spans="1:11" x14ac:dyDescent="0.35">
      <c r="A224" s="29"/>
      <c r="B224" s="8"/>
      <c r="C224" s="8"/>
      <c r="D224" s="8"/>
      <c r="E224" s="8"/>
      <c r="F224" s="9"/>
      <c r="G224" s="13"/>
      <c r="H224" s="8"/>
      <c r="I224" s="8"/>
      <c r="J224" s="8">
        <f>J223+Table234535910[[#This Row],[AMOUNT]]-Table234535910[[#This Row],[AMOUNT2]]-Table234535910[[#This Row],[AMOUNT3]]</f>
        <v>5081</v>
      </c>
      <c r="K224" s="125"/>
    </row>
    <row r="225" spans="1:11" x14ac:dyDescent="0.35">
      <c r="A225" s="29"/>
      <c r="B225" s="8"/>
      <c r="C225" s="8"/>
      <c r="D225" s="8"/>
      <c r="E225" s="8"/>
      <c r="F225" s="9"/>
      <c r="G225" s="13"/>
      <c r="H225" s="8"/>
      <c r="I225" s="8"/>
      <c r="J225" s="8">
        <f>J224+Table234535910[[#This Row],[AMOUNT]]-Table234535910[[#This Row],[AMOUNT2]]-Table234535910[[#This Row],[AMOUNT3]]</f>
        <v>5081</v>
      </c>
      <c r="K225" s="125"/>
    </row>
    <row r="226" spans="1:11" x14ac:dyDescent="0.35">
      <c r="A226" s="29"/>
      <c r="B226" s="8"/>
      <c r="C226" s="8"/>
      <c r="D226" s="8"/>
      <c r="E226" s="8"/>
      <c r="F226" s="9"/>
      <c r="G226" s="13"/>
      <c r="H226" s="8"/>
      <c r="I226" s="8"/>
      <c r="J226" s="8">
        <f>J225+Table234535910[[#This Row],[AMOUNT]]-Table234535910[[#This Row],[AMOUNT2]]-Table234535910[[#This Row],[AMOUNT3]]</f>
        <v>5081</v>
      </c>
      <c r="K226" s="125"/>
    </row>
    <row r="227" spans="1:11" x14ac:dyDescent="0.35">
      <c r="A227" s="29"/>
      <c r="B227" s="8"/>
      <c r="C227" s="8"/>
      <c r="D227" s="8"/>
      <c r="E227" s="8"/>
      <c r="F227" s="9"/>
      <c r="G227" s="13"/>
      <c r="H227" s="8"/>
      <c r="I227" s="8"/>
      <c r="J227" s="8">
        <f>J226+Table234535910[[#This Row],[AMOUNT]]-Table234535910[[#This Row],[AMOUNT2]]-Table234535910[[#This Row],[AMOUNT3]]</f>
        <v>5081</v>
      </c>
      <c r="K227" s="125"/>
    </row>
    <row r="228" spans="1:11" x14ac:dyDescent="0.35">
      <c r="A228" s="29"/>
      <c r="B228" s="8"/>
      <c r="C228" s="8"/>
      <c r="D228" s="8"/>
      <c r="E228" s="8"/>
      <c r="F228" s="9"/>
      <c r="G228" s="13"/>
      <c r="H228" s="8"/>
      <c r="I228" s="8"/>
      <c r="J228" s="8">
        <f>J227+Table234535910[[#This Row],[AMOUNT]]-Table234535910[[#This Row],[AMOUNT2]]-Table234535910[[#This Row],[AMOUNT3]]</f>
        <v>5081</v>
      </c>
      <c r="K228" s="125"/>
    </row>
    <row r="229" spans="1:11" x14ac:dyDescent="0.35">
      <c r="A229" s="29"/>
      <c r="B229" s="8"/>
      <c r="C229" s="8"/>
      <c r="D229" s="8"/>
      <c r="E229" s="8"/>
      <c r="F229" s="9"/>
      <c r="G229" s="13"/>
      <c r="H229" s="8"/>
      <c r="I229" s="8"/>
      <c r="J229" s="8">
        <f>J228+Table234535910[[#This Row],[AMOUNT]]-Table234535910[[#This Row],[AMOUNT2]]-Table234535910[[#This Row],[AMOUNT3]]</f>
        <v>5081</v>
      </c>
      <c r="K229" s="125"/>
    </row>
    <row r="230" spans="1:11" x14ac:dyDescent="0.35">
      <c r="A230" s="29"/>
      <c r="B230" s="8"/>
      <c r="C230" s="8"/>
      <c r="D230" s="8"/>
      <c r="E230" s="8"/>
      <c r="F230" s="9"/>
      <c r="G230" s="13"/>
      <c r="H230" s="8"/>
      <c r="I230" s="8"/>
      <c r="J230" s="8">
        <f>J229+Table234535910[[#This Row],[AMOUNT]]-Table234535910[[#This Row],[AMOUNT2]]-Table234535910[[#This Row],[AMOUNT3]]</f>
        <v>5081</v>
      </c>
      <c r="K230" s="125"/>
    </row>
    <row r="231" spans="1:11" x14ac:dyDescent="0.35">
      <c r="A231" s="29"/>
      <c r="B231" s="8"/>
      <c r="C231" s="8"/>
      <c r="D231" s="8"/>
      <c r="E231" s="8"/>
      <c r="F231" s="9"/>
      <c r="G231" s="13"/>
      <c r="H231" s="8"/>
      <c r="I231" s="8"/>
      <c r="J231" s="8">
        <f>J230+Table234535910[[#This Row],[AMOUNT]]-Table234535910[[#This Row],[AMOUNT2]]-Table234535910[[#This Row],[AMOUNT3]]</f>
        <v>5081</v>
      </c>
      <c r="K231" s="125"/>
    </row>
    <row r="232" spans="1:11" x14ac:dyDescent="0.35">
      <c r="A232" s="29"/>
      <c r="B232" s="8"/>
      <c r="C232" s="8"/>
      <c r="D232" s="8"/>
      <c r="E232" s="8"/>
      <c r="F232" s="9"/>
      <c r="G232" s="13"/>
      <c r="H232" s="8"/>
      <c r="I232" s="8"/>
      <c r="J232" s="8">
        <f>J231+Table234535910[[#This Row],[AMOUNT]]-Table234535910[[#This Row],[AMOUNT2]]-Table234535910[[#This Row],[AMOUNT3]]</f>
        <v>5081</v>
      </c>
      <c r="K232" s="125"/>
    </row>
    <row r="233" spans="1:11" x14ac:dyDescent="0.35">
      <c r="A233" s="29"/>
      <c r="B233" s="8"/>
      <c r="C233" s="8"/>
      <c r="D233" s="8"/>
      <c r="E233" s="8"/>
      <c r="F233" s="9"/>
      <c r="G233" s="13"/>
      <c r="H233" s="8"/>
      <c r="I233" s="8"/>
      <c r="J233" s="8">
        <f>J232+Table234535910[[#This Row],[AMOUNT]]-Table234535910[[#This Row],[AMOUNT2]]-Table234535910[[#This Row],[AMOUNT3]]</f>
        <v>5081</v>
      </c>
      <c r="K233" s="125"/>
    </row>
    <row r="234" spans="1:11" x14ac:dyDescent="0.35">
      <c r="A234" s="29"/>
      <c r="B234" s="8"/>
      <c r="C234" s="8"/>
      <c r="D234" s="8"/>
      <c r="E234" s="8"/>
      <c r="F234" s="9"/>
      <c r="G234" s="13"/>
      <c r="H234" s="8"/>
      <c r="I234" s="8"/>
      <c r="J234" s="8">
        <f>J233+Table234535910[[#This Row],[AMOUNT]]-Table234535910[[#This Row],[AMOUNT2]]-Table234535910[[#This Row],[AMOUNT3]]</f>
        <v>5081</v>
      </c>
      <c r="K234" s="125"/>
    </row>
    <row r="235" spans="1:11" x14ac:dyDescent="0.35">
      <c r="A235" s="29"/>
      <c r="B235" s="8"/>
      <c r="C235" s="8"/>
      <c r="D235" s="8"/>
      <c r="E235" s="8"/>
      <c r="F235" s="9"/>
      <c r="G235" s="13"/>
      <c r="H235" s="8"/>
      <c r="I235" s="8"/>
      <c r="J235" s="8">
        <f>J234+Table234535910[[#This Row],[AMOUNT]]-Table234535910[[#This Row],[AMOUNT2]]-Table234535910[[#This Row],[AMOUNT3]]</f>
        <v>5081</v>
      </c>
      <c r="K235" s="125"/>
    </row>
    <row r="236" spans="1:11" x14ac:dyDescent="0.35">
      <c r="A236" s="29"/>
      <c r="B236" s="8"/>
      <c r="C236" s="8"/>
      <c r="D236" s="8"/>
      <c r="E236" s="8"/>
      <c r="F236" s="9"/>
      <c r="G236" s="13"/>
      <c r="H236" s="8"/>
      <c r="I236" s="8"/>
      <c r="J236" s="8">
        <f>J235+Table234535910[[#This Row],[AMOUNT]]-Table234535910[[#This Row],[AMOUNT2]]-Table234535910[[#This Row],[AMOUNT3]]</f>
        <v>5081</v>
      </c>
      <c r="K236" s="125"/>
    </row>
    <row r="237" spans="1:11" x14ac:dyDescent="0.35">
      <c r="A237" s="29"/>
      <c r="B237" s="8"/>
      <c r="C237" s="8"/>
      <c r="D237" s="8"/>
      <c r="E237" s="8"/>
      <c r="F237" s="9"/>
      <c r="G237" s="13"/>
      <c r="H237" s="8"/>
      <c r="I237" s="8"/>
      <c r="J237" s="8">
        <f>J236+Table234535910[[#This Row],[AMOUNT]]-Table234535910[[#This Row],[AMOUNT2]]-Table234535910[[#This Row],[AMOUNT3]]</f>
        <v>5081</v>
      </c>
      <c r="K237" s="125"/>
    </row>
    <row r="238" spans="1:11" x14ac:dyDescent="0.35">
      <c r="A238" s="29"/>
      <c r="B238" s="8"/>
      <c r="C238" s="8"/>
      <c r="D238" s="8"/>
      <c r="E238" s="8"/>
      <c r="F238" s="9"/>
      <c r="G238" s="13"/>
      <c r="H238" s="8"/>
      <c r="I238" s="8"/>
      <c r="J238" s="8">
        <f>J237+Table234535910[[#This Row],[AMOUNT]]-Table234535910[[#This Row],[AMOUNT2]]-Table234535910[[#This Row],[AMOUNT3]]</f>
        <v>5081</v>
      </c>
      <c r="K238" s="125"/>
    </row>
    <row r="239" spans="1:11" x14ac:dyDescent="0.35">
      <c r="A239" s="29"/>
      <c r="B239" s="8"/>
      <c r="C239" s="8"/>
      <c r="D239" s="8"/>
      <c r="E239" s="8"/>
      <c r="F239" s="9"/>
      <c r="G239" s="13"/>
      <c r="H239" s="8"/>
      <c r="I239" s="8"/>
      <c r="J239" s="8">
        <f>J238+Table234535910[[#This Row],[AMOUNT]]-Table234535910[[#This Row],[AMOUNT2]]-Table234535910[[#This Row],[AMOUNT3]]</f>
        <v>5081</v>
      </c>
      <c r="K239" s="125"/>
    </row>
    <row r="240" spans="1:11" x14ac:dyDescent="0.35">
      <c r="A240" s="29"/>
      <c r="B240" s="8"/>
      <c r="C240" s="8"/>
      <c r="D240" s="8"/>
      <c r="E240" s="8"/>
      <c r="F240" s="9"/>
      <c r="G240" s="13"/>
      <c r="H240" s="8"/>
      <c r="I240" s="8"/>
      <c r="J240" s="8">
        <f>J239+Table234535910[[#This Row],[AMOUNT]]-Table234535910[[#This Row],[AMOUNT2]]-Table234535910[[#This Row],[AMOUNT3]]</f>
        <v>5081</v>
      </c>
      <c r="K240" s="125"/>
    </row>
    <row r="241" spans="1:11" x14ac:dyDescent="0.35">
      <c r="A241" s="29"/>
      <c r="B241" s="8"/>
      <c r="C241" s="8"/>
      <c r="D241" s="8"/>
      <c r="E241" s="8"/>
      <c r="F241" s="9"/>
      <c r="G241" s="13"/>
      <c r="H241" s="8"/>
      <c r="I241" s="8"/>
      <c r="J241" s="8">
        <f>J240+Table234535910[[#This Row],[AMOUNT]]-Table234535910[[#This Row],[AMOUNT2]]-Table234535910[[#This Row],[AMOUNT3]]</f>
        <v>5081</v>
      </c>
      <c r="K241" s="125"/>
    </row>
    <row r="242" spans="1:11" x14ac:dyDescent="0.35">
      <c r="A242" s="29"/>
      <c r="B242" s="8"/>
      <c r="C242" s="8"/>
      <c r="D242" s="8"/>
      <c r="E242" s="8"/>
      <c r="F242" s="9"/>
      <c r="G242" s="13"/>
      <c r="H242" s="8"/>
      <c r="I242" s="8"/>
      <c r="J242" s="8">
        <f>J241+Table234535910[[#This Row],[AMOUNT]]-Table234535910[[#This Row],[AMOUNT2]]-Table234535910[[#This Row],[AMOUNT3]]</f>
        <v>5081</v>
      </c>
      <c r="K242" s="125"/>
    </row>
    <row r="243" spans="1:11" x14ac:dyDescent="0.35">
      <c r="A243" s="29"/>
      <c r="B243" s="8"/>
      <c r="C243" s="8"/>
      <c r="D243" s="8"/>
      <c r="E243" s="8"/>
      <c r="F243" s="9"/>
      <c r="G243" s="13"/>
      <c r="H243" s="8"/>
      <c r="I243" s="8"/>
      <c r="J243" s="8">
        <f>J242+Table234535910[[#This Row],[AMOUNT]]-Table234535910[[#This Row],[AMOUNT2]]-Table234535910[[#This Row],[AMOUNT3]]</f>
        <v>5081</v>
      </c>
      <c r="K243" s="125"/>
    </row>
    <row r="244" spans="1:11" x14ac:dyDescent="0.35">
      <c r="A244" s="29"/>
      <c r="B244" s="8"/>
      <c r="C244" s="8"/>
      <c r="D244" s="8"/>
      <c r="E244" s="8"/>
      <c r="F244" s="9"/>
      <c r="G244" s="13"/>
      <c r="H244" s="8"/>
      <c r="I244" s="8"/>
      <c r="J244" s="8">
        <f>J243+Table234535910[[#This Row],[AMOUNT]]-Table234535910[[#This Row],[AMOUNT2]]-Table234535910[[#This Row],[AMOUNT3]]</f>
        <v>5081</v>
      </c>
      <c r="K244" s="125"/>
    </row>
    <row r="245" spans="1:11" x14ac:dyDescent="0.35">
      <c r="A245" s="29"/>
      <c r="B245" s="8"/>
      <c r="C245" s="8"/>
      <c r="D245" s="8"/>
      <c r="E245" s="8"/>
      <c r="F245" s="9"/>
      <c r="G245" s="13"/>
      <c r="H245" s="8"/>
      <c r="I245" s="8"/>
      <c r="J245" s="8">
        <f>J244+Table234535910[[#This Row],[AMOUNT]]-Table234535910[[#This Row],[AMOUNT2]]-Table234535910[[#This Row],[AMOUNT3]]</f>
        <v>5081</v>
      </c>
      <c r="K245" s="125"/>
    </row>
    <row r="246" spans="1:11" x14ac:dyDescent="0.35">
      <c r="A246" s="29"/>
      <c r="B246" s="8"/>
      <c r="C246" s="8"/>
      <c r="D246" s="8"/>
      <c r="E246" s="8"/>
      <c r="F246" s="9"/>
      <c r="G246" s="13"/>
      <c r="H246" s="8"/>
      <c r="I246" s="8"/>
      <c r="J246" s="8">
        <f>J245+Table234535910[[#This Row],[AMOUNT]]-Table234535910[[#This Row],[AMOUNT2]]-Table234535910[[#This Row],[AMOUNT3]]</f>
        <v>5081</v>
      </c>
      <c r="K246" s="125"/>
    </row>
    <row r="247" spans="1:11" x14ac:dyDescent="0.35">
      <c r="A247" s="29"/>
      <c r="B247" s="8"/>
      <c r="C247" s="8"/>
      <c r="D247" s="8"/>
      <c r="E247" s="8"/>
      <c r="F247" s="9"/>
      <c r="G247" s="13"/>
      <c r="H247" s="8"/>
      <c r="I247" s="8"/>
      <c r="J247" s="8">
        <f>J246+Table234535910[[#This Row],[AMOUNT]]-Table234535910[[#This Row],[AMOUNT2]]-Table234535910[[#This Row],[AMOUNT3]]</f>
        <v>5081</v>
      </c>
      <c r="K247" s="125"/>
    </row>
    <row r="248" spans="1:11" x14ac:dyDescent="0.35">
      <c r="A248" s="29"/>
      <c r="B248" s="8"/>
      <c r="C248" s="8"/>
      <c r="D248" s="8"/>
      <c r="E248" s="8"/>
      <c r="F248" s="9"/>
      <c r="G248" s="13"/>
      <c r="H248" s="8"/>
      <c r="I248" s="8"/>
      <c r="J248" s="8">
        <f>J247+Table234535910[[#This Row],[AMOUNT]]-Table234535910[[#This Row],[AMOUNT2]]-Table234535910[[#This Row],[AMOUNT3]]</f>
        <v>5081</v>
      </c>
      <c r="K248" s="125"/>
    </row>
    <row r="249" spans="1:11" x14ac:dyDescent="0.35">
      <c r="A249" s="29"/>
      <c r="B249" s="8"/>
      <c r="C249" s="8"/>
      <c r="D249" s="8"/>
      <c r="E249" s="8"/>
      <c r="F249" s="9"/>
      <c r="G249" s="13"/>
      <c r="H249" s="8"/>
      <c r="I249" s="8"/>
      <c r="J249" s="8">
        <f>J248+Table234535910[[#This Row],[AMOUNT]]-Table234535910[[#This Row],[AMOUNT2]]-Table234535910[[#This Row],[AMOUNT3]]</f>
        <v>5081</v>
      </c>
      <c r="K249" s="125"/>
    </row>
    <row r="250" spans="1:11" x14ac:dyDescent="0.35">
      <c r="A250" s="29"/>
      <c r="B250" s="8"/>
      <c r="C250" s="8"/>
      <c r="D250" s="8"/>
      <c r="E250" s="8"/>
      <c r="F250" s="9"/>
      <c r="G250" s="13"/>
      <c r="H250" s="8"/>
      <c r="I250" s="8"/>
      <c r="J250" s="8">
        <f>J249+Table234535910[[#This Row],[AMOUNT]]-Table234535910[[#This Row],[AMOUNT2]]-Table234535910[[#This Row],[AMOUNT3]]</f>
        <v>5081</v>
      </c>
      <c r="K250" s="125"/>
    </row>
    <row r="251" spans="1:11" x14ac:dyDescent="0.35">
      <c r="A251" s="29"/>
      <c r="B251" s="8"/>
      <c r="C251" s="8"/>
      <c r="D251" s="8"/>
      <c r="E251" s="8"/>
      <c r="F251" s="9"/>
      <c r="G251" s="13"/>
      <c r="H251" s="8"/>
      <c r="I251" s="8"/>
      <c r="J251" s="8">
        <f>J250+Table234535910[[#This Row],[AMOUNT]]-Table234535910[[#This Row],[AMOUNT2]]-Table234535910[[#This Row],[AMOUNT3]]</f>
        <v>5081</v>
      </c>
      <c r="K251" s="125"/>
    </row>
    <row r="252" spans="1:11" x14ac:dyDescent="0.35">
      <c r="A252" s="29"/>
      <c r="B252" s="8"/>
      <c r="C252" s="8"/>
      <c r="D252" s="8"/>
      <c r="E252" s="8"/>
      <c r="F252" s="9"/>
      <c r="G252" s="13"/>
      <c r="H252" s="8"/>
      <c r="I252" s="8"/>
      <c r="J252" s="8">
        <f>J251+Table234535910[[#This Row],[AMOUNT]]-Table234535910[[#This Row],[AMOUNT2]]-Table234535910[[#This Row],[AMOUNT3]]</f>
        <v>5081</v>
      </c>
      <c r="K252" s="125"/>
    </row>
    <row r="253" spans="1:11" x14ac:dyDescent="0.35">
      <c r="A253" s="29"/>
      <c r="B253" s="8"/>
      <c r="C253" s="8"/>
      <c r="D253" s="8"/>
      <c r="E253" s="8"/>
      <c r="F253" s="9"/>
      <c r="G253" s="13"/>
      <c r="H253" s="8"/>
      <c r="I253" s="8"/>
      <c r="J253" s="8">
        <f>J252+Table234535910[[#This Row],[AMOUNT]]-Table234535910[[#This Row],[AMOUNT2]]-Table234535910[[#This Row],[AMOUNT3]]</f>
        <v>5081</v>
      </c>
      <c r="K253" s="125"/>
    </row>
    <row r="254" spans="1:11" x14ac:dyDescent="0.35">
      <c r="A254" s="29"/>
      <c r="B254" s="8"/>
      <c r="C254" s="8"/>
      <c r="D254" s="8"/>
      <c r="E254" s="8"/>
      <c r="F254" s="9"/>
      <c r="G254" s="13"/>
      <c r="H254" s="8"/>
      <c r="I254" s="8"/>
      <c r="J254" s="8">
        <f>J253+Table234535910[[#This Row],[AMOUNT]]-Table234535910[[#This Row],[AMOUNT2]]-Table234535910[[#This Row],[AMOUNT3]]</f>
        <v>5081</v>
      </c>
      <c r="K254" s="125"/>
    </row>
    <row r="255" spans="1:11" x14ac:dyDescent="0.35">
      <c r="A255" s="29"/>
      <c r="B255" s="8"/>
      <c r="C255" s="8"/>
      <c r="D255" s="8"/>
      <c r="E255" s="8"/>
      <c r="F255" s="9"/>
      <c r="G255" s="13"/>
      <c r="H255" s="8"/>
      <c r="I255" s="8"/>
      <c r="J255" s="8">
        <f>J254+Table234535910[[#This Row],[AMOUNT]]-Table234535910[[#This Row],[AMOUNT2]]-Table234535910[[#This Row],[AMOUNT3]]</f>
        <v>5081</v>
      </c>
      <c r="K255" s="125"/>
    </row>
    <row r="256" spans="1:11" x14ac:dyDescent="0.35">
      <c r="A256" s="29"/>
      <c r="B256" s="8"/>
      <c r="C256" s="8"/>
      <c r="D256" s="8"/>
      <c r="E256" s="8"/>
      <c r="F256" s="9"/>
      <c r="G256" s="13"/>
      <c r="H256" s="8"/>
      <c r="I256" s="8"/>
      <c r="J256" s="8">
        <f>J255+Table234535910[[#This Row],[AMOUNT]]-Table234535910[[#This Row],[AMOUNT2]]-Table234535910[[#This Row],[AMOUNT3]]</f>
        <v>5081</v>
      </c>
      <c r="K256" s="125"/>
    </row>
    <row r="257" spans="1:11" x14ac:dyDescent="0.35">
      <c r="A257" s="29"/>
      <c r="B257" s="8"/>
      <c r="C257" s="8"/>
      <c r="D257" s="8"/>
      <c r="E257" s="8"/>
      <c r="F257" s="9"/>
      <c r="G257" s="13"/>
      <c r="H257" s="8"/>
      <c r="I257" s="8"/>
      <c r="J257" s="8">
        <f>J256+Table234535910[[#This Row],[AMOUNT]]-Table234535910[[#This Row],[AMOUNT2]]-Table234535910[[#This Row],[AMOUNT3]]</f>
        <v>5081</v>
      </c>
      <c r="K257" s="125"/>
    </row>
    <row r="258" spans="1:11" x14ac:dyDescent="0.35">
      <c r="A258" s="29"/>
      <c r="B258" s="8"/>
      <c r="C258" s="8"/>
      <c r="D258" s="8"/>
      <c r="E258" s="8"/>
      <c r="F258" s="9"/>
      <c r="G258" s="13"/>
      <c r="H258" s="8"/>
      <c r="I258" s="8"/>
      <c r="J258" s="8">
        <f>J257+Table234535910[[#This Row],[AMOUNT]]-Table234535910[[#This Row],[AMOUNT2]]-Table234535910[[#This Row],[AMOUNT3]]</f>
        <v>5081</v>
      </c>
      <c r="K258" s="125"/>
    </row>
    <row r="259" spans="1:11" x14ac:dyDescent="0.35">
      <c r="A259" s="29"/>
      <c r="B259" s="8"/>
      <c r="C259" s="8"/>
      <c r="D259" s="8"/>
      <c r="E259" s="8"/>
      <c r="F259" s="9"/>
      <c r="G259" s="13"/>
      <c r="H259" s="8"/>
      <c r="I259" s="8"/>
      <c r="J259" s="8">
        <f>J258+Table234535910[[#This Row],[AMOUNT]]-Table234535910[[#This Row],[AMOUNT2]]-Table234535910[[#This Row],[AMOUNT3]]</f>
        <v>5081</v>
      </c>
      <c r="K259" s="125"/>
    </row>
    <row r="260" spans="1:11" x14ac:dyDescent="0.35">
      <c r="A260" s="29"/>
      <c r="B260" s="8"/>
      <c r="C260" s="8"/>
      <c r="D260" s="8"/>
      <c r="E260" s="8"/>
      <c r="F260" s="9"/>
      <c r="G260" s="13"/>
      <c r="H260" s="8"/>
      <c r="I260" s="8"/>
      <c r="J260" s="8">
        <f>J259+Table234535910[[#This Row],[AMOUNT]]-Table234535910[[#This Row],[AMOUNT2]]-Table234535910[[#This Row],[AMOUNT3]]</f>
        <v>5081</v>
      </c>
      <c r="K260" s="125"/>
    </row>
    <row r="261" spans="1:11" x14ac:dyDescent="0.35">
      <c r="A261" s="29"/>
      <c r="B261" s="8"/>
      <c r="C261" s="8"/>
      <c r="D261" s="8"/>
      <c r="E261" s="8"/>
      <c r="F261" s="9"/>
      <c r="G261" s="13"/>
      <c r="H261" s="8"/>
      <c r="I261" s="8"/>
      <c r="J261" s="8">
        <f>J260+Table234535910[[#This Row],[AMOUNT]]-Table234535910[[#This Row],[AMOUNT2]]-Table234535910[[#This Row],[AMOUNT3]]</f>
        <v>5081</v>
      </c>
      <c r="K261" s="125"/>
    </row>
    <row r="262" spans="1:11" x14ac:dyDescent="0.35">
      <c r="A262" s="29"/>
      <c r="B262" s="8"/>
      <c r="C262" s="8"/>
      <c r="D262" s="8"/>
      <c r="E262" s="8"/>
      <c r="F262" s="9"/>
      <c r="G262" s="13"/>
      <c r="H262" s="8"/>
      <c r="I262" s="8"/>
      <c r="J262" s="8">
        <f>J261+Table234535910[[#This Row],[AMOUNT]]-Table234535910[[#This Row],[AMOUNT2]]-Table234535910[[#This Row],[AMOUNT3]]</f>
        <v>5081</v>
      </c>
      <c r="K262" s="125"/>
    </row>
    <row r="263" spans="1:11" x14ac:dyDescent="0.35">
      <c r="A263" s="29"/>
      <c r="B263" s="8"/>
      <c r="C263" s="8"/>
      <c r="D263" s="8"/>
      <c r="E263" s="8"/>
      <c r="F263" s="9"/>
      <c r="G263" s="13"/>
      <c r="H263" s="8"/>
      <c r="I263" s="8"/>
      <c r="J263" s="8">
        <f>J262+Table234535910[[#This Row],[AMOUNT]]-Table234535910[[#This Row],[AMOUNT2]]-Table234535910[[#This Row],[AMOUNT3]]</f>
        <v>5081</v>
      </c>
      <c r="K263" s="125"/>
    </row>
    <row r="264" spans="1:11" x14ac:dyDescent="0.35">
      <c r="A264" s="29"/>
      <c r="B264" s="8"/>
      <c r="C264" s="8"/>
      <c r="D264" s="8"/>
      <c r="E264" s="8"/>
      <c r="F264" s="9"/>
      <c r="G264" s="13"/>
      <c r="H264" s="8"/>
      <c r="I264" s="8"/>
      <c r="J264" s="8">
        <f>J263+Table234535910[[#This Row],[AMOUNT]]-Table234535910[[#This Row],[AMOUNT2]]-Table234535910[[#This Row],[AMOUNT3]]</f>
        <v>5081</v>
      </c>
      <c r="K264" s="125"/>
    </row>
    <row r="265" spans="1:11" x14ac:dyDescent="0.35">
      <c r="A265" s="29"/>
      <c r="B265" s="8"/>
      <c r="C265" s="8"/>
      <c r="D265" s="8"/>
      <c r="E265" s="8"/>
      <c r="F265" s="9"/>
      <c r="G265" s="13"/>
      <c r="H265" s="8"/>
      <c r="I265" s="8"/>
      <c r="J265" s="8">
        <f>J264+Table234535910[[#This Row],[AMOUNT]]-Table234535910[[#This Row],[AMOUNT2]]-Table234535910[[#This Row],[AMOUNT3]]</f>
        <v>5081</v>
      </c>
      <c r="K265" s="125"/>
    </row>
    <row r="266" spans="1:11" x14ac:dyDescent="0.35">
      <c r="A266" s="29"/>
      <c r="B266" s="8"/>
      <c r="C266" s="8"/>
      <c r="D266" s="8"/>
      <c r="E266" s="8"/>
      <c r="F266" s="9"/>
      <c r="G266" s="13"/>
      <c r="H266" s="8"/>
      <c r="I266" s="8"/>
      <c r="J266" s="8">
        <f>J265+Table234535910[[#This Row],[AMOUNT]]-Table234535910[[#This Row],[AMOUNT2]]-Table234535910[[#This Row],[AMOUNT3]]</f>
        <v>5081</v>
      </c>
      <c r="K266" s="125"/>
    </row>
    <row r="267" spans="1:11" x14ac:dyDescent="0.35">
      <c r="A267" s="29"/>
      <c r="B267" s="8"/>
      <c r="C267" s="8"/>
      <c r="D267" s="8"/>
      <c r="E267" s="8"/>
      <c r="F267" s="9"/>
      <c r="G267" s="13"/>
      <c r="H267" s="8"/>
      <c r="I267" s="8"/>
      <c r="J267" s="8">
        <f>J266+Table234535910[[#This Row],[AMOUNT]]-Table234535910[[#This Row],[AMOUNT2]]-Table234535910[[#This Row],[AMOUNT3]]</f>
        <v>5081</v>
      </c>
      <c r="K267" s="125"/>
    </row>
    <row r="268" spans="1:11" x14ac:dyDescent="0.35">
      <c r="A268" s="29"/>
      <c r="B268" s="8"/>
      <c r="C268" s="8"/>
      <c r="D268" s="8"/>
      <c r="E268" s="8"/>
      <c r="F268" s="9"/>
      <c r="G268" s="13"/>
      <c r="H268" s="8"/>
      <c r="I268" s="8"/>
      <c r="J268" s="8">
        <f>J267+Table234535910[[#This Row],[AMOUNT]]-Table234535910[[#This Row],[AMOUNT2]]-Table234535910[[#This Row],[AMOUNT3]]</f>
        <v>5081</v>
      </c>
      <c r="K268" s="125"/>
    </row>
    <row r="269" spans="1:11" x14ac:dyDescent="0.35">
      <c r="A269" s="29"/>
      <c r="B269" s="8"/>
      <c r="C269" s="8"/>
      <c r="D269" s="8"/>
      <c r="E269" s="8"/>
      <c r="F269" s="9"/>
      <c r="G269" s="13"/>
      <c r="H269" s="8"/>
      <c r="I269" s="8"/>
      <c r="J269" s="8">
        <f>J268+Table234535910[[#This Row],[AMOUNT]]-Table234535910[[#This Row],[AMOUNT2]]-Table234535910[[#This Row],[AMOUNT3]]</f>
        <v>5081</v>
      </c>
      <c r="K269" s="125"/>
    </row>
    <row r="270" spans="1:11" x14ac:dyDescent="0.35">
      <c r="A270" s="29"/>
      <c r="B270" s="8"/>
      <c r="C270" s="8"/>
      <c r="D270" s="8"/>
      <c r="E270" s="8"/>
      <c r="F270" s="9"/>
      <c r="G270" s="13"/>
      <c r="H270" s="8"/>
      <c r="I270" s="8"/>
      <c r="J270" s="8">
        <f>J269+Table234535910[[#This Row],[AMOUNT]]-Table234535910[[#This Row],[AMOUNT2]]-Table234535910[[#This Row],[AMOUNT3]]</f>
        <v>5081</v>
      </c>
      <c r="K270" s="125"/>
    </row>
    <row r="271" spans="1:11" x14ac:dyDescent="0.35">
      <c r="A271" s="29"/>
      <c r="B271" s="8"/>
      <c r="C271" s="8"/>
      <c r="D271" s="8"/>
      <c r="E271" s="8"/>
      <c r="F271" s="9"/>
      <c r="G271" s="13"/>
      <c r="H271" s="8"/>
      <c r="I271" s="8"/>
      <c r="J271" s="8">
        <f>J270+Table234535910[[#This Row],[AMOUNT]]-Table234535910[[#This Row],[AMOUNT2]]-Table234535910[[#This Row],[AMOUNT3]]</f>
        <v>5081</v>
      </c>
      <c r="K271" s="125"/>
    </row>
    <row r="272" spans="1:11" x14ac:dyDescent="0.35">
      <c r="A272" s="29"/>
      <c r="B272" s="8"/>
      <c r="C272" s="8"/>
      <c r="D272" s="8"/>
      <c r="E272" s="8"/>
      <c r="F272" s="9"/>
      <c r="G272" s="13"/>
      <c r="H272" s="8"/>
      <c r="I272" s="8"/>
      <c r="J272" s="8">
        <f>J271+Table234535910[[#This Row],[AMOUNT]]-Table234535910[[#This Row],[AMOUNT2]]-Table234535910[[#This Row],[AMOUNT3]]</f>
        <v>5081</v>
      </c>
      <c r="K272" s="125"/>
    </row>
    <row r="273" spans="1:11" x14ac:dyDescent="0.35">
      <c r="A273" s="29"/>
      <c r="B273" s="8"/>
      <c r="C273" s="8"/>
      <c r="D273" s="8"/>
      <c r="E273" s="8"/>
      <c r="F273" s="9"/>
      <c r="G273" s="13"/>
      <c r="H273" s="8"/>
      <c r="I273" s="8"/>
      <c r="J273" s="8">
        <f>J272+Table234535910[[#This Row],[AMOUNT]]-Table234535910[[#This Row],[AMOUNT2]]-Table234535910[[#This Row],[AMOUNT3]]</f>
        <v>5081</v>
      </c>
      <c r="K273" s="125"/>
    </row>
    <row r="274" spans="1:11" x14ac:dyDescent="0.35">
      <c r="A274" s="29"/>
      <c r="B274" s="8"/>
      <c r="C274" s="8"/>
      <c r="D274" s="8"/>
      <c r="E274" s="8"/>
      <c r="F274" s="9"/>
      <c r="G274" s="13"/>
      <c r="H274" s="8"/>
      <c r="I274" s="8"/>
      <c r="J274" s="8">
        <f>J273+Table234535910[[#This Row],[AMOUNT]]-Table234535910[[#This Row],[AMOUNT2]]-Table234535910[[#This Row],[AMOUNT3]]</f>
        <v>5081</v>
      </c>
      <c r="K274" s="125"/>
    </row>
    <row r="275" spans="1:11" x14ac:dyDescent="0.35">
      <c r="A275" s="29"/>
      <c r="B275" s="8"/>
      <c r="C275" s="8"/>
      <c r="D275" s="8"/>
      <c r="E275" s="8"/>
      <c r="F275" s="9"/>
      <c r="G275" s="13"/>
      <c r="H275" s="8"/>
      <c r="I275" s="8"/>
      <c r="J275" s="8">
        <f>J274+Table234535910[[#This Row],[AMOUNT]]-Table234535910[[#This Row],[AMOUNT2]]-Table234535910[[#This Row],[AMOUNT3]]</f>
        <v>5081</v>
      </c>
      <c r="K275" s="125"/>
    </row>
    <row r="276" spans="1:11" x14ac:dyDescent="0.35">
      <c r="A276" s="29"/>
      <c r="B276" s="8"/>
      <c r="C276" s="8"/>
      <c r="D276" s="8"/>
      <c r="E276" s="8"/>
      <c r="F276" s="9"/>
      <c r="G276" s="13"/>
      <c r="H276" s="8"/>
      <c r="I276" s="8"/>
      <c r="J276" s="8">
        <f>J275+Table234535910[[#This Row],[AMOUNT]]-Table234535910[[#This Row],[AMOUNT2]]-Table234535910[[#This Row],[AMOUNT3]]</f>
        <v>5081</v>
      </c>
      <c r="K276" s="125"/>
    </row>
    <row r="277" spans="1:11" x14ac:dyDescent="0.35">
      <c r="A277" s="29"/>
      <c r="B277" s="8"/>
      <c r="C277" s="8"/>
      <c r="D277" s="8"/>
      <c r="E277" s="8"/>
      <c r="F277" s="9"/>
      <c r="G277" s="13"/>
      <c r="H277" s="8"/>
      <c r="I277" s="8"/>
      <c r="J277" s="8">
        <f>J276+Table234535910[[#This Row],[AMOUNT]]-Table234535910[[#This Row],[AMOUNT2]]-Table234535910[[#This Row],[AMOUNT3]]</f>
        <v>5081</v>
      </c>
      <c r="K277" s="125"/>
    </row>
    <row r="278" spans="1:11" x14ac:dyDescent="0.35">
      <c r="A278" s="29"/>
      <c r="B278" s="8"/>
      <c r="C278" s="8"/>
      <c r="D278" s="8"/>
      <c r="E278" s="8"/>
      <c r="F278" s="9"/>
      <c r="G278" s="13"/>
      <c r="H278" s="8"/>
      <c r="I278" s="8"/>
      <c r="J278" s="8">
        <f>J277+Table234535910[[#This Row],[AMOUNT]]-Table234535910[[#This Row],[AMOUNT2]]-Table234535910[[#This Row],[AMOUNT3]]</f>
        <v>5081</v>
      </c>
      <c r="K278" s="125"/>
    </row>
    <row r="279" spans="1:11" x14ac:dyDescent="0.35">
      <c r="A279" s="29"/>
      <c r="B279" s="8"/>
      <c r="C279" s="8"/>
      <c r="D279" s="8"/>
      <c r="E279" s="8"/>
      <c r="F279" s="9"/>
      <c r="G279" s="13"/>
      <c r="H279" s="8"/>
      <c r="I279" s="8"/>
      <c r="J279" s="8">
        <f>J278+Table234535910[[#This Row],[AMOUNT]]-Table234535910[[#This Row],[AMOUNT2]]-Table234535910[[#This Row],[AMOUNT3]]</f>
        <v>5081</v>
      </c>
      <c r="K279" s="125"/>
    </row>
    <row r="280" spans="1:11" x14ac:dyDescent="0.35">
      <c r="A280" s="29"/>
      <c r="B280" s="8"/>
      <c r="C280" s="8"/>
      <c r="D280" s="8"/>
      <c r="E280" s="8"/>
      <c r="F280" s="9"/>
      <c r="G280" s="13"/>
      <c r="H280" s="8"/>
      <c r="I280" s="8"/>
      <c r="J280" s="8">
        <f>J279+Table234535910[[#This Row],[AMOUNT]]-Table234535910[[#This Row],[AMOUNT2]]-Table234535910[[#This Row],[AMOUNT3]]</f>
        <v>5081</v>
      </c>
      <c r="K280" s="125"/>
    </row>
    <row r="281" spans="1:11" x14ac:dyDescent="0.35">
      <c r="A281" s="29"/>
      <c r="B281" s="8"/>
      <c r="C281" s="8"/>
      <c r="D281" s="8"/>
      <c r="E281" s="8"/>
      <c r="F281" s="9"/>
      <c r="G281" s="13"/>
      <c r="H281" s="8"/>
      <c r="I281" s="8"/>
      <c r="J281" s="8">
        <f>J280+Table234535910[[#This Row],[AMOUNT]]-Table234535910[[#This Row],[AMOUNT2]]-Table234535910[[#This Row],[AMOUNT3]]</f>
        <v>5081</v>
      </c>
      <c r="K281" s="125"/>
    </row>
    <row r="282" spans="1:11" x14ac:dyDescent="0.35">
      <c r="A282" s="29"/>
      <c r="B282" s="8"/>
      <c r="C282" s="8"/>
      <c r="D282" s="8"/>
      <c r="E282" s="8"/>
      <c r="F282" s="9"/>
      <c r="G282" s="13"/>
      <c r="H282" s="8"/>
      <c r="I282" s="8"/>
      <c r="J282" s="8">
        <f>J281+Table234535910[[#This Row],[AMOUNT]]-Table234535910[[#This Row],[AMOUNT2]]-Table234535910[[#This Row],[AMOUNT3]]</f>
        <v>5081</v>
      </c>
      <c r="K282" s="125"/>
    </row>
    <row r="283" spans="1:11" x14ac:dyDescent="0.35">
      <c r="A283" s="29"/>
      <c r="B283" s="8"/>
      <c r="C283" s="8"/>
      <c r="D283" s="8"/>
      <c r="E283" s="8"/>
      <c r="F283" s="9"/>
      <c r="G283" s="13"/>
      <c r="H283" s="8"/>
      <c r="I283" s="8"/>
      <c r="J283" s="8">
        <f>J282+Table234535910[[#This Row],[AMOUNT]]-Table234535910[[#This Row],[AMOUNT2]]-Table234535910[[#This Row],[AMOUNT3]]</f>
        <v>5081</v>
      </c>
      <c r="K283" s="125"/>
    </row>
    <row r="284" spans="1:11" x14ac:dyDescent="0.35">
      <c r="A284" s="29"/>
      <c r="B284" s="8"/>
      <c r="C284" s="8"/>
      <c r="D284" s="8"/>
      <c r="E284" s="8"/>
      <c r="F284" s="9"/>
      <c r="G284" s="13"/>
      <c r="H284" s="8"/>
      <c r="I284" s="8"/>
      <c r="J284" s="8">
        <f>J283+Table234535910[[#This Row],[AMOUNT]]-Table234535910[[#This Row],[AMOUNT2]]-Table234535910[[#This Row],[AMOUNT3]]</f>
        <v>5081</v>
      </c>
      <c r="K284" s="125"/>
    </row>
    <row r="285" spans="1:11" x14ac:dyDescent="0.35">
      <c r="A285" s="29"/>
      <c r="B285" s="8"/>
      <c r="C285" s="8"/>
      <c r="D285" s="8"/>
      <c r="E285" s="8"/>
      <c r="F285" s="9"/>
      <c r="G285" s="13"/>
      <c r="H285" s="8"/>
      <c r="I285" s="8"/>
      <c r="J285" s="8">
        <f>J284+Table234535910[[#This Row],[AMOUNT]]-Table234535910[[#This Row],[AMOUNT2]]-Table234535910[[#This Row],[AMOUNT3]]</f>
        <v>5081</v>
      </c>
      <c r="K285" s="125"/>
    </row>
    <row r="286" spans="1:11" x14ac:dyDescent="0.35">
      <c r="A286" s="29"/>
      <c r="B286" s="8"/>
      <c r="C286" s="8"/>
      <c r="D286" s="8"/>
      <c r="E286" s="8"/>
      <c r="F286" s="9"/>
      <c r="G286" s="13"/>
      <c r="H286" s="8"/>
      <c r="I286" s="8"/>
      <c r="J286" s="8">
        <f>J285+Table234535910[[#This Row],[AMOUNT]]-Table234535910[[#This Row],[AMOUNT2]]-Table234535910[[#This Row],[AMOUNT3]]</f>
        <v>5081</v>
      </c>
      <c r="K286" s="125"/>
    </row>
    <row r="287" spans="1:11" x14ac:dyDescent="0.35">
      <c r="A287" s="29"/>
      <c r="B287" s="8"/>
      <c r="C287" s="8"/>
      <c r="D287" s="8"/>
      <c r="E287" s="8"/>
      <c r="F287" s="9"/>
      <c r="G287" s="13"/>
      <c r="H287" s="8"/>
      <c r="I287" s="8"/>
      <c r="J287" s="8">
        <f>J286+Table234535910[[#This Row],[AMOUNT]]-Table234535910[[#This Row],[AMOUNT2]]-Table234535910[[#This Row],[AMOUNT3]]</f>
        <v>5081</v>
      </c>
      <c r="K287" s="125"/>
    </row>
    <row r="288" spans="1:11" x14ac:dyDescent="0.35">
      <c r="A288" s="29"/>
      <c r="B288" s="8"/>
      <c r="C288" s="8"/>
      <c r="D288" s="8"/>
      <c r="E288" s="8"/>
      <c r="F288" s="9"/>
      <c r="G288" s="13"/>
      <c r="H288" s="8"/>
      <c r="I288" s="8"/>
      <c r="J288" s="8">
        <f>J287+Table234535910[[#This Row],[AMOUNT]]-Table234535910[[#This Row],[AMOUNT2]]-Table234535910[[#This Row],[AMOUNT3]]</f>
        <v>5081</v>
      </c>
      <c r="K288" s="125"/>
    </row>
    <row r="289" spans="1:11" x14ac:dyDescent="0.35">
      <c r="A289" s="29"/>
      <c r="B289" s="8"/>
      <c r="C289" s="8"/>
      <c r="D289" s="8"/>
      <c r="E289" s="8"/>
      <c r="F289" s="9"/>
      <c r="G289" s="13"/>
      <c r="H289" s="8"/>
      <c r="I289" s="8"/>
      <c r="J289" s="8">
        <f>J288+Table234535910[[#This Row],[AMOUNT]]-Table234535910[[#This Row],[AMOUNT2]]-Table234535910[[#This Row],[AMOUNT3]]</f>
        <v>5081</v>
      </c>
      <c r="K289" s="125"/>
    </row>
    <row r="290" spans="1:11" x14ac:dyDescent="0.35">
      <c r="A290" s="29"/>
      <c r="B290" s="8"/>
      <c r="C290" s="8"/>
      <c r="D290" s="8"/>
      <c r="E290" s="8"/>
      <c r="F290" s="9"/>
      <c r="G290" s="13"/>
      <c r="H290" s="8"/>
      <c r="I290" s="8"/>
      <c r="J290" s="8">
        <f>J289+Table234535910[[#This Row],[AMOUNT]]-Table234535910[[#This Row],[AMOUNT2]]-Table234535910[[#This Row],[AMOUNT3]]</f>
        <v>5081</v>
      </c>
      <c r="K290" s="125"/>
    </row>
    <row r="291" spans="1:11" x14ac:dyDescent="0.35">
      <c r="A291" s="29"/>
      <c r="B291" s="8"/>
      <c r="C291" s="8"/>
      <c r="D291" s="8"/>
      <c r="E291" s="8"/>
      <c r="F291" s="9"/>
      <c r="G291" s="13"/>
      <c r="H291" s="8"/>
      <c r="I291" s="8"/>
      <c r="J291" s="8">
        <f>J290+Table234535910[[#This Row],[AMOUNT]]-Table234535910[[#This Row],[AMOUNT2]]-Table234535910[[#This Row],[AMOUNT3]]</f>
        <v>5081</v>
      </c>
      <c r="K291" s="125"/>
    </row>
    <row r="292" spans="1:11" x14ac:dyDescent="0.35">
      <c r="A292" s="29"/>
      <c r="B292" s="8"/>
      <c r="C292" s="8"/>
      <c r="D292" s="8"/>
      <c r="E292" s="8"/>
      <c r="F292" s="9"/>
      <c r="G292" s="13"/>
      <c r="H292" s="8"/>
      <c r="I292" s="8"/>
      <c r="J292" s="8">
        <f>J291+Table234535910[[#This Row],[AMOUNT]]-Table234535910[[#This Row],[AMOUNT2]]-Table234535910[[#This Row],[AMOUNT3]]</f>
        <v>5081</v>
      </c>
      <c r="K292" s="125"/>
    </row>
    <row r="293" spans="1:11" x14ac:dyDescent="0.35">
      <c r="A293" s="29"/>
      <c r="B293" s="8"/>
      <c r="C293" s="8"/>
      <c r="D293" s="8"/>
      <c r="E293" s="8"/>
      <c r="F293" s="9"/>
      <c r="G293" s="13"/>
      <c r="H293" s="8"/>
      <c r="I293" s="8"/>
      <c r="J293" s="8">
        <f>J292+Table234535910[[#This Row],[AMOUNT]]-Table234535910[[#This Row],[AMOUNT2]]-Table234535910[[#This Row],[AMOUNT3]]</f>
        <v>5081</v>
      </c>
      <c r="K293" s="125"/>
    </row>
    <row r="294" spans="1:11" x14ac:dyDescent="0.35">
      <c r="A294" s="29"/>
      <c r="B294" s="8"/>
      <c r="C294" s="8"/>
      <c r="D294" s="8"/>
      <c r="E294" s="8"/>
      <c r="F294" s="9"/>
      <c r="G294" s="13"/>
      <c r="H294" s="8"/>
      <c r="I294" s="8"/>
      <c r="J294" s="8">
        <f>J293+Table234535910[[#This Row],[AMOUNT]]-Table234535910[[#This Row],[AMOUNT2]]-Table234535910[[#This Row],[AMOUNT3]]</f>
        <v>5081</v>
      </c>
      <c r="K294" s="125"/>
    </row>
    <row r="295" spans="1:11" x14ac:dyDescent="0.35">
      <c r="A295" s="29"/>
      <c r="B295" s="8"/>
      <c r="C295" s="8"/>
      <c r="D295" s="8"/>
      <c r="E295" s="8"/>
      <c r="F295" s="9"/>
      <c r="G295" s="13"/>
      <c r="H295" s="8"/>
      <c r="I295" s="8"/>
      <c r="J295" s="8">
        <f>J294+Table234535910[[#This Row],[AMOUNT]]-Table234535910[[#This Row],[AMOUNT2]]-Table234535910[[#This Row],[AMOUNT3]]</f>
        <v>5081</v>
      </c>
      <c r="K295" s="125"/>
    </row>
    <row r="296" spans="1:11" x14ac:dyDescent="0.35">
      <c r="A296" s="29"/>
      <c r="B296" s="8"/>
      <c r="C296" s="8"/>
      <c r="D296" s="8"/>
      <c r="E296" s="8"/>
      <c r="F296" s="9"/>
      <c r="G296" s="13"/>
      <c r="H296" s="8"/>
      <c r="I296" s="8"/>
      <c r="J296" s="8">
        <f>J295+Table234535910[[#This Row],[AMOUNT]]-Table234535910[[#This Row],[AMOUNT2]]-Table234535910[[#This Row],[AMOUNT3]]</f>
        <v>5081</v>
      </c>
      <c r="K296" s="125"/>
    </row>
    <row r="297" spans="1:11" x14ac:dyDescent="0.35">
      <c r="A297" s="29"/>
      <c r="B297" s="8"/>
      <c r="C297" s="8"/>
      <c r="D297" s="8"/>
      <c r="E297" s="8"/>
      <c r="F297" s="9"/>
      <c r="G297" s="13"/>
      <c r="H297" s="8"/>
      <c r="I297" s="8"/>
      <c r="J297" s="8">
        <f>J296+Table234535910[[#This Row],[AMOUNT]]-Table234535910[[#This Row],[AMOUNT2]]-Table234535910[[#This Row],[AMOUNT3]]</f>
        <v>5081</v>
      </c>
      <c r="K297" s="125"/>
    </row>
    <row r="298" spans="1:11" x14ac:dyDescent="0.35">
      <c r="A298" s="29"/>
      <c r="B298" s="8"/>
      <c r="C298" s="8"/>
      <c r="D298" s="8"/>
      <c r="E298" s="8"/>
      <c r="F298" s="9"/>
      <c r="G298" s="13"/>
      <c r="H298" s="8"/>
      <c r="I298" s="8"/>
      <c r="J298" s="8">
        <f>J297+Table234535910[[#This Row],[AMOUNT]]-Table234535910[[#This Row],[AMOUNT2]]-Table234535910[[#This Row],[AMOUNT3]]</f>
        <v>5081</v>
      </c>
      <c r="K298" s="125"/>
    </row>
    <row r="299" spans="1:11" x14ac:dyDescent="0.35">
      <c r="A299" s="29"/>
      <c r="B299" s="8"/>
      <c r="C299" s="8"/>
      <c r="D299" s="8"/>
      <c r="E299" s="8"/>
      <c r="F299" s="9"/>
      <c r="G299" s="13"/>
      <c r="H299" s="8"/>
      <c r="I299" s="8"/>
      <c r="J299" s="8">
        <f>J298+Table234535910[[#This Row],[AMOUNT]]-Table234535910[[#This Row],[AMOUNT2]]-Table234535910[[#This Row],[AMOUNT3]]</f>
        <v>5081</v>
      </c>
      <c r="K299" s="125"/>
    </row>
    <row r="300" spans="1:11" x14ac:dyDescent="0.35">
      <c r="A300" s="29"/>
      <c r="B300" s="8"/>
      <c r="C300" s="8"/>
      <c r="D300" s="8"/>
      <c r="E300" s="8"/>
      <c r="F300" s="9"/>
      <c r="G300" s="13"/>
      <c r="H300" s="8"/>
      <c r="I300" s="8"/>
      <c r="J300" s="8">
        <f>J299+Table234535910[[#This Row],[AMOUNT]]-Table234535910[[#This Row],[AMOUNT2]]-Table234535910[[#This Row],[AMOUNT3]]</f>
        <v>5081</v>
      </c>
      <c r="K300" s="125"/>
    </row>
    <row r="301" spans="1:11" x14ac:dyDescent="0.35">
      <c r="A301" s="29"/>
      <c r="B301" s="8"/>
      <c r="C301" s="8"/>
      <c r="D301" s="8"/>
      <c r="E301" s="8"/>
      <c r="F301" s="9"/>
      <c r="G301" s="13"/>
      <c r="H301" s="8"/>
      <c r="I301" s="8"/>
      <c r="J301" s="8">
        <f>J300+Table234535910[[#This Row],[AMOUNT]]-Table234535910[[#This Row],[AMOUNT2]]-Table234535910[[#This Row],[AMOUNT3]]</f>
        <v>5081</v>
      </c>
      <c r="K301" s="125"/>
    </row>
    <row r="302" spans="1:11" x14ac:dyDescent="0.35">
      <c r="A302" s="29"/>
      <c r="B302" s="8"/>
      <c r="C302" s="8"/>
      <c r="D302" s="8"/>
      <c r="E302" s="8"/>
      <c r="F302" s="9"/>
      <c r="G302" s="13"/>
      <c r="H302" s="8"/>
      <c r="I302" s="8"/>
      <c r="J302" s="8">
        <f>J301+Table234535910[[#This Row],[AMOUNT]]-Table234535910[[#This Row],[AMOUNT2]]-Table234535910[[#This Row],[AMOUNT3]]</f>
        <v>5081</v>
      </c>
      <c r="K302" s="125"/>
    </row>
    <row r="303" spans="1:11" x14ac:dyDescent="0.35">
      <c r="A303" s="29"/>
      <c r="B303" s="8"/>
      <c r="C303" s="8"/>
      <c r="D303" s="8"/>
      <c r="E303" s="8"/>
      <c r="F303" s="9"/>
      <c r="G303" s="13"/>
      <c r="H303" s="8"/>
      <c r="I303" s="8"/>
      <c r="J303" s="8">
        <f>J302+Table234535910[[#This Row],[AMOUNT]]-Table234535910[[#This Row],[AMOUNT2]]-Table234535910[[#This Row],[AMOUNT3]]</f>
        <v>5081</v>
      </c>
      <c r="K303" s="125"/>
    </row>
    <row r="304" spans="1:11" x14ac:dyDescent="0.35">
      <c r="A304" s="29"/>
      <c r="B304" s="8"/>
      <c r="C304" s="8"/>
      <c r="D304" s="8"/>
      <c r="E304" s="8"/>
      <c r="F304" s="9"/>
      <c r="G304" s="13"/>
      <c r="H304" s="8"/>
      <c r="I304" s="8"/>
      <c r="J304" s="8">
        <f>J303+Table234535910[[#This Row],[AMOUNT]]-Table234535910[[#This Row],[AMOUNT2]]-Table234535910[[#This Row],[AMOUNT3]]</f>
        <v>5081</v>
      </c>
      <c r="K304" s="125"/>
    </row>
    <row r="305" spans="1:11" x14ac:dyDescent="0.35">
      <c r="A305" s="29"/>
      <c r="B305" s="8"/>
      <c r="C305" s="8"/>
      <c r="D305" s="8"/>
      <c r="E305" s="8"/>
      <c r="F305" s="9"/>
      <c r="G305" s="13"/>
      <c r="H305" s="8"/>
      <c r="I305" s="8"/>
      <c r="J305" s="8">
        <f>J304+Table234535910[[#This Row],[AMOUNT]]-Table234535910[[#This Row],[AMOUNT2]]-Table234535910[[#This Row],[AMOUNT3]]</f>
        <v>5081</v>
      </c>
      <c r="K305" s="125"/>
    </row>
    <row r="306" spans="1:11" x14ac:dyDescent="0.35">
      <c r="A306" s="29"/>
      <c r="B306" s="8"/>
      <c r="C306" s="8"/>
      <c r="D306" s="8"/>
      <c r="E306" s="8"/>
      <c r="F306" s="9"/>
      <c r="G306" s="13"/>
      <c r="H306" s="8"/>
      <c r="I306" s="8"/>
      <c r="J306" s="8">
        <f>J305+Table234535910[[#This Row],[AMOUNT]]-Table234535910[[#This Row],[AMOUNT2]]-Table234535910[[#This Row],[AMOUNT3]]</f>
        <v>5081</v>
      </c>
      <c r="K306" s="125"/>
    </row>
    <row r="307" spans="1:11" x14ac:dyDescent="0.35">
      <c r="A307" s="29"/>
      <c r="B307" s="8"/>
      <c r="C307" s="8"/>
      <c r="D307" s="8"/>
      <c r="E307" s="8"/>
      <c r="F307" s="9"/>
      <c r="G307" s="13"/>
      <c r="H307" s="8"/>
      <c r="I307" s="8"/>
      <c r="J307" s="8">
        <f>J306+Table234535910[[#This Row],[AMOUNT]]-Table234535910[[#This Row],[AMOUNT2]]-Table234535910[[#This Row],[AMOUNT3]]</f>
        <v>5081</v>
      </c>
      <c r="K307" s="125"/>
    </row>
    <row r="308" spans="1:11" x14ac:dyDescent="0.35">
      <c r="A308" s="29"/>
      <c r="B308" s="8"/>
      <c r="C308" s="8"/>
      <c r="D308" s="8"/>
      <c r="E308" s="8"/>
      <c r="F308" s="9"/>
      <c r="G308" s="13"/>
      <c r="H308" s="8"/>
      <c r="I308" s="8"/>
      <c r="J308" s="8">
        <f>J307+Table234535910[[#This Row],[AMOUNT]]-Table234535910[[#This Row],[AMOUNT2]]-Table234535910[[#This Row],[AMOUNT3]]</f>
        <v>5081</v>
      </c>
      <c r="K308" s="125"/>
    </row>
    <row r="309" spans="1:11" x14ac:dyDescent="0.35">
      <c r="A309" s="29"/>
      <c r="B309" s="8"/>
      <c r="C309" s="8"/>
      <c r="D309" s="8"/>
      <c r="E309" s="8"/>
      <c r="F309" s="9"/>
      <c r="G309" s="13"/>
      <c r="H309" s="8"/>
      <c r="I309" s="8"/>
      <c r="J309" s="8">
        <f>J308+Table234535910[[#This Row],[AMOUNT]]-Table234535910[[#This Row],[AMOUNT2]]-Table234535910[[#This Row],[AMOUNT3]]</f>
        <v>5081</v>
      </c>
      <c r="K309" s="125"/>
    </row>
    <row r="310" spans="1:11" x14ac:dyDescent="0.35">
      <c r="A310" s="29"/>
      <c r="B310" s="8"/>
      <c r="C310" s="8"/>
      <c r="D310" s="8"/>
      <c r="E310" s="8"/>
      <c r="F310" s="9"/>
      <c r="G310" s="13"/>
      <c r="H310" s="8"/>
      <c r="I310" s="8"/>
      <c r="J310" s="8">
        <f>J309+Table234535910[[#This Row],[AMOUNT]]-Table234535910[[#This Row],[AMOUNT2]]-Table234535910[[#This Row],[AMOUNT3]]</f>
        <v>5081</v>
      </c>
      <c r="K310" s="125"/>
    </row>
    <row r="311" spans="1:11" x14ac:dyDescent="0.35">
      <c r="A311" s="29"/>
      <c r="B311" s="8"/>
      <c r="C311" s="8"/>
      <c r="D311" s="8"/>
      <c r="E311" s="8"/>
      <c r="F311" s="9"/>
      <c r="G311" s="13"/>
      <c r="H311" s="8"/>
      <c r="I311" s="8"/>
      <c r="J311" s="8">
        <f>J310+Table234535910[[#This Row],[AMOUNT]]-Table234535910[[#This Row],[AMOUNT2]]-Table234535910[[#This Row],[AMOUNT3]]</f>
        <v>5081</v>
      </c>
      <c r="K311" s="125"/>
    </row>
    <row r="312" spans="1:11" x14ac:dyDescent="0.35">
      <c r="A312" s="29"/>
      <c r="B312" s="8"/>
      <c r="C312" s="8"/>
      <c r="D312" s="8"/>
      <c r="E312" s="8"/>
      <c r="F312" s="9"/>
      <c r="G312" s="13"/>
      <c r="H312" s="8"/>
      <c r="I312" s="8"/>
      <c r="J312" s="8">
        <f>J311+Table234535910[[#This Row],[AMOUNT]]-Table234535910[[#This Row],[AMOUNT2]]-Table234535910[[#This Row],[AMOUNT3]]</f>
        <v>5081</v>
      </c>
      <c r="K312" s="125"/>
    </row>
    <row r="313" spans="1:11" x14ac:dyDescent="0.35">
      <c r="A313" s="29"/>
      <c r="B313" s="8"/>
      <c r="C313" s="8"/>
      <c r="D313" s="8"/>
      <c r="E313" s="8"/>
      <c r="F313" s="9"/>
      <c r="G313" s="13"/>
      <c r="H313" s="8"/>
      <c r="I313" s="8"/>
      <c r="J313" s="8">
        <f>J312+Table234535910[[#This Row],[AMOUNT]]-Table234535910[[#This Row],[AMOUNT2]]-Table234535910[[#This Row],[AMOUNT3]]</f>
        <v>5081</v>
      </c>
      <c r="K313" s="125"/>
    </row>
    <row r="314" spans="1:11" x14ac:dyDescent="0.35">
      <c r="A314" s="29"/>
      <c r="B314" s="8"/>
      <c r="C314" s="8"/>
      <c r="D314" s="8"/>
      <c r="E314" s="8"/>
      <c r="F314" s="9"/>
      <c r="G314" s="13"/>
      <c r="H314" s="8"/>
      <c r="I314" s="8"/>
      <c r="J314" s="8">
        <f>J313+Table234535910[[#This Row],[AMOUNT]]-Table234535910[[#This Row],[AMOUNT2]]-Table234535910[[#This Row],[AMOUNT3]]</f>
        <v>5081</v>
      </c>
      <c r="K314" s="125"/>
    </row>
    <row r="315" spans="1:11" x14ac:dyDescent="0.35">
      <c r="A315" s="29"/>
      <c r="B315" s="8"/>
      <c r="C315" s="8"/>
      <c r="D315" s="8"/>
      <c r="E315" s="8"/>
      <c r="F315" s="9"/>
      <c r="G315" s="13"/>
      <c r="H315" s="8"/>
      <c r="I315" s="8"/>
      <c r="J315" s="8">
        <f>J314+Table234535910[[#This Row],[AMOUNT]]-Table234535910[[#This Row],[AMOUNT2]]-Table234535910[[#This Row],[AMOUNT3]]</f>
        <v>5081</v>
      </c>
      <c r="K315" s="125"/>
    </row>
    <row r="316" spans="1:11" x14ac:dyDescent="0.35">
      <c r="A316" s="29"/>
      <c r="B316" s="8"/>
      <c r="C316" s="8"/>
      <c r="D316" s="8"/>
      <c r="E316" s="8"/>
      <c r="F316" s="9"/>
      <c r="G316" s="13"/>
      <c r="H316" s="8"/>
      <c r="I316" s="8"/>
      <c r="J316" s="8">
        <f>J315+Table234535910[[#This Row],[AMOUNT]]-Table234535910[[#This Row],[AMOUNT2]]-Table234535910[[#This Row],[AMOUNT3]]</f>
        <v>5081</v>
      </c>
      <c r="K316" s="125"/>
    </row>
    <row r="317" spans="1:11" x14ac:dyDescent="0.35">
      <c r="A317" s="29"/>
      <c r="B317" s="8"/>
      <c r="C317" s="8"/>
      <c r="D317" s="8"/>
      <c r="E317" s="8"/>
      <c r="F317" s="9"/>
      <c r="G317" s="13"/>
      <c r="H317" s="8"/>
      <c r="I317" s="8"/>
      <c r="J317" s="8">
        <f>J316+Table234535910[[#This Row],[AMOUNT]]-Table234535910[[#This Row],[AMOUNT2]]-Table234535910[[#This Row],[AMOUNT3]]</f>
        <v>5081</v>
      </c>
      <c r="K317" s="125"/>
    </row>
    <row r="318" spans="1:11" x14ac:dyDescent="0.35">
      <c r="A318" s="29"/>
      <c r="B318" s="8"/>
      <c r="C318" s="8"/>
      <c r="D318" s="8"/>
      <c r="E318" s="8"/>
      <c r="F318" s="9"/>
      <c r="G318" s="13"/>
      <c r="H318" s="8"/>
      <c r="I318" s="8"/>
      <c r="J318" s="8">
        <f>J317+Table234535910[[#This Row],[AMOUNT]]-Table234535910[[#This Row],[AMOUNT2]]-Table234535910[[#This Row],[AMOUNT3]]</f>
        <v>5081</v>
      </c>
      <c r="K318" s="125"/>
    </row>
    <row r="319" spans="1:11" x14ac:dyDescent="0.35">
      <c r="A319" s="29"/>
      <c r="B319" s="8"/>
      <c r="C319" s="8"/>
      <c r="D319" s="8"/>
      <c r="E319" s="8"/>
      <c r="F319" s="9"/>
      <c r="G319" s="13"/>
      <c r="H319" s="8"/>
      <c r="I319" s="8"/>
      <c r="J319" s="8">
        <f>J318+Table234535910[[#This Row],[AMOUNT]]-Table234535910[[#This Row],[AMOUNT2]]-Table234535910[[#This Row],[AMOUNT3]]</f>
        <v>5081</v>
      </c>
      <c r="K319" s="125"/>
    </row>
    <row r="320" spans="1:11" x14ac:dyDescent="0.35">
      <c r="A320" s="29"/>
      <c r="B320" s="8"/>
      <c r="C320" s="8"/>
      <c r="D320" s="8"/>
      <c r="E320" s="8"/>
      <c r="F320" s="9"/>
      <c r="G320" s="13"/>
      <c r="H320" s="8"/>
      <c r="I320" s="8"/>
      <c r="J320" s="8">
        <f>J319+Table234535910[[#This Row],[AMOUNT]]-Table234535910[[#This Row],[AMOUNT2]]-Table234535910[[#This Row],[AMOUNT3]]</f>
        <v>5081</v>
      </c>
      <c r="K320" s="125"/>
    </row>
    <row r="321" spans="1:11" x14ac:dyDescent="0.35">
      <c r="A321" s="29"/>
      <c r="B321" s="8"/>
      <c r="C321" s="8"/>
      <c r="D321" s="8"/>
      <c r="E321" s="8"/>
      <c r="F321" s="9"/>
      <c r="G321" s="13"/>
      <c r="H321" s="8"/>
      <c r="I321" s="8"/>
      <c r="J321" s="8">
        <f>J320+Table234535910[[#This Row],[AMOUNT]]-Table234535910[[#This Row],[AMOUNT2]]-Table234535910[[#This Row],[AMOUNT3]]</f>
        <v>5081</v>
      </c>
      <c r="K321" s="125"/>
    </row>
    <row r="322" spans="1:11" x14ac:dyDescent="0.35">
      <c r="A322" s="29"/>
      <c r="B322" s="8"/>
      <c r="C322" s="8"/>
      <c r="D322" s="8"/>
      <c r="E322" s="8"/>
      <c r="F322" s="9"/>
      <c r="G322" s="13"/>
      <c r="H322" s="8"/>
      <c r="I322" s="8"/>
      <c r="J322" s="8">
        <f>J321+Table234535910[[#This Row],[AMOUNT]]-Table234535910[[#This Row],[AMOUNT2]]-Table234535910[[#This Row],[AMOUNT3]]</f>
        <v>5081</v>
      </c>
      <c r="K322" s="125"/>
    </row>
    <row r="323" spans="1:11" x14ac:dyDescent="0.35">
      <c r="A323" s="29"/>
      <c r="B323" s="8"/>
      <c r="C323" s="8"/>
      <c r="D323" s="8"/>
      <c r="E323" s="8"/>
      <c r="F323" s="9"/>
      <c r="G323" s="13"/>
      <c r="H323" s="8"/>
      <c r="I323" s="8"/>
      <c r="J323" s="8">
        <f>J322+Table234535910[[#This Row],[AMOUNT]]-Table234535910[[#This Row],[AMOUNT2]]-Table234535910[[#This Row],[AMOUNT3]]</f>
        <v>5081</v>
      </c>
      <c r="K323" s="125"/>
    </row>
    <row r="324" spans="1:11" x14ac:dyDescent="0.35">
      <c r="A324" s="29"/>
      <c r="B324" s="8"/>
      <c r="C324" s="8"/>
      <c r="D324" s="8"/>
      <c r="E324" s="8"/>
      <c r="F324" s="9"/>
      <c r="G324" s="13"/>
      <c r="H324" s="8"/>
      <c r="I324" s="8"/>
      <c r="J324" s="8">
        <f>J323+Table234535910[[#This Row],[AMOUNT]]-Table234535910[[#This Row],[AMOUNT2]]-Table234535910[[#This Row],[AMOUNT3]]</f>
        <v>5081</v>
      </c>
      <c r="K324" s="125"/>
    </row>
    <row r="325" spans="1:11" x14ac:dyDescent="0.35">
      <c r="A325" s="29"/>
      <c r="B325" s="8"/>
      <c r="C325" s="8"/>
      <c r="D325" s="8"/>
      <c r="E325" s="8"/>
      <c r="F325" s="9"/>
      <c r="G325" s="13"/>
      <c r="H325" s="8"/>
      <c r="I325" s="8"/>
      <c r="J325" s="8">
        <f>J324+Table234535910[[#This Row],[AMOUNT]]-Table234535910[[#This Row],[AMOUNT2]]-Table234535910[[#This Row],[AMOUNT3]]</f>
        <v>5081</v>
      </c>
      <c r="K325" s="125"/>
    </row>
    <row r="326" spans="1:11" x14ac:dyDescent="0.35">
      <c r="A326" s="29"/>
      <c r="B326" s="8"/>
      <c r="C326" s="8"/>
      <c r="D326" s="8"/>
      <c r="E326" s="8"/>
      <c r="F326" s="9"/>
      <c r="G326" s="13"/>
      <c r="H326" s="8"/>
      <c r="I326" s="8"/>
      <c r="J326" s="8">
        <f>J325+Table234535910[[#This Row],[AMOUNT]]-Table234535910[[#This Row],[AMOUNT2]]-Table234535910[[#This Row],[AMOUNT3]]</f>
        <v>5081</v>
      </c>
      <c r="K326" s="125"/>
    </row>
    <row r="327" spans="1:11" x14ac:dyDescent="0.35">
      <c r="A327" s="29"/>
      <c r="B327" s="8"/>
      <c r="C327" s="8"/>
      <c r="D327" s="8"/>
      <c r="E327" s="8"/>
      <c r="F327" s="9"/>
      <c r="G327" s="13"/>
      <c r="H327" s="8"/>
      <c r="I327" s="8"/>
      <c r="J327" s="8">
        <f>J326+Table234535910[[#This Row],[AMOUNT]]-Table234535910[[#This Row],[AMOUNT2]]-Table234535910[[#This Row],[AMOUNT3]]</f>
        <v>5081</v>
      </c>
      <c r="K327" s="125"/>
    </row>
    <row r="328" spans="1:11" x14ac:dyDescent="0.35">
      <c r="A328" s="29"/>
      <c r="B328" s="8"/>
      <c r="C328" s="8"/>
      <c r="D328" s="8"/>
      <c r="E328" s="8"/>
      <c r="F328" s="9"/>
      <c r="G328" s="13"/>
      <c r="H328" s="8"/>
      <c r="I328" s="8"/>
      <c r="J328" s="8">
        <f>J327+Table234535910[[#This Row],[AMOUNT]]-Table234535910[[#This Row],[AMOUNT2]]-Table234535910[[#This Row],[AMOUNT3]]</f>
        <v>5081</v>
      </c>
      <c r="K328" s="125"/>
    </row>
    <row r="329" spans="1:11" x14ac:dyDescent="0.35">
      <c r="A329" s="29"/>
      <c r="B329" s="8"/>
      <c r="C329" s="8"/>
      <c r="D329" s="8"/>
      <c r="E329" s="8"/>
      <c r="F329" s="9"/>
      <c r="G329" s="13"/>
      <c r="H329" s="8"/>
      <c r="I329" s="8"/>
      <c r="J329" s="8">
        <f>J328+Table234535910[[#This Row],[AMOUNT]]-Table234535910[[#This Row],[AMOUNT2]]-Table234535910[[#This Row],[AMOUNT3]]</f>
        <v>5081</v>
      </c>
      <c r="K329" s="125"/>
    </row>
    <row r="330" spans="1:11" x14ac:dyDescent="0.35">
      <c r="A330" s="29"/>
      <c r="B330" s="8"/>
      <c r="C330" s="8"/>
      <c r="D330" s="8"/>
      <c r="E330" s="8"/>
      <c r="F330" s="9"/>
      <c r="G330" s="13"/>
      <c r="H330" s="8"/>
      <c r="I330" s="8"/>
      <c r="J330" s="8">
        <f>J329+Table234535910[[#This Row],[AMOUNT]]-Table234535910[[#This Row],[AMOUNT2]]-Table234535910[[#This Row],[AMOUNT3]]</f>
        <v>5081</v>
      </c>
      <c r="K330" s="125"/>
    </row>
    <row r="331" spans="1:11" x14ac:dyDescent="0.35">
      <c r="A331" s="29"/>
      <c r="B331" s="8"/>
      <c r="C331" s="8"/>
      <c r="D331" s="8"/>
      <c r="E331" s="8"/>
      <c r="F331" s="9"/>
      <c r="G331" s="13"/>
      <c r="H331" s="8"/>
      <c r="I331" s="8"/>
      <c r="J331" s="8">
        <f>J330+Table234535910[[#This Row],[AMOUNT]]-Table234535910[[#This Row],[AMOUNT2]]-Table234535910[[#This Row],[AMOUNT3]]</f>
        <v>5081</v>
      </c>
      <c r="K331" s="125"/>
    </row>
    <row r="332" spans="1:11" x14ac:dyDescent="0.35">
      <c r="A332" s="29"/>
      <c r="B332" s="8"/>
      <c r="C332" s="8"/>
      <c r="D332" s="8"/>
      <c r="E332" s="8"/>
      <c r="F332" s="9"/>
      <c r="G332" s="13"/>
      <c r="H332" s="8"/>
      <c r="I332" s="8"/>
      <c r="J332" s="8">
        <f>J331+Table234535910[[#This Row],[AMOUNT]]-Table234535910[[#This Row],[AMOUNT2]]-Table234535910[[#This Row],[AMOUNT3]]</f>
        <v>5081</v>
      </c>
      <c r="K332" s="125"/>
    </row>
    <row r="333" spans="1:11" x14ac:dyDescent="0.35">
      <c r="A333" s="29"/>
      <c r="B333" s="8"/>
      <c r="C333" s="8"/>
      <c r="D333" s="8"/>
      <c r="E333" s="8"/>
      <c r="F333" s="9"/>
      <c r="G333" s="13"/>
      <c r="H333" s="8"/>
      <c r="I333" s="8"/>
      <c r="J333" s="8">
        <f>J332+Table234535910[[#This Row],[AMOUNT]]-Table234535910[[#This Row],[AMOUNT2]]-Table234535910[[#This Row],[AMOUNT3]]</f>
        <v>5081</v>
      </c>
      <c r="K333" s="125"/>
    </row>
    <row r="334" spans="1:11" x14ac:dyDescent="0.35">
      <c r="A334" s="29"/>
      <c r="B334" s="8"/>
      <c r="C334" s="8"/>
      <c r="D334" s="8"/>
      <c r="E334" s="8"/>
      <c r="F334" s="9"/>
      <c r="G334" s="13"/>
      <c r="H334" s="8"/>
      <c r="I334" s="8"/>
      <c r="J334" s="8">
        <f>J333+Table234535910[[#This Row],[AMOUNT]]-Table234535910[[#This Row],[AMOUNT2]]-Table234535910[[#This Row],[AMOUNT3]]</f>
        <v>5081</v>
      </c>
      <c r="K334" s="125"/>
    </row>
    <row r="335" spans="1:11" x14ac:dyDescent="0.35">
      <c r="A335" s="29"/>
      <c r="B335" s="8"/>
      <c r="C335" s="8"/>
      <c r="D335" s="8"/>
      <c r="E335" s="8"/>
      <c r="F335" s="9"/>
      <c r="G335" s="13"/>
      <c r="H335" s="8"/>
      <c r="I335" s="8"/>
      <c r="J335" s="8">
        <f>J334+Table234535910[[#This Row],[AMOUNT]]-Table234535910[[#This Row],[AMOUNT2]]-Table234535910[[#This Row],[AMOUNT3]]</f>
        <v>5081</v>
      </c>
      <c r="K335" s="125"/>
    </row>
    <row r="336" spans="1:11" x14ac:dyDescent="0.35">
      <c r="A336" s="29"/>
      <c r="B336" s="8"/>
      <c r="C336" s="8"/>
      <c r="D336" s="8"/>
      <c r="E336" s="8"/>
      <c r="F336" s="9"/>
      <c r="G336" s="13"/>
      <c r="H336" s="8"/>
      <c r="I336" s="8"/>
      <c r="J336" s="8">
        <f>J335+Table234535910[[#This Row],[AMOUNT]]-Table234535910[[#This Row],[AMOUNT2]]-Table234535910[[#This Row],[AMOUNT3]]</f>
        <v>5081</v>
      </c>
      <c r="K336" s="125"/>
    </row>
    <row r="337" spans="1:11" x14ac:dyDescent="0.35">
      <c r="A337" s="29"/>
      <c r="B337" s="8"/>
      <c r="C337" s="8"/>
      <c r="D337" s="8"/>
      <c r="E337" s="8"/>
      <c r="F337" s="9"/>
      <c r="G337" s="13"/>
      <c r="H337" s="8"/>
      <c r="I337" s="8"/>
      <c r="J337" s="8">
        <f>J336+Table234535910[[#This Row],[AMOUNT]]-Table234535910[[#This Row],[AMOUNT2]]-Table234535910[[#This Row],[AMOUNT3]]</f>
        <v>5081</v>
      </c>
      <c r="K337" s="125"/>
    </row>
    <row r="338" spans="1:11" x14ac:dyDescent="0.35">
      <c r="A338" s="29"/>
      <c r="B338" s="8"/>
      <c r="C338" s="8"/>
      <c r="D338" s="8"/>
      <c r="E338" s="8"/>
      <c r="F338" s="9"/>
      <c r="G338" s="13"/>
      <c r="H338" s="8"/>
      <c r="I338" s="8"/>
      <c r="J338" s="8">
        <f>J337+Table234535910[[#This Row],[AMOUNT]]-Table234535910[[#This Row],[AMOUNT2]]-Table234535910[[#This Row],[AMOUNT3]]</f>
        <v>5081</v>
      </c>
      <c r="K338" s="125"/>
    </row>
    <row r="339" spans="1:11" x14ac:dyDescent="0.35">
      <c r="A339" s="29"/>
      <c r="B339" s="8"/>
      <c r="C339" s="8"/>
      <c r="D339" s="8"/>
      <c r="E339" s="8"/>
      <c r="F339" s="9"/>
      <c r="G339" s="13"/>
      <c r="H339" s="8"/>
      <c r="I339" s="8"/>
      <c r="J339" s="8">
        <f>J338+Table234535910[[#This Row],[AMOUNT]]-Table234535910[[#This Row],[AMOUNT2]]-Table234535910[[#This Row],[AMOUNT3]]</f>
        <v>5081</v>
      </c>
      <c r="K339" s="125"/>
    </row>
    <row r="340" spans="1:11" x14ac:dyDescent="0.35">
      <c r="A340" s="29"/>
      <c r="B340" s="8"/>
      <c r="C340" s="8"/>
      <c r="D340" s="8"/>
      <c r="E340" s="8"/>
      <c r="F340" s="9"/>
      <c r="G340" s="13"/>
      <c r="H340" s="8"/>
      <c r="I340" s="8"/>
      <c r="J340" s="8">
        <f>J339+Table234535910[[#This Row],[AMOUNT]]-Table234535910[[#This Row],[AMOUNT2]]-Table234535910[[#This Row],[AMOUNT3]]</f>
        <v>5081</v>
      </c>
      <c r="K340" s="125"/>
    </row>
    <row r="341" spans="1:11" x14ac:dyDescent="0.35">
      <c r="A341" s="29"/>
      <c r="B341" s="8"/>
      <c r="C341" s="8"/>
      <c r="D341" s="8"/>
      <c r="E341" s="8"/>
      <c r="F341" s="9"/>
      <c r="G341" s="13"/>
      <c r="H341" s="8"/>
      <c r="I341" s="8"/>
      <c r="J341" s="8">
        <f>J340+Table234535910[[#This Row],[AMOUNT]]-Table234535910[[#This Row],[AMOUNT2]]-Table234535910[[#This Row],[AMOUNT3]]</f>
        <v>5081</v>
      </c>
      <c r="K341" s="125"/>
    </row>
    <row r="342" spans="1:11" x14ac:dyDescent="0.35">
      <c r="A342" s="29"/>
      <c r="B342" s="8"/>
      <c r="C342" s="8"/>
      <c r="D342" s="8"/>
      <c r="E342" s="8"/>
      <c r="F342" s="9"/>
      <c r="G342" s="13"/>
      <c r="H342" s="8"/>
      <c r="I342" s="8"/>
      <c r="J342" s="8">
        <f>J341+Table234535910[[#This Row],[AMOUNT]]-Table234535910[[#This Row],[AMOUNT2]]-Table234535910[[#This Row],[AMOUNT3]]</f>
        <v>5081</v>
      </c>
      <c r="K342" s="125"/>
    </row>
    <row r="343" spans="1:11" x14ac:dyDescent="0.35">
      <c r="A343" s="29"/>
      <c r="B343" s="8"/>
      <c r="C343" s="8"/>
      <c r="D343" s="8"/>
      <c r="E343" s="8"/>
      <c r="F343" s="9"/>
      <c r="G343" s="13"/>
      <c r="H343" s="8"/>
      <c r="I343" s="8"/>
      <c r="J343" s="8">
        <f>J342+Table234535910[[#This Row],[AMOUNT]]-Table234535910[[#This Row],[AMOUNT2]]-Table234535910[[#This Row],[AMOUNT3]]</f>
        <v>5081</v>
      </c>
      <c r="K343" s="125"/>
    </row>
    <row r="344" spans="1:11" x14ac:dyDescent="0.35">
      <c r="A344" s="29"/>
      <c r="B344" s="8"/>
      <c r="C344" s="8"/>
      <c r="D344" s="8"/>
      <c r="E344" s="8"/>
      <c r="F344" s="9"/>
      <c r="G344" s="13"/>
      <c r="H344" s="8"/>
      <c r="I344" s="8"/>
      <c r="J344" s="8">
        <f>J343+Table234535910[[#This Row],[AMOUNT]]-Table234535910[[#This Row],[AMOUNT2]]-Table234535910[[#This Row],[AMOUNT3]]</f>
        <v>5081</v>
      </c>
      <c r="K344" s="125"/>
    </row>
    <row r="345" spans="1:11" x14ac:dyDescent="0.35">
      <c r="A345" s="29"/>
      <c r="B345" s="8"/>
      <c r="C345" s="8"/>
      <c r="D345" s="8"/>
      <c r="E345" s="8"/>
      <c r="F345" s="9"/>
      <c r="G345" s="13"/>
      <c r="H345" s="8"/>
      <c r="I345" s="8"/>
      <c r="J345" s="8">
        <f>J344+Table234535910[[#This Row],[AMOUNT]]-Table234535910[[#This Row],[AMOUNT2]]-Table234535910[[#This Row],[AMOUNT3]]</f>
        <v>5081</v>
      </c>
      <c r="K345" s="125"/>
    </row>
    <row r="346" spans="1:11" x14ac:dyDescent="0.35">
      <c r="A346" s="29"/>
      <c r="B346" s="8"/>
      <c r="C346" s="8"/>
      <c r="D346" s="8"/>
      <c r="E346" s="8"/>
      <c r="F346" s="9"/>
      <c r="G346" s="13"/>
      <c r="H346" s="8"/>
      <c r="I346" s="8"/>
      <c r="J346" s="8">
        <f>J345+Table234535910[[#This Row],[AMOUNT]]-Table234535910[[#This Row],[AMOUNT2]]-Table234535910[[#This Row],[AMOUNT3]]</f>
        <v>5081</v>
      </c>
      <c r="K346" s="125"/>
    </row>
    <row r="347" spans="1:11" x14ac:dyDescent="0.35">
      <c r="A347" s="29"/>
      <c r="B347" s="8"/>
      <c r="C347" s="8"/>
      <c r="D347" s="8"/>
      <c r="E347" s="8"/>
      <c r="F347" s="9"/>
      <c r="G347" s="13"/>
      <c r="H347" s="8"/>
      <c r="I347" s="8"/>
      <c r="J347" s="8">
        <f>J346+Table234535910[[#This Row],[AMOUNT]]-Table234535910[[#This Row],[AMOUNT2]]-Table234535910[[#This Row],[AMOUNT3]]</f>
        <v>5081</v>
      </c>
      <c r="K347" s="125"/>
    </row>
    <row r="348" spans="1:11" x14ac:dyDescent="0.35">
      <c r="A348" s="29"/>
      <c r="B348" s="8"/>
      <c r="C348" s="8"/>
      <c r="D348" s="8"/>
      <c r="E348" s="8"/>
      <c r="F348" s="9"/>
      <c r="G348" s="13"/>
      <c r="H348" s="8"/>
      <c r="I348" s="8"/>
      <c r="J348" s="8">
        <f>J347+Table234535910[[#This Row],[AMOUNT]]-Table234535910[[#This Row],[AMOUNT2]]-Table234535910[[#This Row],[AMOUNT3]]</f>
        <v>5081</v>
      </c>
      <c r="K348" s="125"/>
    </row>
    <row r="349" spans="1:11" x14ac:dyDescent="0.35">
      <c r="A349" s="29"/>
      <c r="B349" s="8"/>
      <c r="C349" s="8"/>
      <c r="D349" s="8"/>
      <c r="E349" s="8"/>
      <c r="F349" s="9"/>
      <c r="G349" s="13"/>
      <c r="H349" s="8"/>
      <c r="I349" s="8"/>
      <c r="J349" s="8">
        <f>J348+Table234535910[[#This Row],[AMOUNT]]-Table234535910[[#This Row],[AMOUNT2]]-Table234535910[[#This Row],[AMOUNT3]]</f>
        <v>5081</v>
      </c>
      <c r="K349" s="125"/>
    </row>
    <row r="350" spans="1:11" x14ac:dyDescent="0.35">
      <c r="A350" s="29"/>
      <c r="B350" s="8"/>
      <c r="C350" s="8"/>
      <c r="D350" s="8"/>
      <c r="E350" s="8"/>
      <c r="F350" s="9"/>
      <c r="G350" s="13"/>
      <c r="H350" s="8"/>
      <c r="I350" s="8"/>
      <c r="J350" s="8">
        <f>J349+Table234535910[[#This Row],[AMOUNT]]-Table234535910[[#This Row],[AMOUNT2]]-Table234535910[[#This Row],[AMOUNT3]]</f>
        <v>5081</v>
      </c>
      <c r="K350" s="125"/>
    </row>
    <row r="351" spans="1:11" x14ac:dyDescent="0.35">
      <c r="A351" s="29"/>
      <c r="B351" s="8"/>
      <c r="C351" s="8"/>
      <c r="D351" s="8"/>
      <c r="E351" s="8"/>
      <c r="F351" s="9"/>
      <c r="G351" s="13"/>
      <c r="H351" s="8"/>
      <c r="I351" s="8"/>
      <c r="J351" s="8">
        <f>J350+Table234535910[[#This Row],[AMOUNT]]-Table234535910[[#This Row],[AMOUNT2]]-Table234535910[[#This Row],[AMOUNT3]]</f>
        <v>5081</v>
      </c>
      <c r="K351" s="125"/>
    </row>
    <row r="352" spans="1:11" x14ac:dyDescent="0.35">
      <c r="A352" s="29"/>
      <c r="B352" s="8"/>
      <c r="C352" s="8"/>
      <c r="D352" s="8"/>
      <c r="E352" s="8"/>
      <c r="F352" s="9"/>
      <c r="G352" s="13"/>
      <c r="H352" s="8"/>
      <c r="I352" s="8"/>
      <c r="J352" s="8">
        <f>J351+Table234535910[[#This Row],[AMOUNT]]-Table234535910[[#This Row],[AMOUNT2]]-Table234535910[[#This Row],[AMOUNT3]]</f>
        <v>5081</v>
      </c>
      <c r="K352" s="125"/>
    </row>
    <row r="353" spans="1:11" x14ac:dyDescent="0.35">
      <c r="A353" s="29"/>
      <c r="B353" s="8"/>
      <c r="C353" s="8"/>
      <c r="D353" s="8"/>
      <c r="E353" s="8"/>
      <c r="F353" s="9"/>
      <c r="G353" s="13"/>
      <c r="H353" s="8"/>
      <c r="I353" s="8"/>
      <c r="J353" s="8">
        <f>J352+Table234535910[[#This Row],[AMOUNT]]-Table234535910[[#This Row],[AMOUNT2]]-Table234535910[[#This Row],[AMOUNT3]]</f>
        <v>5081</v>
      </c>
      <c r="K353" s="125"/>
    </row>
    <row r="354" spans="1:11" x14ac:dyDescent="0.35">
      <c r="A354" s="29"/>
      <c r="B354" s="8"/>
      <c r="C354" s="8"/>
      <c r="D354" s="8"/>
      <c r="E354" s="8"/>
      <c r="F354" s="9"/>
      <c r="G354" s="13"/>
      <c r="H354" s="8"/>
      <c r="I354" s="8"/>
      <c r="J354" s="8">
        <f>J353+Table234535910[[#This Row],[AMOUNT]]-Table234535910[[#This Row],[AMOUNT2]]-Table234535910[[#This Row],[AMOUNT3]]</f>
        <v>5081</v>
      </c>
      <c r="K354" s="125"/>
    </row>
    <row r="355" spans="1:11" x14ac:dyDescent="0.35">
      <c r="A355" s="29"/>
      <c r="B355" s="8"/>
      <c r="C355" s="8"/>
      <c r="D355" s="8"/>
      <c r="E355" s="8"/>
      <c r="F355" s="9"/>
      <c r="G355" s="13"/>
      <c r="H355" s="8"/>
      <c r="I355" s="8"/>
      <c r="J355" s="8">
        <f>J354+Table234535910[[#This Row],[AMOUNT]]-Table234535910[[#This Row],[AMOUNT2]]-Table234535910[[#This Row],[AMOUNT3]]</f>
        <v>5081</v>
      </c>
      <c r="K355" s="125"/>
    </row>
    <row r="356" spans="1:11" x14ac:dyDescent="0.35">
      <c r="A356" s="29"/>
      <c r="B356" s="8"/>
      <c r="C356" s="8"/>
      <c r="D356" s="8"/>
      <c r="E356" s="8"/>
      <c r="F356" s="9"/>
      <c r="G356" s="13"/>
      <c r="H356" s="8"/>
      <c r="I356" s="8"/>
      <c r="J356" s="8">
        <f>J355+Table234535910[[#This Row],[AMOUNT]]-Table234535910[[#This Row],[AMOUNT2]]-Table234535910[[#This Row],[AMOUNT3]]</f>
        <v>5081</v>
      </c>
      <c r="K356" s="125"/>
    </row>
    <row r="357" spans="1:11" x14ac:dyDescent="0.35">
      <c r="A357" s="29"/>
      <c r="B357" s="8"/>
      <c r="C357" s="8"/>
      <c r="D357" s="8"/>
      <c r="E357" s="8"/>
      <c r="F357" s="9"/>
      <c r="G357" s="13"/>
      <c r="H357" s="8"/>
      <c r="I357" s="8"/>
      <c r="J357" s="8">
        <f>J356+Table234535910[[#This Row],[AMOUNT]]-Table234535910[[#This Row],[AMOUNT2]]-Table234535910[[#This Row],[AMOUNT3]]</f>
        <v>5081</v>
      </c>
      <c r="K357" s="125"/>
    </row>
    <row r="358" spans="1:11" x14ac:dyDescent="0.35">
      <c r="A358" s="29"/>
      <c r="B358" s="8"/>
      <c r="C358" s="8"/>
      <c r="D358" s="8"/>
      <c r="E358" s="8"/>
      <c r="F358" s="9"/>
      <c r="G358" s="13"/>
      <c r="H358" s="8"/>
      <c r="I358" s="8"/>
      <c r="J358" s="8">
        <f>J357+Table234535910[[#This Row],[AMOUNT]]-Table234535910[[#This Row],[AMOUNT2]]-Table234535910[[#This Row],[AMOUNT3]]</f>
        <v>5081</v>
      </c>
      <c r="K358" s="125"/>
    </row>
    <row r="359" spans="1:11" x14ac:dyDescent="0.35">
      <c r="A359" s="29"/>
      <c r="B359" s="8"/>
      <c r="C359" s="8"/>
      <c r="D359" s="8"/>
      <c r="E359" s="8"/>
      <c r="F359" s="9"/>
      <c r="G359" s="13"/>
      <c r="H359" s="8"/>
      <c r="I359" s="8"/>
      <c r="J359" s="8">
        <f>J358+Table234535910[[#This Row],[AMOUNT]]-Table234535910[[#This Row],[AMOUNT2]]-Table234535910[[#This Row],[AMOUNT3]]</f>
        <v>5081</v>
      </c>
      <c r="K359" s="125"/>
    </row>
    <row r="360" spans="1:11" x14ac:dyDescent="0.35">
      <c r="A360" s="29"/>
      <c r="B360" s="8"/>
      <c r="C360" s="8"/>
      <c r="D360" s="8"/>
      <c r="E360" s="8"/>
      <c r="F360" s="9"/>
      <c r="G360" s="13"/>
      <c r="H360" s="8"/>
      <c r="I360" s="8"/>
      <c r="J360" s="8">
        <f>J359+Table234535910[[#This Row],[AMOUNT]]-Table234535910[[#This Row],[AMOUNT2]]-Table234535910[[#This Row],[AMOUNT3]]</f>
        <v>5081</v>
      </c>
      <c r="K360" s="125"/>
    </row>
    <row r="361" spans="1:11" x14ac:dyDescent="0.35">
      <c r="A361" s="29"/>
      <c r="B361" s="8"/>
      <c r="C361" s="8"/>
      <c r="D361" s="8"/>
      <c r="E361" s="8"/>
      <c r="F361" s="9"/>
      <c r="G361" s="13"/>
      <c r="H361" s="8"/>
      <c r="I361" s="8"/>
      <c r="J361" s="8">
        <f>J360+Table234535910[[#This Row],[AMOUNT]]-Table234535910[[#This Row],[AMOUNT2]]-Table234535910[[#This Row],[AMOUNT3]]</f>
        <v>5081</v>
      </c>
      <c r="K361" s="125"/>
    </row>
    <row r="362" spans="1:11" x14ac:dyDescent="0.35">
      <c r="A362" s="29"/>
      <c r="B362" s="8"/>
      <c r="C362" s="8"/>
      <c r="D362" s="8"/>
      <c r="E362" s="8"/>
      <c r="F362" s="9"/>
      <c r="G362" s="13"/>
      <c r="H362" s="8"/>
      <c r="I362" s="8"/>
      <c r="J362" s="8">
        <f>J361+Table234535910[[#This Row],[AMOUNT]]-Table234535910[[#This Row],[AMOUNT2]]-Table234535910[[#This Row],[AMOUNT3]]</f>
        <v>5081</v>
      </c>
      <c r="K362" s="125"/>
    </row>
    <row r="363" spans="1:11" x14ac:dyDescent="0.35">
      <c r="A363" s="29"/>
      <c r="B363" s="8"/>
      <c r="C363" s="8"/>
      <c r="D363" s="8"/>
      <c r="E363" s="8"/>
      <c r="F363" s="9"/>
      <c r="G363" s="13"/>
      <c r="H363" s="8"/>
      <c r="I363" s="8"/>
      <c r="J363" s="8">
        <f>J362+Table234535910[[#This Row],[AMOUNT]]-Table234535910[[#This Row],[AMOUNT2]]-Table234535910[[#This Row],[AMOUNT3]]</f>
        <v>5081</v>
      </c>
      <c r="K363" s="125"/>
    </row>
    <row r="364" spans="1:11" x14ac:dyDescent="0.35">
      <c r="A364" s="29"/>
      <c r="B364" s="8"/>
      <c r="C364" s="8"/>
      <c r="D364" s="8"/>
      <c r="E364" s="8"/>
      <c r="F364" s="9"/>
      <c r="G364" s="13"/>
      <c r="H364" s="8"/>
      <c r="I364" s="8"/>
      <c r="J364" s="8">
        <f>J363+Table234535910[[#This Row],[AMOUNT]]-Table234535910[[#This Row],[AMOUNT2]]-Table234535910[[#This Row],[AMOUNT3]]</f>
        <v>5081</v>
      </c>
      <c r="K364" s="125"/>
    </row>
    <row r="365" spans="1:11" x14ac:dyDescent="0.35">
      <c r="A365" s="29"/>
      <c r="B365" s="8"/>
      <c r="C365" s="8"/>
      <c r="D365" s="8"/>
      <c r="E365" s="8"/>
      <c r="F365" s="9"/>
      <c r="G365" s="13"/>
      <c r="H365" s="8"/>
      <c r="I365" s="8"/>
      <c r="J365" s="8">
        <f>J364+Table234535910[[#This Row],[AMOUNT]]-Table234535910[[#This Row],[AMOUNT2]]-Table234535910[[#This Row],[AMOUNT3]]</f>
        <v>5081</v>
      </c>
      <c r="K365" s="125"/>
    </row>
    <row r="366" spans="1:11" x14ac:dyDescent="0.35">
      <c r="A366" s="29"/>
      <c r="B366" s="8"/>
      <c r="C366" s="8"/>
      <c r="D366" s="8"/>
      <c r="E366" s="8"/>
      <c r="F366" s="9"/>
      <c r="G366" s="13"/>
      <c r="H366" s="8"/>
      <c r="I366" s="8"/>
      <c r="J366" s="8">
        <f>J365+Table234535910[[#This Row],[AMOUNT]]-Table234535910[[#This Row],[AMOUNT2]]-Table234535910[[#This Row],[AMOUNT3]]</f>
        <v>5081</v>
      </c>
      <c r="K366" s="125"/>
    </row>
    <row r="367" spans="1:11" x14ac:dyDescent="0.35">
      <c r="A367" s="29"/>
      <c r="B367" s="8"/>
      <c r="C367" s="8"/>
      <c r="D367" s="8"/>
      <c r="E367" s="8"/>
      <c r="F367" s="9"/>
      <c r="G367" s="13"/>
      <c r="H367" s="8"/>
      <c r="I367" s="8"/>
      <c r="J367" s="8">
        <f>J366+Table234535910[[#This Row],[AMOUNT]]-Table234535910[[#This Row],[AMOUNT2]]-Table234535910[[#This Row],[AMOUNT3]]</f>
        <v>5081</v>
      </c>
      <c r="K367" s="125"/>
    </row>
    <row r="368" spans="1:11" x14ac:dyDescent="0.35">
      <c r="A368" s="29"/>
      <c r="B368" s="8"/>
      <c r="C368" s="8"/>
      <c r="D368" s="8"/>
      <c r="E368" s="8"/>
      <c r="F368" s="9"/>
      <c r="G368" s="13"/>
      <c r="H368" s="8"/>
      <c r="I368" s="8"/>
      <c r="J368" s="8">
        <f>J367+Table234535910[[#This Row],[AMOUNT]]-Table234535910[[#This Row],[AMOUNT2]]-Table234535910[[#This Row],[AMOUNT3]]</f>
        <v>5081</v>
      </c>
      <c r="K368" s="125"/>
    </row>
    <row r="369" spans="1:11" x14ac:dyDescent="0.35">
      <c r="A369" s="29"/>
      <c r="B369" s="8"/>
      <c r="C369" s="8"/>
      <c r="D369" s="8"/>
      <c r="E369" s="8"/>
      <c r="F369" s="9"/>
      <c r="G369" s="13"/>
      <c r="H369" s="8"/>
      <c r="I369" s="8"/>
      <c r="J369" s="8">
        <f>J368+Table234535910[[#This Row],[AMOUNT]]-Table234535910[[#This Row],[AMOUNT2]]-Table234535910[[#This Row],[AMOUNT3]]</f>
        <v>5081</v>
      </c>
      <c r="K369" s="125"/>
    </row>
    <row r="370" spans="1:11" x14ac:dyDescent="0.35">
      <c r="A370" s="29"/>
      <c r="B370" s="8"/>
      <c r="C370" s="8"/>
      <c r="D370" s="8"/>
      <c r="E370" s="8"/>
      <c r="F370" s="9"/>
      <c r="G370" s="13"/>
      <c r="H370" s="8"/>
      <c r="I370" s="8"/>
      <c r="J370" s="8">
        <f>J369+Table234535910[[#This Row],[AMOUNT]]-Table234535910[[#This Row],[AMOUNT2]]-Table234535910[[#This Row],[AMOUNT3]]</f>
        <v>5081</v>
      </c>
      <c r="K370" s="125"/>
    </row>
    <row r="371" spans="1:11" x14ac:dyDescent="0.35">
      <c r="A371" s="29"/>
      <c r="B371" s="8"/>
      <c r="C371" s="8"/>
      <c r="D371" s="8"/>
      <c r="E371" s="8"/>
      <c r="F371" s="9"/>
      <c r="G371" s="13"/>
      <c r="H371" s="8"/>
      <c r="I371" s="8"/>
      <c r="J371" s="8">
        <f>J370+Table234535910[[#This Row],[AMOUNT]]-Table234535910[[#This Row],[AMOUNT2]]-Table234535910[[#This Row],[AMOUNT3]]</f>
        <v>5081</v>
      </c>
      <c r="K371" s="125"/>
    </row>
    <row r="372" spans="1:11" x14ac:dyDescent="0.35">
      <c r="A372" s="29"/>
      <c r="B372" s="8"/>
      <c r="C372" s="8"/>
      <c r="D372" s="8"/>
      <c r="E372" s="8"/>
      <c r="F372" s="9"/>
      <c r="G372" s="13"/>
      <c r="H372" s="8"/>
      <c r="I372" s="8"/>
      <c r="J372" s="8">
        <f>J371+Table234535910[[#This Row],[AMOUNT]]-Table234535910[[#This Row],[AMOUNT2]]-Table234535910[[#This Row],[AMOUNT3]]</f>
        <v>5081</v>
      </c>
      <c r="K372" s="125"/>
    </row>
    <row r="373" spans="1:11" x14ac:dyDescent="0.35">
      <c r="A373" s="29"/>
      <c r="B373" s="8"/>
      <c r="C373" s="8"/>
      <c r="D373" s="8"/>
      <c r="E373" s="8"/>
      <c r="F373" s="9"/>
      <c r="G373" s="13"/>
      <c r="H373" s="8"/>
      <c r="I373" s="8"/>
      <c r="J373" s="8">
        <f>J372+Table234535910[[#This Row],[AMOUNT]]-Table234535910[[#This Row],[AMOUNT2]]-Table234535910[[#This Row],[AMOUNT3]]</f>
        <v>5081</v>
      </c>
      <c r="K373" s="125"/>
    </row>
    <row r="374" spans="1:11" x14ac:dyDescent="0.35">
      <c r="A374" s="29"/>
      <c r="B374" s="8"/>
      <c r="C374" s="8"/>
      <c r="D374" s="8"/>
      <c r="E374" s="8"/>
      <c r="F374" s="9"/>
      <c r="G374" s="13"/>
      <c r="H374" s="8"/>
      <c r="I374" s="8"/>
      <c r="J374" s="8">
        <f>J373+Table234535910[[#This Row],[AMOUNT]]-Table234535910[[#This Row],[AMOUNT2]]-Table234535910[[#This Row],[AMOUNT3]]</f>
        <v>5081</v>
      </c>
      <c r="K374" s="125"/>
    </row>
    <row r="375" spans="1:11" x14ac:dyDescent="0.35">
      <c r="A375" s="29"/>
      <c r="B375" s="8"/>
      <c r="C375" s="8"/>
      <c r="D375" s="8"/>
      <c r="E375" s="8"/>
      <c r="F375" s="9"/>
      <c r="G375" s="13"/>
      <c r="H375" s="8"/>
      <c r="I375" s="8"/>
      <c r="J375" s="8">
        <f>J374+Table234535910[[#This Row],[AMOUNT]]-Table234535910[[#This Row],[AMOUNT2]]-Table234535910[[#This Row],[AMOUNT3]]</f>
        <v>5081</v>
      </c>
      <c r="K375" s="125"/>
    </row>
    <row r="376" spans="1:11" x14ac:dyDescent="0.35">
      <c r="A376" s="29"/>
      <c r="B376" s="8"/>
      <c r="C376" s="8"/>
      <c r="D376" s="8"/>
      <c r="E376" s="8"/>
      <c r="F376" s="9"/>
      <c r="G376" s="13"/>
      <c r="H376" s="8"/>
      <c r="I376" s="8"/>
      <c r="J376" s="8">
        <f>J375+Table234535910[[#This Row],[AMOUNT]]-Table234535910[[#This Row],[AMOUNT2]]-Table234535910[[#This Row],[AMOUNT3]]</f>
        <v>5081</v>
      </c>
      <c r="K376" s="125"/>
    </row>
    <row r="377" spans="1:11" x14ac:dyDescent="0.35">
      <c r="A377" s="29"/>
      <c r="B377" s="8"/>
      <c r="C377" s="8"/>
      <c r="D377" s="8"/>
      <c r="E377" s="8"/>
      <c r="F377" s="9"/>
      <c r="G377" s="13"/>
      <c r="H377" s="8"/>
      <c r="I377" s="8"/>
      <c r="J377" s="8">
        <f>J376+Table234535910[[#This Row],[AMOUNT]]-Table234535910[[#This Row],[AMOUNT2]]-Table234535910[[#This Row],[AMOUNT3]]</f>
        <v>5081</v>
      </c>
      <c r="K377" s="125"/>
    </row>
    <row r="378" spans="1:11" x14ac:dyDescent="0.35">
      <c r="A378" s="29"/>
      <c r="B378" s="8"/>
      <c r="C378" s="8"/>
      <c r="D378" s="8"/>
      <c r="E378" s="8"/>
      <c r="F378" s="9"/>
      <c r="G378" s="13"/>
      <c r="H378" s="8"/>
      <c r="I378" s="8"/>
      <c r="J378" s="8">
        <f>J377+Table234535910[[#This Row],[AMOUNT]]-Table234535910[[#This Row],[AMOUNT2]]-Table234535910[[#This Row],[AMOUNT3]]</f>
        <v>5081</v>
      </c>
      <c r="K378" s="125"/>
    </row>
    <row r="379" spans="1:11" x14ac:dyDescent="0.35">
      <c r="A379" s="29"/>
      <c r="B379" s="8"/>
      <c r="C379" s="8"/>
      <c r="D379" s="8"/>
      <c r="E379" s="8"/>
      <c r="F379" s="9"/>
      <c r="G379" s="13"/>
      <c r="H379" s="8"/>
      <c r="I379" s="8"/>
      <c r="J379" s="8">
        <f>J378+Table234535910[[#This Row],[AMOUNT]]-Table234535910[[#This Row],[AMOUNT2]]-Table234535910[[#This Row],[AMOUNT3]]</f>
        <v>5081</v>
      </c>
      <c r="K379" s="125"/>
    </row>
    <row r="380" spans="1:11" x14ac:dyDescent="0.35">
      <c r="A380" s="29"/>
      <c r="B380" s="8"/>
      <c r="C380" s="8"/>
      <c r="D380" s="8"/>
      <c r="E380" s="8"/>
      <c r="F380" s="9"/>
      <c r="G380" s="13"/>
      <c r="H380" s="8"/>
      <c r="I380" s="8"/>
      <c r="J380" s="8">
        <f>J379+Table234535910[[#This Row],[AMOUNT]]-Table234535910[[#This Row],[AMOUNT2]]-Table234535910[[#This Row],[AMOUNT3]]</f>
        <v>5081</v>
      </c>
      <c r="K380" s="125"/>
    </row>
    <row r="381" spans="1:11" x14ac:dyDescent="0.35">
      <c r="A381" s="29"/>
      <c r="B381" s="8"/>
      <c r="C381" s="8"/>
      <c r="D381" s="8"/>
      <c r="E381" s="8"/>
      <c r="F381" s="9"/>
      <c r="G381" s="13"/>
      <c r="H381" s="8"/>
      <c r="I381" s="8"/>
      <c r="J381" s="8">
        <f>J380+Table234535910[[#This Row],[AMOUNT]]-Table234535910[[#This Row],[AMOUNT2]]-Table234535910[[#This Row],[AMOUNT3]]</f>
        <v>5081</v>
      </c>
      <c r="K381" s="125"/>
    </row>
    <row r="382" spans="1:11" x14ac:dyDescent="0.35">
      <c r="A382" s="29"/>
      <c r="B382" s="8"/>
      <c r="C382" s="8"/>
      <c r="D382" s="8"/>
      <c r="E382" s="8"/>
      <c r="F382" s="9"/>
      <c r="G382" s="13"/>
      <c r="H382" s="8"/>
      <c r="I382" s="8"/>
      <c r="J382" s="8">
        <f>J381+Table234535910[[#This Row],[AMOUNT]]-Table234535910[[#This Row],[AMOUNT2]]-Table234535910[[#This Row],[AMOUNT3]]</f>
        <v>5081</v>
      </c>
      <c r="K382" s="125"/>
    </row>
    <row r="383" spans="1:11" x14ac:dyDescent="0.35">
      <c r="A383" s="29"/>
      <c r="B383" s="8"/>
      <c r="C383" s="8"/>
      <c r="D383" s="8"/>
      <c r="E383" s="8"/>
      <c r="F383" s="9"/>
      <c r="G383" s="13"/>
      <c r="H383" s="8"/>
      <c r="I383" s="8"/>
      <c r="J383" s="8">
        <f>J382+Table234535910[[#This Row],[AMOUNT]]-Table234535910[[#This Row],[AMOUNT2]]-Table234535910[[#This Row],[AMOUNT3]]</f>
        <v>5081</v>
      </c>
      <c r="K383" s="125"/>
    </row>
    <row r="384" spans="1:11" x14ac:dyDescent="0.35">
      <c r="A384" s="29"/>
      <c r="B384" s="8"/>
      <c r="C384" s="8"/>
      <c r="D384" s="8"/>
      <c r="E384" s="8"/>
      <c r="F384" s="9"/>
      <c r="G384" s="13"/>
      <c r="H384" s="8"/>
      <c r="I384" s="8"/>
      <c r="J384" s="8">
        <f>J383+Table234535910[[#This Row],[AMOUNT]]-Table234535910[[#This Row],[AMOUNT2]]-Table234535910[[#This Row],[AMOUNT3]]</f>
        <v>5081</v>
      </c>
      <c r="K384" s="125"/>
    </row>
    <row r="385" spans="1:11" x14ac:dyDescent="0.35">
      <c r="A385" s="29"/>
      <c r="B385" s="8"/>
      <c r="C385" s="8"/>
      <c r="D385" s="8"/>
      <c r="E385" s="8"/>
      <c r="F385" s="9"/>
      <c r="G385" s="13"/>
      <c r="H385" s="8"/>
      <c r="I385" s="8"/>
      <c r="J385" s="8">
        <f>J384+Table234535910[[#This Row],[AMOUNT]]-Table234535910[[#This Row],[AMOUNT2]]-Table234535910[[#This Row],[AMOUNT3]]</f>
        <v>5081</v>
      </c>
      <c r="K385" s="125"/>
    </row>
    <row r="386" spans="1:11" x14ac:dyDescent="0.35">
      <c r="A386" s="29"/>
      <c r="B386" s="8"/>
      <c r="C386" s="8"/>
      <c r="D386" s="8"/>
      <c r="E386" s="8"/>
      <c r="F386" s="9"/>
      <c r="G386" s="13"/>
      <c r="H386" s="8"/>
      <c r="I386" s="8"/>
      <c r="J386" s="8">
        <f>J385+Table234535910[[#This Row],[AMOUNT]]-Table234535910[[#This Row],[AMOUNT2]]-Table234535910[[#This Row],[AMOUNT3]]</f>
        <v>5081</v>
      </c>
      <c r="K386" s="125"/>
    </row>
    <row r="387" spans="1:11" x14ac:dyDescent="0.35">
      <c r="A387" s="29"/>
      <c r="B387" s="8"/>
      <c r="C387" s="8"/>
      <c r="D387" s="8"/>
      <c r="E387" s="8"/>
      <c r="F387" s="9"/>
      <c r="G387" s="13"/>
      <c r="H387" s="8"/>
      <c r="I387" s="8"/>
      <c r="J387" s="8">
        <f>J386+Table234535910[[#This Row],[AMOUNT]]-Table234535910[[#This Row],[AMOUNT2]]-Table234535910[[#This Row],[AMOUNT3]]</f>
        <v>5081</v>
      </c>
      <c r="K387" s="125"/>
    </row>
    <row r="388" spans="1:11" x14ac:dyDescent="0.35">
      <c r="A388" s="29"/>
      <c r="B388" s="8"/>
      <c r="C388" s="8"/>
      <c r="D388" s="8"/>
      <c r="E388" s="8"/>
      <c r="F388" s="9"/>
      <c r="G388" s="13"/>
      <c r="H388" s="8"/>
      <c r="I388" s="8"/>
      <c r="J388" s="8">
        <f>J387+Table234535910[[#This Row],[AMOUNT]]-Table234535910[[#This Row],[AMOUNT2]]-Table234535910[[#This Row],[AMOUNT3]]</f>
        <v>5081</v>
      </c>
      <c r="K388" s="125"/>
    </row>
    <row r="389" spans="1:11" x14ac:dyDescent="0.35">
      <c r="A389" s="29"/>
      <c r="B389" s="8"/>
      <c r="C389" s="8"/>
      <c r="D389" s="8"/>
      <c r="E389" s="8"/>
      <c r="F389" s="9"/>
      <c r="G389" s="13"/>
      <c r="H389" s="8"/>
      <c r="I389" s="8"/>
      <c r="J389" s="8">
        <f>J388+Table234535910[[#This Row],[AMOUNT]]-Table234535910[[#This Row],[AMOUNT2]]-Table234535910[[#This Row],[AMOUNT3]]</f>
        <v>5081</v>
      </c>
      <c r="K389" s="125"/>
    </row>
    <row r="390" spans="1:11" x14ac:dyDescent="0.35">
      <c r="A390" s="29"/>
      <c r="B390" s="8"/>
      <c r="C390" s="8"/>
      <c r="D390" s="8"/>
      <c r="E390" s="8"/>
      <c r="F390" s="9"/>
      <c r="G390" s="13"/>
      <c r="H390" s="8"/>
      <c r="I390" s="8"/>
      <c r="J390" s="8">
        <f>J389+Table234535910[[#This Row],[AMOUNT]]-Table234535910[[#This Row],[AMOUNT2]]-Table234535910[[#This Row],[AMOUNT3]]</f>
        <v>5081</v>
      </c>
      <c r="K390" s="125"/>
    </row>
    <row r="391" spans="1:11" x14ac:dyDescent="0.35">
      <c r="A391" s="29"/>
      <c r="B391" s="8"/>
      <c r="C391" s="8"/>
      <c r="D391" s="8"/>
      <c r="E391" s="8"/>
      <c r="F391" s="9"/>
      <c r="G391" s="13"/>
      <c r="H391" s="8"/>
      <c r="I391" s="8"/>
      <c r="J391" s="8">
        <f>J390+Table234535910[[#This Row],[AMOUNT]]-Table234535910[[#This Row],[AMOUNT2]]-Table234535910[[#This Row],[AMOUNT3]]</f>
        <v>5081</v>
      </c>
      <c r="K391" s="125"/>
    </row>
    <row r="392" spans="1:11" x14ac:dyDescent="0.35">
      <c r="A392" s="29"/>
      <c r="B392" s="8"/>
      <c r="C392" s="8"/>
      <c r="D392" s="8"/>
      <c r="E392" s="8"/>
      <c r="F392" s="9"/>
      <c r="G392" s="13"/>
      <c r="H392" s="8"/>
      <c r="I392" s="8"/>
      <c r="J392" s="8">
        <f>J391+Table234535910[[#This Row],[AMOUNT]]-Table234535910[[#This Row],[AMOUNT2]]-Table234535910[[#This Row],[AMOUNT3]]</f>
        <v>5081</v>
      </c>
      <c r="K392" s="125"/>
    </row>
    <row r="393" spans="1:11" x14ac:dyDescent="0.35">
      <c r="A393" s="29"/>
      <c r="B393" s="8"/>
      <c r="C393" s="8"/>
      <c r="D393" s="8"/>
      <c r="E393" s="8"/>
      <c r="F393" s="9"/>
      <c r="G393" s="13"/>
      <c r="H393" s="8"/>
      <c r="I393" s="8"/>
      <c r="J393" s="8">
        <f>J392+Table234535910[[#This Row],[AMOUNT]]-Table234535910[[#This Row],[AMOUNT2]]-Table234535910[[#This Row],[AMOUNT3]]</f>
        <v>5081</v>
      </c>
      <c r="K393" s="125"/>
    </row>
    <row r="394" spans="1:11" x14ac:dyDescent="0.35">
      <c r="A394" s="29"/>
      <c r="B394" s="8"/>
      <c r="C394" s="8"/>
      <c r="D394" s="8"/>
      <c r="E394" s="8"/>
      <c r="F394" s="9"/>
      <c r="G394" s="13"/>
      <c r="H394" s="8"/>
      <c r="I394" s="8"/>
      <c r="J394" s="8">
        <f>J393+Table234535910[[#This Row],[AMOUNT]]-Table234535910[[#This Row],[AMOUNT2]]-Table234535910[[#This Row],[AMOUNT3]]</f>
        <v>5081</v>
      </c>
      <c r="K394" s="125"/>
    </row>
    <row r="395" spans="1:11" x14ac:dyDescent="0.35">
      <c r="A395" s="29"/>
      <c r="B395" s="8"/>
      <c r="C395" s="8"/>
      <c r="D395" s="8"/>
      <c r="E395" s="8"/>
      <c r="F395" s="9"/>
      <c r="G395" s="13"/>
      <c r="H395" s="8"/>
      <c r="I395" s="8"/>
      <c r="J395" s="8">
        <f>J394+Table234535910[[#This Row],[AMOUNT]]-Table234535910[[#This Row],[AMOUNT2]]-Table234535910[[#This Row],[AMOUNT3]]</f>
        <v>5081</v>
      </c>
      <c r="K395" s="125"/>
    </row>
    <row r="396" spans="1:11" x14ac:dyDescent="0.35">
      <c r="A396" s="29"/>
      <c r="B396" s="8"/>
      <c r="C396" s="8"/>
      <c r="D396" s="8"/>
      <c r="E396" s="8"/>
      <c r="F396" s="9"/>
      <c r="G396" s="13"/>
      <c r="H396" s="8"/>
      <c r="I396" s="8"/>
      <c r="J396" s="8">
        <f>J395+Table234535910[[#This Row],[AMOUNT]]-Table234535910[[#This Row],[AMOUNT2]]-Table234535910[[#This Row],[AMOUNT3]]</f>
        <v>5081</v>
      </c>
      <c r="K396" s="125"/>
    </row>
    <row r="397" spans="1:11" x14ac:dyDescent="0.35">
      <c r="A397" s="29"/>
      <c r="B397" s="8"/>
      <c r="C397" s="8"/>
      <c r="D397" s="8"/>
      <c r="E397" s="8"/>
      <c r="F397" s="9"/>
      <c r="G397" s="13"/>
      <c r="H397" s="8"/>
      <c r="I397" s="8"/>
      <c r="J397" s="8">
        <f>J396+Table234535910[[#This Row],[AMOUNT]]-Table234535910[[#This Row],[AMOUNT2]]-Table234535910[[#This Row],[AMOUNT3]]</f>
        <v>5081</v>
      </c>
      <c r="K397" s="125"/>
    </row>
    <row r="398" spans="1:11" x14ac:dyDescent="0.35">
      <c r="A398" s="29"/>
      <c r="B398" s="8"/>
      <c r="C398" s="8"/>
      <c r="D398" s="8"/>
      <c r="E398" s="8"/>
      <c r="F398" s="9"/>
      <c r="G398" s="13"/>
      <c r="H398" s="8"/>
      <c r="I398" s="8"/>
      <c r="J398" s="8">
        <f>J397+Table234535910[[#This Row],[AMOUNT]]-Table234535910[[#This Row],[AMOUNT2]]-Table234535910[[#This Row],[AMOUNT3]]</f>
        <v>5081</v>
      </c>
      <c r="K398" s="125"/>
    </row>
    <row r="399" spans="1:11" x14ac:dyDescent="0.35">
      <c r="A399" s="29"/>
      <c r="B399" s="8"/>
      <c r="C399" s="8"/>
      <c r="D399" s="8"/>
      <c r="E399" s="8"/>
      <c r="F399" s="9"/>
      <c r="G399" s="13"/>
      <c r="H399" s="8"/>
      <c r="I399" s="8"/>
      <c r="J399" s="8">
        <f>J398+Table234535910[[#This Row],[AMOUNT]]-Table234535910[[#This Row],[AMOUNT2]]-Table234535910[[#This Row],[AMOUNT3]]</f>
        <v>5081</v>
      </c>
      <c r="K399" s="125"/>
    </row>
    <row r="400" spans="1:11" x14ac:dyDescent="0.35">
      <c r="A400" s="29"/>
      <c r="B400" s="8"/>
      <c r="C400" s="8"/>
      <c r="D400" s="8"/>
      <c r="E400" s="8"/>
      <c r="F400" s="9"/>
      <c r="G400" s="13"/>
      <c r="H400" s="8"/>
      <c r="I400" s="8"/>
      <c r="J400" s="8">
        <f>J399+Table234535910[[#This Row],[AMOUNT]]-Table234535910[[#This Row],[AMOUNT2]]-Table234535910[[#This Row],[AMOUNT3]]</f>
        <v>5081</v>
      </c>
      <c r="K400" s="125"/>
    </row>
    <row r="401" spans="1:11" x14ac:dyDescent="0.35">
      <c r="A401" s="29"/>
      <c r="B401" s="8"/>
      <c r="C401" s="8"/>
      <c r="D401" s="8"/>
      <c r="E401" s="8"/>
      <c r="F401" s="9"/>
      <c r="G401" s="13"/>
      <c r="H401" s="8"/>
      <c r="I401" s="8"/>
      <c r="J401" s="8">
        <f>J400+Table234535910[[#This Row],[AMOUNT]]-Table234535910[[#This Row],[AMOUNT2]]-Table234535910[[#This Row],[AMOUNT3]]</f>
        <v>5081</v>
      </c>
      <c r="K401" s="125"/>
    </row>
    <row r="402" spans="1:11" x14ac:dyDescent="0.35">
      <c r="A402" s="29"/>
      <c r="B402" s="8"/>
      <c r="C402" s="8"/>
      <c r="D402" s="8"/>
      <c r="E402" s="8"/>
      <c r="F402" s="9"/>
      <c r="G402" s="13"/>
      <c r="H402" s="8"/>
      <c r="I402" s="8"/>
      <c r="J402" s="8">
        <f>J401+Table234535910[[#This Row],[AMOUNT]]-Table234535910[[#This Row],[AMOUNT2]]-Table234535910[[#This Row],[AMOUNT3]]</f>
        <v>5081</v>
      </c>
      <c r="K402" s="125"/>
    </row>
    <row r="403" spans="1:11" x14ac:dyDescent="0.35">
      <c r="A403" s="29"/>
      <c r="B403" s="8"/>
      <c r="C403" s="8"/>
      <c r="D403" s="8"/>
      <c r="E403" s="8"/>
      <c r="F403" s="9"/>
      <c r="G403" s="13"/>
      <c r="H403" s="8"/>
      <c r="I403" s="8"/>
      <c r="J403" s="8">
        <f>J402+Table234535910[[#This Row],[AMOUNT]]-Table234535910[[#This Row],[AMOUNT2]]-Table234535910[[#This Row],[AMOUNT3]]</f>
        <v>5081</v>
      </c>
      <c r="K403" s="125"/>
    </row>
    <row r="404" spans="1:11" x14ac:dyDescent="0.35">
      <c r="A404" s="29"/>
      <c r="B404" s="8"/>
      <c r="C404" s="8"/>
      <c r="D404" s="8"/>
      <c r="E404" s="8"/>
      <c r="F404" s="9"/>
      <c r="G404" s="13"/>
      <c r="H404" s="8"/>
      <c r="I404" s="8"/>
      <c r="J404" s="8">
        <f>J403+Table234535910[[#This Row],[AMOUNT]]-Table234535910[[#This Row],[AMOUNT2]]-Table234535910[[#This Row],[AMOUNT3]]</f>
        <v>5081</v>
      </c>
      <c r="K404" s="125"/>
    </row>
    <row r="405" spans="1:11" x14ac:dyDescent="0.35">
      <c r="A405" s="29"/>
      <c r="B405" s="8"/>
      <c r="C405" s="8"/>
      <c r="D405" s="8"/>
      <c r="E405" s="8"/>
      <c r="F405" s="9"/>
      <c r="G405" s="13"/>
      <c r="H405" s="8"/>
      <c r="I405" s="8"/>
      <c r="J405" s="8">
        <f>J404+Table234535910[[#This Row],[AMOUNT]]-Table234535910[[#This Row],[AMOUNT2]]-Table234535910[[#This Row],[AMOUNT3]]</f>
        <v>5081</v>
      </c>
      <c r="K405" s="125"/>
    </row>
    <row r="406" spans="1:11" x14ac:dyDescent="0.35">
      <c r="A406" s="29"/>
      <c r="B406" s="8"/>
      <c r="C406" s="8"/>
      <c r="D406" s="8"/>
      <c r="E406" s="8"/>
      <c r="F406" s="9"/>
      <c r="G406" s="13"/>
      <c r="H406" s="8"/>
      <c r="I406" s="8"/>
      <c r="J406" s="8">
        <f>J405+Table234535910[[#This Row],[AMOUNT]]-Table234535910[[#This Row],[AMOUNT2]]-Table234535910[[#This Row],[AMOUNT3]]</f>
        <v>5081</v>
      </c>
      <c r="K406" s="125"/>
    </row>
    <row r="407" spans="1:11" x14ac:dyDescent="0.35">
      <c r="A407" s="29"/>
      <c r="B407" s="8"/>
      <c r="C407" s="8"/>
      <c r="D407" s="8"/>
      <c r="E407" s="8"/>
      <c r="F407" s="9"/>
      <c r="G407" s="13"/>
      <c r="H407" s="8"/>
      <c r="I407" s="8"/>
      <c r="J407" s="8">
        <f>J406+Table234535910[[#This Row],[AMOUNT]]-Table234535910[[#This Row],[AMOUNT2]]-Table234535910[[#This Row],[AMOUNT3]]</f>
        <v>5081</v>
      </c>
      <c r="K407" s="125"/>
    </row>
    <row r="408" spans="1:11" x14ac:dyDescent="0.35">
      <c r="A408" s="29"/>
      <c r="B408" s="8"/>
      <c r="C408" s="8"/>
      <c r="D408" s="8"/>
      <c r="E408" s="8"/>
      <c r="F408" s="9"/>
      <c r="G408" s="13"/>
      <c r="H408" s="8"/>
      <c r="I408" s="8"/>
      <c r="J408" s="8">
        <f>J407+Table234535910[[#This Row],[AMOUNT]]-Table234535910[[#This Row],[AMOUNT2]]-Table234535910[[#This Row],[AMOUNT3]]</f>
        <v>5081</v>
      </c>
      <c r="K408" s="125"/>
    </row>
    <row r="409" spans="1:11" x14ac:dyDescent="0.35">
      <c r="A409" s="29"/>
      <c r="B409" s="8"/>
      <c r="C409" s="8"/>
      <c r="D409" s="8"/>
      <c r="E409" s="8"/>
      <c r="F409" s="9"/>
      <c r="G409" s="13"/>
      <c r="H409" s="8"/>
      <c r="I409" s="8"/>
      <c r="J409" s="8">
        <f>J408+Table234535910[[#This Row],[AMOUNT]]-Table234535910[[#This Row],[AMOUNT2]]-Table234535910[[#This Row],[AMOUNT3]]</f>
        <v>5081</v>
      </c>
      <c r="K409" s="125"/>
    </row>
    <row r="410" spans="1:11" x14ac:dyDescent="0.35">
      <c r="A410" s="29"/>
      <c r="B410" s="8"/>
      <c r="C410" s="8"/>
      <c r="D410" s="8"/>
      <c r="E410" s="8"/>
      <c r="F410" s="9"/>
      <c r="G410" s="13"/>
      <c r="H410" s="8"/>
      <c r="I410" s="8"/>
      <c r="J410" s="8">
        <f>J409+Table234535910[[#This Row],[AMOUNT]]-Table234535910[[#This Row],[AMOUNT2]]-Table234535910[[#This Row],[AMOUNT3]]</f>
        <v>5081</v>
      </c>
      <c r="K410" s="125"/>
    </row>
    <row r="411" spans="1:11" x14ac:dyDescent="0.35">
      <c r="A411" s="29"/>
      <c r="B411" s="8"/>
      <c r="C411" s="8"/>
      <c r="D411" s="8"/>
      <c r="E411" s="8"/>
      <c r="F411" s="9"/>
      <c r="G411" s="13"/>
      <c r="H411" s="8"/>
      <c r="I411" s="8"/>
      <c r="J411" s="8">
        <f>J410+Table234535910[[#This Row],[AMOUNT]]-Table234535910[[#This Row],[AMOUNT2]]-Table234535910[[#This Row],[AMOUNT3]]</f>
        <v>5081</v>
      </c>
      <c r="K411" s="125"/>
    </row>
    <row r="412" spans="1:11" x14ac:dyDescent="0.35">
      <c r="A412" s="29"/>
      <c r="B412" s="8"/>
      <c r="C412" s="8"/>
      <c r="D412" s="8"/>
      <c r="E412" s="8"/>
      <c r="F412" s="9"/>
      <c r="G412" s="13"/>
      <c r="H412" s="8"/>
      <c r="I412" s="8"/>
      <c r="J412" s="8">
        <f>J411+Table234535910[[#This Row],[AMOUNT]]-Table234535910[[#This Row],[AMOUNT2]]-Table234535910[[#This Row],[AMOUNT3]]</f>
        <v>5081</v>
      </c>
      <c r="K412" s="125"/>
    </row>
    <row r="413" spans="1:11" x14ac:dyDescent="0.35">
      <c r="A413" s="29"/>
      <c r="B413" s="8"/>
      <c r="C413" s="8"/>
      <c r="D413" s="8"/>
      <c r="E413" s="8"/>
      <c r="F413" s="9"/>
      <c r="G413" s="13"/>
      <c r="H413" s="8"/>
      <c r="I413" s="8"/>
      <c r="J413" s="8">
        <f>J412+Table234535910[[#This Row],[AMOUNT]]-Table234535910[[#This Row],[AMOUNT2]]-Table234535910[[#This Row],[AMOUNT3]]</f>
        <v>5081</v>
      </c>
      <c r="K413" s="125"/>
    </row>
    <row r="414" spans="1:11" x14ac:dyDescent="0.35">
      <c r="A414" s="29"/>
      <c r="B414" s="8"/>
      <c r="C414" s="8"/>
      <c r="D414" s="8"/>
      <c r="E414" s="8"/>
      <c r="F414" s="9"/>
      <c r="G414" s="13"/>
      <c r="H414" s="8"/>
      <c r="I414" s="8"/>
      <c r="J414" s="8">
        <f>J413+Table234535910[[#This Row],[AMOUNT]]-Table234535910[[#This Row],[AMOUNT2]]-Table234535910[[#This Row],[AMOUNT3]]</f>
        <v>5081</v>
      </c>
      <c r="K414" s="125"/>
    </row>
    <row r="415" spans="1:11" x14ac:dyDescent="0.35">
      <c r="A415" s="29"/>
      <c r="B415" s="8"/>
      <c r="C415" s="8"/>
      <c r="D415" s="8"/>
      <c r="E415" s="8"/>
      <c r="F415" s="9"/>
      <c r="G415" s="13"/>
      <c r="H415" s="8"/>
      <c r="I415" s="8"/>
      <c r="J415" s="8">
        <f>J414+Table234535910[[#This Row],[AMOUNT]]-Table234535910[[#This Row],[AMOUNT2]]-Table234535910[[#This Row],[AMOUNT3]]</f>
        <v>5081</v>
      </c>
      <c r="K415" s="125"/>
    </row>
    <row r="416" spans="1:11" x14ac:dyDescent="0.35">
      <c r="A416" s="29"/>
      <c r="B416" s="8"/>
      <c r="C416" s="8"/>
      <c r="D416" s="8"/>
      <c r="E416" s="8"/>
      <c r="F416" s="9"/>
      <c r="G416" s="13"/>
      <c r="H416" s="8"/>
      <c r="I416" s="8"/>
      <c r="J416" s="8">
        <f>J415+Table234535910[[#This Row],[AMOUNT]]-Table234535910[[#This Row],[AMOUNT2]]-Table234535910[[#This Row],[AMOUNT3]]</f>
        <v>5081</v>
      </c>
      <c r="K416" s="125"/>
    </row>
    <row r="417" spans="1:11" x14ac:dyDescent="0.35">
      <c r="A417" s="29"/>
      <c r="B417" s="8"/>
      <c r="C417" s="8"/>
      <c r="D417" s="8"/>
      <c r="E417" s="8"/>
      <c r="F417" s="9"/>
      <c r="G417" s="13"/>
      <c r="H417" s="8"/>
      <c r="I417" s="8"/>
      <c r="J417" s="8">
        <f>J416+Table234535910[[#This Row],[AMOUNT]]-Table234535910[[#This Row],[AMOUNT2]]-Table234535910[[#This Row],[AMOUNT3]]</f>
        <v>5081</v>
      </c>
      <c r="K417" s="125"/>
    </row>
    <row r="418" spans="1:11" x14ac:dyDescent="0.35">
      <c r="A418" s="29"/>
      <c r="B418" s="8"/>
      <c r="C418" s="8"/>
      <c r="D418" s="8"/>
      <c r="E418" s="8"/>
      <c r="F418" s="9"/>
      <c r="G418" s="13"/>
      <c r="H418" s="8"/>
      <c r="I418" s="8"/>
      <c r="J418" s="8">
        <f>J417+Table234535910[[#This Row],[AMOUNT]]-Table234535910[[#This Row],[AMOUNT2]]-Table234535910[[#This Row],[AMOUNT3]]</f>
        <v>5081</v>
      </c>
      <c r="K418" s="125"/>
    </row>
    <row r="419" spans="1:11" x14ac:dyDescent="0.35">
      <c r="A419" s="29"/>
      <c r="B419" s="8"/>
      <c r="C419" s="8"/>
      <c r="D419" s="8"/>
      <c r="E419" s="8"/>
      <c r="F419" s="9"/>
      <c r="G419" s="13"/>
      <c r="H419" s="8"/>
      <c r="I419" s="8"/>
      <c r="J419" s="8">
        <f>J418+Table234535910[[#This Row],[AMOUNT]]-Table234535910[[#This Row],[AMOUNT2]]-Table234535910[[#This Row],[AMOUNT3]]</f>
        <v>5081</v>
      </c>
      <c r="K419" s="125"/>
    </row>
    <row r="420" spans="1:11" x14ac:dyDescent="0.35">
      <c r="A420" s="29"/>
      <c r="B420" s="8"/>
      <c r="C420" s="8"/>
      <c r="D420" s="8"/>
      <c r="E420" s="8"/>
      <c r="F420" s="9"/>
      <c r="G420" s="13"/>
      <c r="H420" s="8"/>
      <c r="I420" s="8"/>
      <c r="J420" s="8">
        <f>J419+Table234535910[[#This Row],[AMOUNT]]-Table234535910[[#This Row],[AMOUNT2]]-Table234535910[[#This Row],[AMOUNT3]]</f>
        <v>5081</v>
      </c>
      <c r="K420" s="125"/>
    </row>
    <row r="421" spans="1:11" x14ac:dyDescent="0.35">
      <c r="A421" s="29"/>
      <c r="B421" s="8"/>
      <c r="C421" s="8"/>
      <c r="D421" s="8"/>
      <c r="E421" s="8"/>
      <c r="F421" s="9"/>
      <c r="G421" s="13"/>
      <c r="H421" s="8"/>
      <c r="I421" s="8"/>
      <c r="J421" s="8">
        <f>J420+Table234535910[[#This Row],[AMOUNT]]-Table234535910[[#This Row],[AMOUNT2]]-Table234535910[[#This Row],[AMOUNT3]]</f>
        <v>5081</v>
      </c>
      <c r="K421" s="125"/>
    </row>
    <row r="422" spans="1:11" x14ac:dyDescent="0.35">
      <c r="A422" s="29"/>
      <c r="B422" s="8"/>
      <c r="C422" s="8"/>
      <c r="D422" s="8"/>
      <c r="E422" s="8"/>
      <c r="F422" s="9"/>
      <c r="G422" s="13"/>
      <c r="H422" s="8"/>
      <c r="I422" s="8"/>
      <c r="J422" s="8">
        <f>J421+Table234535910[[#This Row],[AMOUNT]]-Table234535910[[#This Row],[AMOUNT2]]-Table234535910[[#This Row],[AMOUNT3]]</f>
        <v>5081</v>
      </c>
      <c r="K422" s="125"/>
    </row>
    <row r="423" spans="1:11" x14ac:dyDescent="0.35">
      <c r="A423" s="29"/>
      <c r="B423" s="8"/>
      <c r="C423" s="8"/>
      <c r="D423" s="8"/>
      <c r="E423" s="8"/>
      <c r="F423" s="9"/>
      <c r="G423" s="13"/>
      <c r="H423" s="8"/>
      <c r="I423" s="8"/>
      <c r="J423" s="8">
        <f>J422+Table234535910[[#This Row],[AMOUNT]]-Table234535910[[#This Row],[AMOUNT2]]-Table234535910[[#This Row],[AMOUNT3]]</f>
        <v>5081</v>
      </c>
      <c r="K423" s="125"/>
    </row>
    <row r="424" spans="1:11" x14ac:dyDescent="0.35">
      <c r="A424" s="29"/>
      <c r="B424" s="8"/>
      <c r="C424" s="8"/>
      <c r="D424" s="8"/>
      <c r="E424" s="8"/>
      <c r="F424" s="9"/>
      <c r="G424" s="13"/>
      <c r="H424" s="8"/>
      <c r="I424" s="8"/>
      <c r="J424" s="8">
        <f>J423+Table234535910[[#This Row],[AMOUNT]]-Table234535910[[#This Row],[AMOUNT2]]-Table234535910[[#This Row],[AMOUNT3]]</f>
        <v>5081</v>
      </c>
      <c r="K424" s="125"/>
    </row>
    <row r="425" spans="1:11" x14ac:dyDescent="0.35">
      <c r="A425" s="29"/>
      <c r="B425" s="8"/>
      <c r="C425" s="8"/>
      <c r="D425" s="8"/>
      <c r="E425" s="8"/>
      <c r="F425" s="9"/>
      <c r="G425" s="13"/>
      <c r="H425" s="8"/>
      <c r="I425" s="8"/>
      <c r="J425" s="8">
        <f>J424+Table234535910[[#This Row],[AMOUNT]]-Table234535910[[#This Row],[AMOUNT2]]-Table234535910[[#This Row],[AMOUNT3]]</f>
        <v>5081</v>
      </c>
      <c r="K425" s="125"/>
    </row>
    <row r="426" spans="1:11" x14ac:dyDescent="0.35">
      <c r="A426" s="29"/>
      <c r="B426" s="8"/>
      <c r="C426" s="8"/>
      <c r="D426" s="8"/>
      <c r="E426" s="8"/>
      <c r="F426" s="9"/>
      <c r="G426" s="13"/>
      <c r="H426" s="8"/>
      <c r="I426" s="8"/>
      <c r="J426" s="8">
        <f>J425+Table234535910[[#This Row],[AMOUNT]]-Table234535910[[#This Row],[AMOUNT2]]-Table234535910[[#This Row],[AMOUNT3]]</f>
        <v>5081</v>
      </c>
      <c r="K426" s="125"/>
    </row>
    <row r="427" spans="1:11" x14ac:dyDescent="0.35">
      <c r="A427" s="29"/>
      <c r="B427" s="8"/>
      <c r="C427" s="8"/>
      <c r="D427" s="8"/>
      <c r="E427" s="8"/>
      <c r="F427" s="9"/>
      <c r="G427" s="13"/>
      <c r="H427" s="8"/>
      <c r="I427" s="8"/>
      <c r="J427" s="8">
        <f>J426+Table234535910[[#This Row],[AMOUNT]]-Table234535910[[#This Row],[AMOUNT2]]-Table234535910[[#This Row],[AMOUNT3]]</f>
        <v>5081</v>
      </c>
      <c r="K427" s="125"/>
    </row>
    <row r="428" spans="1:11" x14ac:dyDescent="0.35">
      <c r="A428" s="29"/>
      <c r="B428" s="8"/>
      <c r="C428" s="8"/>
      <c r="D428" s="8"/>
      <c r="E428" s="8"/>
      <c r="F428" s="9"/>
      <c r="G428" s="13"/>
      <c r="H428" s="8"/>
      <c r="I428" s="8"/>
      <c r="J428" s="8">
        <f>J427+Table234535910[[#This Row],[AMOUNT]]-Table234535910[[#This Row],[AMOUNT2]]-Table234535910[[#This Row],[AMOUNT3]]</f>
        <v>5081</v>
      </c>
      <c r="K428" s="125"/>
    </row>
    <row r="429" spans="1:11" x14ac:dyDescent="0.35">
      <c r="A429" s="29"/>
      <c r="B429" s="8"/>
      <c r="C429" s="8"/>
      <c r="D429" s="8"/>
      <c r="E429" s="8"/>
      <c r="F429" s="9"/>
      <c r="G429" s="13"/>
      <c r="H429" s="8"/>
      <c r="I429" s="8"/>
      <c r="J429" s="8">
        <f>J428+Table234535910[[#This Row],[AMOUNT]]-Table234535910[[#This Row],[AMOUNT2]]-Table234535910[[#This Row],[AMOUNT3]]</f>
        <v>5081</v>
      </c>
      <c r="K429" s="125"/>
    </row>
    <row r="430" spans="1:11" x14ac:dyDescent="0.35">
      <c r="A430" s="29"/>
      <c r="B430" s="8"/>
      <c r="C430" s="8"/>
      <c r="D430" s="8"/>
      <c r="E430" s="8"/>
      <c r="F430" s="9"/>
      <c r="G430" s="13"/>
      <c r="H430" s="8"/>
      <c r="I430" s="8"/>
      <c r="J430" s="8">
        <f>J429+Table234535910[[#This Row],[AMOUNT]]-Table234535910[[#This Row],[AMOUNT2]]-Table234535910[[#This Row],[AMOUNT3]]</f>
        <v>5081</v>
      </c>
      <c r="K430" s="125"/>
    </row>
    <row r="431" spans="1:11" x14ac:dyDescent="0.35">
      <c r="A431" s="29"/>
      <c r="B431" s="8"/>
      <c r="C431" s="8"/>
      <c r="D431" s="8"/>
      <c r="E431" s="8"/>
      <c r="F431" s="9"/>
      <c r="G431" s="13"/>
      <c r="H431" s="8"/>
      <c r="I431" s="8"/>
      <c r="J431" s="8">
        <f>J430+Table234535910[[#This Row],[AMOUNT]]-Table234535910[[#This Row],[AMOUNT2]]-Table234535910[[#This Row],[AMOUNT3]]</f>
        <v>5081</v>
      </c>
      <c r="K431" s="125"/>
    </row>
    <row r="432" spans="1:11" x14ac:dyDescent="0.35">
      <c r="A432" s="29"/>
      <c r="B432" s="8"/>
      <c r="C432" s="8"/>
      <c r="D432" s="8"/>
      <c r="E432" s="8"/>
      <c r="F432" s="9"/>
      <c r="G432" s="13"/>
      <c r="H432" s="8"/>
      <c r="I432" s="8"/>
      <c r="J432" s="8">
        <f>J431+Table234535910[[#This Row],[AMOUNT]]-Table234535910[[#This Row],[AMOUNT2]]-Table234535910[[#This Row],[AMOUNT3]]</f>
        <v>5081</v>
      </c>
      <c r="K432" s="125"/>
    </row>
    <row r="433" spans="1:11" x14ac:dyDescent="0.35">
      <c r="A433" s="29"/>
      <c r="B433" s="8"/>
      <c r="C433" s="8"/>
      <c r="D433" s="8"/>
      <c r="E433" s="8"/>
      <c r="F433" s="9"/>
      <c r="G433" s="13"/>
      <c r="H433" s="8"/>
      <c r="I433" s="8"/>
      <c r="J433" s="8">
        <f>J432+Table234535910[[#This Row],[AMOUNT]]-Table234535910[[#This Row],[AMOUNT2]]-Table234535910[[#This Row],[AMOUNT3]]</f>
        <v>5081</v>
      </c>
      <c r="K433" s="125"/>
    </row>
    <row r="434" spans="1:11" x14ac:dyDescent="0.35">
      <c r="A434" s="29"/>
      <c r="B434" s="8"/>
      <c r="C434" s="8"/>
      <c r="D434" s="8"/>
      <c r="E434" s="8"/>
      <c r="F434" s="9"/>
      <c r="G434" s="13"/>
      <c r="H434" s="8"/>
      <c r="I434" s="8"/>
      <c r="J434" s="8">
        <f>J433+Table234535910[[#This Row],[AMOUNT]]-Table234535910[[#This Row],[AMOUNT2]]-Table234535910[[#This Row],[AMOUNT3]]</f>
        <v>5081</v>
      </c>
      <c r="K434" s="125"/>
    </row>
    <row r="435" spans="1:11" x14ac:dyDescent="0.35">
      <c r="A435" s="29"/>
      <c r="B435" s="8"/>
      <c r="C435" s="8"/>
      <c r="D435" s="8"/>
      <c r="E435" s="8"/>
      <c r="F435" s="9"/>
      <c r="G435" s="13"/>
      <c r="H435" s="8"/>
      <c r="I435" s="8"/>
      <c r="J435" s="8">
        <f>J434+Table234535910[[#This Row],[AMOUNT]]-Table234535910[[#This Row],[AMOUNT2]]-Table234535910[[#This Row],[AMOUNT3]]</f>
        <v>5081</v>
      </c>
      <c r="K435" s="125"/>
    </row>
    <row r="436" spans="1:11" x14ac:dyDescent="0.35">
      <c r="A436" s="29"/>
      <c r="B436" s="8"/>
      <c r="C436" s="8"/>
      <c r="D436" s="8"/>
      <c r="E436" s="8"/>
      <c r="F436" s="9"/>
      <c r="G436" s="13"/>
      <c r="H436" s="8"/>
      <c r="I436" s="8"/>
      <c r="J436" s="8">
        <f>J435+Table234535910[[#This Row],[AMOUNT]]-Table234535910[[#This Row],[AMOUNT2]]-Table234535910[[#This Row],[AMOUNT3]]</f>
        <v>5081</v>
      </c>
      <c r="K436" s="125"/>
    </row>
    <row r="437" spans="1:11" x14ac:dyDescent="0.35">
      <c r="A437" s="29"/>
      <c r="B437" s="8"/>
      <c r="C437" s="8"/>
      <c r="D437" s="8"/>
      <c r="E437" s="8"/>
      <c r="F437" s="9"/>
      <c r="G437" s="13"/>
      <c r="H437" s="8"/>
      <c r="I437" s="8"/>
      <c r="J437" s="8">
        <f>J436+Table234535910[[#This Row],[AMOUNT]]-Table234535910[[#This Row],[AMOUNT2]]-Table234535910[[#This Row],[AMOUNT3]]</f>
        <v>5081</v>
      </c>
      <c r="K437" s="125"/>
    </row>
    <row r="438" spans="1:11" x14ac:dyDescent="0.35">
      <c r="A438" s="29"/>
      <c r="B438" s="8"/>
      <c r="C438" s="8"/>
      <c r="D438" s="8"/>
      <c r="E438" s="8"/>
      <c r="F438" s="9"/>
      <c r="G438" s="13"/>
      <c r="H438" s="8"/>
      <c r="I438" s="8"/>
      <c r="J438" s="8">
        <f>J437+Table234535910[[#This Row],[AMOUNT]]-Table234535910[[#This Row],[AMOUNT2]]-Table234535910[[#This Row],[AMOUNT3]]</f>
        <v>5081</v>
      </c>
      <c r="K438" s="125"/>
    </row>
    <row r="439" spans="1:11" x14ac:dyDescent="0.35">
      <c r="A439" s="29"/>
      <c r="B439" s="8"/>
      <c r="C439" s="8"/>
      <c r="D439" s="8"/>
      <c r="E439" s="8"/>
      <c r="F439" s="9"/>
      <c r="G439" s="13"/>
      <c r="H439" s="8"/>
      <c r="I439" s="8"/>
      <c r="J439" s="8">
        <f>J438+Table234535910[[#This Row],[AMOUNT]]-Table234535910[[#This Row],[AMOUNT2]]-Table234535910[[#This Row],[AMOUNT3]]</f>
        <v>5081</v>
      </c>
      <c r="K439" s="125"/>
    </row>
    <row r="440" spans="1:11" x14ac:dyDescent="0.35">
      <c r="A440" s="29"/>
      <c r="B440" s="8"/>
      <c r="C440" s="8"/>
      <c r="D440" s="8"/>
      <c r="E440" s="8"/>
      <c r="F440" s="9"/>
      <c r="G440" s="13"/>
      <c r="H440" s="8"/>
      <c r="I440" s="8"/>
      <c r="J440" s="8">
        <f>J439+Table234535910[[#This Row],[AMOUNT]]-Table234535910[[#This Row],[AMOUNT2]]-Table234535910[[#This Row],[AMOUNT3]]</f>
        <v>5081</v>
      </c>
      <c r="K440" s="125"/>
    </row>
    <row r="441" spans="1:11" x14ac:dyDescent="0.35">
      <c r="A441" s="29"/>
      <c r="B441" s="8"/>
      <c r="C441" s="8"/>
      <c r="D441" s="8"/>
      <c r="E441" s="8"/>
      <c r="F441" s="9"/>
      <c r="G441" s="13"/>
      <c r="H441" s="8"/>
      <c r="I441" s="8"/>
      <c r="J441" s="8">
        <f>J440+Table234535910[[#This Row],[AMOUNT]]-Table234535910[[#This Row],[AMOUNT2]]-Table234535910[[#This Row],[AMOUNT3]]</f>
        <v>5081</v>
      </c>
      <c r="K441" s="125"/>
    </row>
    <row r="442" spans="1:11" x14ac:dyDescent="0.35">
      <c r="A442" s="29"/>
      <c r="B442" s="8"/>
      <c r="C442" s="8"/>
      <c r="D442" s="8"/>
      <c r="E442" s="8"/>
      <c r="F442" s="9"/>
      <c r="G442" s="13"/>
      <c r="H442" s="8"/>
      <c r="I442" s="8"/>
      <c r="J442" s="8">
        <f>J441+Table234535910[[#This Row],[AMOUNT]]-Table234535910[[#This Row],[AMOUNT2]]-Table234535910[[#This Row],[AMOUNT3]]</f>
        <v>5081</v>
      </c>
      <c r="K442" s="125"/>
    </row>
    <row r="443" spans="1:11" x14ac:dyDescent="0.35">
      <c r="A443" s="29"/>
      <c r="B443" s="8"/>
      <c r="C443" s="8"/>
      <c r="D443" s="8"/>
      <c r="E443" s="8"/>
      <c r="F443" s="9"/>
      <c r="G443" s="13"/>
      <c r="H443" s="8"/>
      <c r="I443" s="8"/>
      <c r="J443" s="8">
        <f>J442+Table234535910[[#This Row],[AMOUNT]]-Table234535910[[#This Row],[AMOUNT2]]-Table234535910[[#This Row],[AMOUNT3]]</f>
        <v>5081</v>
      </c>
      <c r="K443" s="125"/>
    </row>
    <row r="444" spans="1:11" x14ac:dyDescent="0.35">
      <c r="A444" s="29"/>
      <c r="B444" s="8"/>
      <c r="C444" s="8"/>
      <c r="D444" s="8"/>
      <c r="E444" s="8"/>
      <c r="F444" s="9"/>
      <c r="G444" s="13"/>
      <c r="H444" s="8"/>
      <c r="I444" s="8"/>
      <c r="J444" s="8">
        <f>J443+Table234535910[[#This Row],[AMOUNT]]-Table234535910[[#This Row],[AMOUNT2]]-Table234535910[[#This Row],[AMOUNT3]]</f>
        <v>5081</v>
      </c>
      <c r="K444" s="125"/>
    </row>
    <row r="445" spans="1:11" x14ac:dyDescent="0.35">
      <c r="A445" s="29"/>
      <c r="B445" s="8"/>
      <c r="C445" s="8"/>
      <c r="D445" s="8"/>
      <c r="E445" s="8"/>
      <c r="F445" s="9"/>
      <c r="G445" s="13"/>
      <c r="H445" s="8"/>
      <c r="I445" s="8"/>
      <c r="J445" s="8">
        <f>J444+Table234535910[[#This Row],[AMOUNT]]-Table234535910[[#This Row],[AMOUNT2]]-Table234535910[[#This Row],[AMOUNT3]]</f>
        <v>5081</v>
      </c>
      <c r="K445" s="125"/>
    </row>
    <row r="446" spans="1:11" x14ac:dyDescent="0.35">
      <c r="A446" s="29"/>
      <c r="B446" s="8"/>
      <c r="C446" s="8"/>
      <c r="D446" s="8"/>
      <c r="E446" s="8"/>
      <c r="F446" s="9"/>
      <c r="G446" s="13"/>
      <c r="H446" s="8"/>
      <c r="I446" s="8"/>
      <c r="J446" s="8">
        <f>J445+Table234535910[[#This Row],[AMOUNT]]-Table234535910[[#This Row],[AMOUNT2]]-Table234535910[[#This Row],[AMOUNT3]]</f>
        <v>5081</v>
      </c>
      <c r="K446" s="125"/>
    </row>
    <row r="447" spans="1:11" x14ac:dyDescent="0.35">
      <c r="A447" s="29"/>
      <c r="B447" s="8"/>
      <c r="C447" s="8"/>
      <c r="D447" s="8"/>
      <c r="E447" s="8"/>
      <c r="F447" s="9"/>
      <c r="G447" s="13"/>
      <c r="H447" s="8"/>
      <c r="I447" s="8"/>
      <c r="J447" s="8">
        <f>J446+Table234535910[[#This Row],[AMOUNT]]-Table234535910[[#This Row],[AMOUNT2]]-Table234535910[[#This Row],[AMOUNT3]]</f>
        <v>5081</v>
      </c>
      <c r="K447" s="125"/>
    </row>
    <row r="448" spans="1:11" x14ac:dyDescent="0.35">
      <c r="A448" s="29"/>
      <c r="B448" s="8"/>
      <c r="C448" s="8"/>
      <c r="D448" s="8"/>
      <c r="E448" s="8"/>
      <c r="F448" s="9"/>
      <c r="G448" s="13"/>
      <c r="H448" s="8"/>
      <c r="I448" s="8"/>
      <c r="J448" s="8">
        <f>J447+Table234535910[[#This Row],[AMOUNT]]-Table234535910[[#This Row],[AMOUNT2]]-Table234535910[[#This Row],[AMOUNT3]]</f>
        <v>5081</v>
      </c>
      <c r="K448" s="125"/>
    </row>
    <row r="449" spans="1:11" x14ac:dyDescent="0.35">
      <c r="A449" s="29"/>
      <c r="B449" s="8"/>
      <c r="C449" s="8"/>
      <c r="D449" s="8"/>
      <c r="E449" s="8"/>
      <c r="F449" s="9"/>
      <c r="G449" s="13"/>
      <c r="H449" s="8"/>
      <c r="I449" s="8"/>
      <c r="J449" s="8">
        <f>J448+Table234535910[[#This Row],[AMOUNT]]-Table234535910[[#This Row],[AMOUNT2]]-Table234535910[[#This Row],[AMOUNT3]]</f>
        <v>5081</v>
      </c>
      <c r="K449" s="125"/>
    </row>
    <row r="450" spans="1:11" x14ac:dyDescent="0.35">
      <c r="A450" s="29"/>
      <c r="B450" s="8"/>
      <c r="C450" s="8"/>
      <c r="D450" s="8"/>
      <c r="E450" s="8"/>
      <c r="F450" s="9"/>
      <c r="G450" s="13"/>
      <c r="H450" s="8"/>
      <c r="I450" s="8"/>
      <c r="J450" s="8">
        <f>J449+Table234535910[[#This Row],[AMOUNT]]-Table234535910[[#This Row],[AMOUNT2]]-Table234535910[[#This Row],[AMOUNT3]]</f>
        <v>5081</v>
      </c>
      <c r="K450" s="125"/>
    </row>
    <row r="451" spans="1:11" x14ac:dyDescent="0.35">
      <c r="A451" s="29"/>
      <c r="B451" s="8"/>
      <c r="C451" s="8"/>
      <c r="D451" s="8"/>
      <c r="E451" s="8"/>
      <c r="F451" s="9"/>
      <c r="G451" s="13"/>
      <c r="H451" s="8"/>
      <c r="I451" s="8"/>
      <c r="J451" s="8">
        <f>J450+Table234535910[[#This Row],[AMOUNT]]-Table234535910[[#This Row],[AMOUNT2]]-Table234535910[[#This Row],[AMOUNT3]]</f>
        <v>5081</v>
      </c>
      <c r="K451" s="125"/>
    </row>
    <row r="452" spans="1:11" x14ac:dyDescent="0.35">
      <c r="A452" s="29"/>
      <c r="B452" s="8"/>
      <c r="C452" s="8"/>
      <c r="D452" s="8"/>
      <c r="E452" s="8"/>
      <c r="F452" s="9"/>
      <c r="G452" s="13"/>
      <c r="H452" s="8"/>
      <c r="I452" s="8"/>
      <c r="J452" s="8">
        <f>J451+Table234535910[[#This Row],[AMOUNT]]-Table234535910[[#This Row],[AMOUNT2]]-Table234535910[[#This Row],[AMOUNT3]]</f>
        <v>5081</v>
      </c>
      <c r="K452" s="125"/>
    </row>
    <row r="453" spans="1:11" x14ac:dyDescent="0.35">
      <c r="A453" s="29"/>
      <c r="B453" s="8"/>
      <c r="C453" s="8"/>
      <c r="D453" s="8"/>
      <c r="E453" s="8"/>
      <c r="F453" s="9"/>
      <c r="G453" s="13"/>
      <c r="H453" s="8"/>
      <c r="I453" s="8"/>
      <c r="J453" s="8">
        <f>J452+Table234535910[[#This Row],[AMOUNT]]-Table234535910[[#This Row],[AMOUNT2]]-Table234535910[[#This Row],[AMOUNT3]]</f>
        <v>5081</v>
      </c>
      <c r="K453" s="125"/>
    </row>
    <row r="454" spans="1:11" x14ac:dyDescent="0.35">
      <c r="A454" s="29"/>
      <c r="B454" s="8"/>
      <c r="C454" s="8"/>
      <c r="D454" s="8"/>
      <c r="E454" s="8"/>
      <c r="F454" s="9"/>
      <c r="G454" s="13"/>
      <c r="H454" s="8"/>
      <c r="I454" s="8"/>
      <c r="J454" s="8">
        <f>J453+Table234535910[[#This Row],[AMOUNT]]-Table234535910[[#This Row],[AMOUNT2]]-Table234535910[[#This Row],[AMOUNT3]]</f>
        <v>5081</v>
      </c>
      <c r="K454" s="125"/>
    </row>
    <row r="455" spans="1:11" x14ac:dyDescent="0.35">
      <c r="A455" s="29"/>
      <c r="B455" s="8"/>
      <c r="C455" s="8"/>
      <c r="D455" s="8"/>
      <c r="E455" s="8"/>
      <c r="F455" s="9"/>
      <c r="G455" s="13"/>
      <c r="H455" s="8"/>
      <c r="I455" s="8"/>
      <c r="J455" s="8">
        <f>J454+Table234535910[[#This Row],[AMOUNT]]-Table234535910[[#This Row],[AMOUNT2]]-Table234535910[[#This Row],[AMOUNT3]]</f>
        <v>5081</v>
      </c>
      <c r="K455" s="125"/>
    </row>
    <row r="456" spans="1:11" x14ac:dyDescent="0.35">
      <c r="A456" s="29"/>
      <c r="B456" s="8"/>
      <c r="C456" s="8"/>
      <c r="D456" s="8"/>
      <c r="E456" s="8"/>
      <c r="F456" s="9"/>
      <c r="G456" s="13"/>
      <c r="H456" s="8"/>
      <c r="I456" s="8"/>
      <c r="J456" s="8">
        <f>J455+Table234535910[[#This Row],[AMOUNT]]-Table234535910[[#This Row],[AMOUNT2]]-Table234535910[[#This Row],[AMOUNT3]]</f>
        <v>5081</v>
      </c>
      <c r="K456" s="125"/>
    </row>
    <row r="457" spans="1:11" x14ac:dyDescent="0.35">
      <c r="A457" s="29"/>
      <c r="B457" s="8"/>
      <c r="C457" s="8"/>
      <c r="D457" s="8"/>
      <c r="E457" s="8"/>
      <c r="F457" s="9"/>
      <c r="G457" s="13"/>
      <c r="H457" s="8"/>
      <c r="I457" s="8"/>
      <c r="J457" s="8">
        <f>J456+Table234535910[[#This Row],[AMOUNT]]-Table234535910[[#This Row],[AMOUNT2]]-Table234535910[[#This Row],[AMOUNT3]]</f>
        <v>5081</v>
      </c>
      <c r="K457" s="125"/>
    </row>
    <row r="458" spans="1:11" x14ac:dyDescent="0.35">
      <c r="A458" s="29"/>
      <c r="B458" s="8"/>
      <c r="C458" s="8"/>
      <c r="D458" s="8"/>
      <c r="E458" s="8"/>
      <c r="F458" s="9"/>
      <c r="G458" s="13"/>
      <c r="H458" s="8"/>
      <c r="I458" s="8"/>
      <c r="J458" s="8">
        <f>J457+Table234535910[[#This Row],[AMOUNT]]-Table234535910[[#This Row],[AMOUNT2]]-Table234535910[[#This Row],[AMOUNT3]]</f>
        <v>5081</v>
      </c>
      <c r="K458" s="125"/>
    </row>
    <row r="459" spans="1:11" x14ac:dyDescent="0.35">
      <c r="A459" s="29"/>
      <c r="B459" s="8"/>
      <c r="C459" s="8"/>
      <c r="D459" s="8"/>
      <c r="E459" s="8"/>
      <c r="F459" s="9"/>
      <c r="G459" s="13"/>
      <c r="H459" s="8"/>
      <c r="I459" s="8"/>
      <c r="J459" s="8">
        <f>J458+Table234535910[[#This Row],[AMOUNT]]-Table234535910[[#This Row],[AMOUNT2]]-Table234535910[[#This Row],[AMOUNT3]]</f>
        <v>5081</v>
      </c>
      <c r="K459" s="125"/>
    </row>
    <row r="460" spans="1:11" x14ac:dyDescent="0.35">
      <c r="A460" s="29"/>
      <c r="B460" s="8"/>
      <c r="C460" s="8"/>
      <c r="D460" s="8"/>
      <c r="E460" s="8"/>
      <c r="F460" s="9"/>
      <c r="G460" s="13"/>
      <c r="H460" s="8"/>
      <c r="I460" s="8"/>
      <c r="J460" s="8">
        <f>J459+Table234535910[[#This Row],[AMOUNT]]-Table234535910[[#This Row],[AMOUNT2]]-Table234535910[[#This Row],[AMOUNT3]]</f>
        <v>5081</v>
      </c>
      <c r="K460" s="125"/>
    </row>
    <row r="461" spans="1:11" x14ac:dyDescent="0.35">
      <c r="A461" s="29"/>
      <c r="B461" s="8"/>
      <c r="C461" s="8"/>
      <c r="D461" s="8"/>
      <c r="E461" s="8"/>
      <c r="F461" s="9"/>
      <c r="G461" s="13"/>
      <c r="H461" s="8"/>
      <c r="I461" s="8"/>
      <c r="J461" s="8">
        <f>J460+Table234535910[[#This Row],[AMOUNT]]-Table234535910[[#This Row],[AMOUNT2]]-Table234535910[[#This Row],[AMOUNT3]]</f>
        <v>5081</v>
      </c>
      <c r="K461" s="125"/>
    </row>
    <row r="462" spans="1:11" x14ac:dyDescent="0.35">
      <c r="A462" s="29"/>
      <c r="B462" s="8"/>
      <c r="C462" s="8"/>
      <c r="D462" s="8"/>
      <c r="E462" s="8"/>
      <c r="F462" s="9"/>
      <c r="G462" s="13"/>
      <c r="H462" s="8"/>
      <c r="I462" s="8"/>
      <c r="J462" s="8">
        <f>J461+Table234535910[[#This Row],[AMOUNT]]-Table234535910[[#This Row],[AMOUNT2]]-Table234535910[[#This Row],[AMOUNT3]]</f>
        <v>5081</v>
      </c>
      <c r="K462" s="125"/>
    </row>
    <row r="463" spans="1:11" x14ac:dyDescent="0.35">
      <c r="A463" s="29"/>
      <c r="B463" s="8"/>
      <c r="C463" s="8"/>
      <c r="D463" s="8"/>
      <c r="E463" s="8"/>
      <c r="F463" s="9"/>
      <c r="G463" s="13"/>
      <c r="H463" s="8"/>
      <c r="I463" s="8"/>
      <c r="J463" s="8">
        <f>J462+Table234535910[[#This Row],[AMOUNT]]-Table234535910[[#This Row],[AMOUNT2]]-Table234535910[[#This Row],[AMOUNT3]]</f>
        <v>5081</v>
      </c>
      <c r="K463" s="125"/>
    </row>
    <row r="464" spans="1:11" x14ac:dyDescent="0.35">
      <c r="A464" s="29"/>
      <c r="B464" s="8"/>
      <c r="C464" s="8"/>
      <c r="D464" s="8"/>
      <c r="E464" s="8"/>
      <c r="F464" s="9"/>
      <c r="G464" s="13"/>
      <c r="H464" s="8"/>
      <c r="I464" s="8"/>
      <c r="J464" s="8">
        <f>J463+Table234535910[[#This Row],[AMOUNT]]-Table234535910[[#This Row],[AMOUNT2]]-Table234535910[[#This Row],[AMOUNT3]]</f>
        <v>5081</v>
      </c>
      <c r="K464" s="125"/>
    </row>
    <row r="465" spans="1:11" x14ac:dyDescent="0.35">
      <c r="A465" s="29"/>
      <c r="B465" s="8"/>
      <c r="C465" s="8"/>
      <c r="D465" s="8"/>
      <c r="E465" s="8"/>
      <c r="F465" s="9"/>
      <c r="G465" s="13"/>
      <c r="H465" s="8"/>
      <c r="I465" s="8"/>
      <c r="J465" s="8">
        <f>J464+Table234535910[[#This Row],[AMOUNT]]-Table234535910[[#This Row],[AMOUNT2]]-Table234535910[[#This Row],[AMOUNT3]]</f>
        <v>5081</v>
      </c>
      <c r="K465" s="125"/>
    </row>
    <row r="466" spans="1:11" x14ac:dyDescent="0.35">
      <c r="A466" s="29"/>
      <c r="B466" s="8"/>
      <c r="C466" s="8"/>
      <c r="D466" s="8"/>
      <c r="E466" s="8"/>
      <c r="F466" s="9"/>
      <c r="G466" s="13"/>
      <c r="H466" s="8"/>
      <c r="I466" s="8"/>
      <c r="J466" s="8">
        <f>J465+Table234535910[[#This Row],[AMOUNT]]-Table234535910[[#This Row],[AMOUNT2]]-Table234535910[[#This Row],[AMOUNT3]]</f>
        <v>5081</v>
      </c>
      <c r="K466" s="125"/>
    </row>
    <row r="467" spans="1:11" x14ac:dyDescent="0.35">
      <c r="A467" s="29"/>
      <c r="B467" s="8"/>
      <c r="C467" s="8"/>
      <c r="D467" s="8"/>
      <c r="E467" s="8"/>
      <c r="F467" s="9"/>
      <c r="G467" s="13"/>
      <c r="H467" s="8"/>
      <c r="I467" s="8"/>
      <c r="J467" s="8">
        <f>J466+Table234535910[[#This Row],[AMOUNT]]-Table234535910[[#This Row],[AMOUNT2]]-Table234535910[[#This Row],[AMOUNT3]]</f>
        <v>5081</v>
      </c>
      <c r="K467" s="125"/>
    </row>
    <row r="468" spans="1:11" x14ac:dyDescent="0.35">
      <c r="A468" s="29"/>
      <c r="B468" s="8"/>
      <c r="C468" s="8"/>
      <c r="D468" s="8"/>
      <c r="E468" s="8"/>
      <c r="F468" s="9"/>
      <c r="G468" s="13"/>
      <c r="H468" s="8"/>
      <c r="I468" s="8"/>
      <c r="J468" s="8">
        <f>J467+Table234535910[[#This Row],[AMOUNT]]-Table234535910[[#This Row],[AMOUNT2]]-Table234535910[[#This Row],[AMOUNT3]]</f>
        <v>5081</v>
      </c>
      <c r="K468" s="125"/>
    </row>
    <row r="469" spans="1:11" x14ac:dyDescent="0.35">
      <c r="A469" s="29"/>
      <c r="B469" s="8"/>
      <c r="C469" s="8"/>
      <c r="D469" s="8"/>
      <c r="E469" s="8"/>
      <c r="F469" s="9"/>
      <c r="G469" s="13"/>
      <c r="H469" s="8"/>
      <c r="I469" s="8"/>
      <c r="J469" s="8">
        <f>J468+Table234535910[[#This Row],[AMOUNT]]-Table234535910[[#This Row],[AMOUNT2]]-Table234535910[[#This Row],[AMOUNT3]]</f>
        <v>5081</v>
      </c>
      <c r="K469" s="125"/>
    </row>
    <row r="470" spans="1:11" x14ac:dyDescent="0.35">
      <c r="A470" s="29"/>
      <c r="B470" s="8"/>
      <c r="C470" s="8"/>
      <c r="D470" s="8"/>
      <c r="E470" s="8"/>
      <c r="F470" s="9"/>
      <c r="G470" s="13"/>
      <c r="H470" s="8"/>
      <c r="I470" s="8"/>
      <c r="J470" s="8">
        <f>J469+Table234535910[[#This Row],[AMOUNT]]-Table234535910[[#This Row],[AMOUNT2]]-Table234535910[[#This Row],[AMOUNT3]]</f>
        <v>5081</v>
      </c>
      <c r="K470" s="125"/>
    </row>
    <row r="471" spans="1:11" x14ac:dyDescent="0.35">
      <c r="A471" s="29"/>
      <c r="B471" s="8"/>
      <c r="C471" s="8"/>
      <c r="D471" s="8"/>
      <c r="E471" s="8"/>
      <c r="F471" s="9"/>
      <c r="G471" s="13"/>
      <c r="H471" s="8"/>
      <c r="I471" s="8"/>
      <c r="J471" s="8">
        <f>J470+Table234535910[[#This Row],[AMOUNT]]-Table234535910[[#This Row],[AMOUNT2]]-Table234535910[[#This Row],[AMOUNT3]]</f>
        <v>5081</v>
      </c>
      <c r="K471" s="125"/>
    </row>
    <row r="472" spans="1:11" x14ac:dyDescent="0.35">
      <c r="A472" s="29"/>
      <c r="B472" s="8"/>
      <c r="C472" s="8"/>
      <c r="D472" s="8"/>
      <c r="E472" s="8"/>
      <c r="F472" s="9"/>
      <c r="G472" s="13"/>
      <c r="H472" s="8"/>
      <c r="I472" s="8"/>
      <c r="J472" s="8">
        <f>J471+Table234535910[[#This Row],[AMOUNT]]-Table234535910[[#This Row],[AMOUNT2]]-Table234535910[[#This Row],[AMOUNT3]]</f>
        <v>5081</v>
      </c>
      <c r="K472" s="125"/>
    </row>
    <row r="473" spans="1:11" x14ac:dyDescent="0.35">
      <c r="A473" s="29"/>
      <c r="B473" s="8"/>
      <c r="C473" s="8"/>
      <c r="D473" s="8"/>
      <c r="E473" s="8"/>
      <c r="F473" s="9"/>
      <c r="G473" s="13"/>
      <c r="H473" s="8"/>
      <c r="I473" s="8"/>
      <c r="J473" s="8">
        <f>J472+Table234535910[[#This Row],[AMOUNT]]-Table234535910[[#This Row],[AMOUNT2]]-Table234535910[[#This Row],[AMOUNT3]]</f>
        <v>5081</v>
      </c>
      <c r="K473" s="125"/>
    </row>
    <row r="474" spans="1:11" x14ac:dyDescent="0.35">
      <c r="A474" s="29"/>
      <c r="B474" s="8"/>
      <c r="C474" s="8"/>
      <c r="D474" s="8"/>
      <c r="E474" s="8"/>
      <c r="F474" s="9"/>
      <c r="G474" s="13"/>
      <c r="H474" s="8"/>
      <c r="I474" s="8"/>
      <c r="J474" s="8">
        <f>J473+Table234535910[[#This Row],[AMOUNT]]-Table234535910[[#This Row],[AMOUNT2]]-Table234535910[[#This Row],[AMOUNT3]]</f>
        <v>5081</v>
      </c>
      <c r="K474" s="125"/>
    </row>
    <row r="475" spans="1:11" x14ac:dyDescent="0.35">
      <c r="A475" s="29"/>
      <c r="B475" s="8"/>
      <c r="C475" s="8"/>
      <c r="D475" s="8"/>
      <c r="E475" s="8"/>
      <c r="F475" s="9"/>
      <c r="G475" s="13"/>
      <c r="H475" s="8"/>
      <c r="I475" s="8"/>
      <c r="J475" s="8">
        <f>J474+Table234535910[[#This Row],[AMOUNT]]-Table234535910[[#This Row],[AMOUNT2]]-Table234535910[[#This Row],[AMOUNT3]]</f>
        <v>5081</v>
      </c>
      <c r="K475" s="125"/>
    </row>
    <row r="476" spans="1:11" x14ac:dyDescent="0.35">
      <c r="A476" s="29"/>
      <c r="B476" s="8"/>
      <c r="C476" s="8"/>
      <c r="D476" s="8"/>
      <c r="E476" s="8"/>
      <c r="F476" s="9"/>
      <c r="G476" s="13"/>
      <c r="H476" s="8"/>
      <c r="I476" s="8"/>
      <c r="J476" s="8">
        <f>J475+Table234535910[[#This Row],[AMOUNT]]-Table234535910[[#This Row],[AMOUNT2]]-Table234535910[[#This Row],[AMOUNT3]]</f>
        <v>5081</v>
      </c>
      <c r="K476" s="125"/>
    </row>
    <row r="477" spans="1:11" x14ac:dyDescent="0.35">
      <c r="A477" s="29"/>
      <c r="B477" s="8"/>
      <c r="C477" s="8"/>
      <c r="D477" s="8"/>
      <c r="E477" s="8"/>
      <c r="F477" s="9"/>
      <c r="G477" s="13"/>
      <c r="H477" s="8"/>
      <c r="I477" s="8"/>
      <c r="J477" s="8">
        <f>J476+Table234535910[[#This Row],[AMOUNT]]-Table234535910[[#This Row],[AMOUNT2]]-Table234535910[[#This Row],[AMOUNT3]]</f>
        <v>5081</v>
      </c>
      <c r="K477" s="125"/>
    </row>
    <row r="478" spans="1:11" x14ac:dyDescent="0.35">
      <c r="A478" s="29"/>
      <c r="B478" s="8"/>
      <c r="C478" s="8"/>
      <c r="D478" s="8"/>
      <c r="E478" s="8"/>
      <c r="F478" s="9"/>
      <c r="G478" s="13"/>
      <c r="H478" s="8"/>
      <c r="I478" s="8"/>
      <c r="J478" s="8">
        <f>J477+Table234535910[[#This Row],[AMOUNT]]-Table234535910[[#This Row],[AMOUNT2]]-Table234535910[[#This Row],[AMOUNT3]]</f>
        <v>5081</v>
      </c>
      <c r="K478" s="125"/>
    </row>
    <row r="479" spans="1:11" x14ac:dyDescent="0.35">
      <c r="A479" s="29"/>
      <c r="B479" s="8"/>
      <c r="C479" s="8"/>
      <c r="D479" s="8"/>
      <c r="E479" s="8"/>
      <c r="F479" s="9"/>
      <c r="G479" s="13"/>
      <c r="H479" s="8"/>
      <c r="I479" s="8"/>
      <c r="J479" s="8">
        <f>J478+Table234535910[[#This Row],[AMOUNT]]-Table234535910[[#This Row],[AMOUNT2]]-Table234535910[[#This Row],[AMOUNT3]]</f>
        <v>5081</v>
      </c>
      <c r="K479" s="125"/>
    </row>
    <row r="480" spans="1:11" x14ac:dyDescent="0.35">
      <c r="A480" s="29"/>
      <c r="B480" s="8"/>
      <c r="C480" s="8"/>
      <c r="D480" s="8"/>
      <c r="E480" s="8"/>
      <c r="F480" s="9"/>
      <c r="G480" s="13"/>
      <c r="H480" s="8"/>
      <c r="I480" s="8"/>
      <c r="J480" s="8">
        <f>J479+Table234535910[[#This Row],[AMOUNT]]-Table234535910[[#This Row],[AMOUNT2]]-Table234535910[[#This Row],[AMOUNT3]]</f>
        <v>5081</v>
      </c>
      <c r="K480" s="125"/>
    </row>
    <row r="481" spans="1:11" x14ac:dyDescent="0.35">
      <c r="A481" s="29"/>
      <c r="B481" s="8"/>
      <c r="C481" s="8"/>
      <c r="D481" s="8"/>
      <c r="E481" s="8"/>
      <c r="F481" s="9"/>
      <c r="G481" s="13"/>
      <c r="H481" s="8"/>
      <c r="I481" s="8"/>
      <c r="J481" s="8">
        <f>J480+Table234535910[[#This Row],[AMOUNT]]-Table234535910[[#This Row],[AMOUNT2]]-Table234535910[[#This Row],[AMOUNT3]]</f>
        <v>5081</v>
      </c>
      <c r="K481" s="125"/>
    </row>
    <row r="482" spans="1:11" x14ac:dyDescent="0.35">
      <c r="A482" s="29"/>
      <c r="B482" s="8"/>
      <c r="C482" s="8"/>
      <c r="D482" s="8"/>
      <c r="E482" s="8"/>
      <c r="F482" s="9"/>
      <c r="G482" s="13"/>
      <c r="H482" s="8"/>
      <c r="I482" s="8"/>
      <c r="J482" s="8">
        <f>J481+Table234535910[[#This Row],[AMOUNT]]-Table234535910[[#This Row],[AMOUNT2]]-Table234535910[[#This Row],[AMOUNT3]]</f>
        <v>5081</v>
      </c>
      <c r="K482" s="125"/>
    </row>
    <row r="483" spans="1:11" x14ac:dyDescent="0.35">
      <c r="A483" s="29"/>
      <c r="B483" s="8"/>
      <c r="C483" s="8"/>
      <c r="D483" s="8"/>
      <c r="E483" s="8"/>
      <c r="F483" s="9"/>
      <c r="G483" s="13"/>
      <c r="H483" s="8"/>
      <c r="I483" s="8"/>
      <c r="J483" s="8">
        <f>J482+Table234535910[[#This Row],[AMOUNT]]-Table234535910[[#This Row],[AMOUNT2]]-Table234535910[[#This Row],[AMOUNT3]]</f>
        <v>5081</v>
      </c>
      <c r="K483" s="125"/>
    </row>
    <row r="484" spans="1:11" x14ac:dyDescent="0.35">
      <c r="A484" s="29"/>
      <c r="B484" s="8"/>
      <c r="C484" s="8"/>
      <c r="D484" s="8"/>
      <c r="E484" s="8"/>
      <c r="F484" s="9"/>
      <c r="G484" s="13"/>
      <c r="H484" s="8"/>
      <c r="I484" s="8"/>
      <c r="J484" s="8">
        <f>J483+Table234535910[[#This Row],[AMOUNT]]-Table234535910[[#This Row],[AMOUNT2]]-Table234535910[[#This Row],[AMOUNT3]]</f>
        <v>5081</v>
      </c>
      <c r="K484" s="125"/>
    </row>
    <row r="485" spans="1:11" x14ac:dyDescent="0.35">
      <c r="A485" s="29"/>
      <c r="B485" s="8"/>
      <c r="C485" s="8"/>
      <c r="D485" s="8"/>
      <c r="E485" s="8"/>
      <c r="F485" s="9"/>
      <c r="G485" s="13"/>
      <c r="H485" s="8"/>
      <c r="I485" s="8"/>
      <c r="J485" s="8">
        <f>J484+Table234535910[[#This Row],[AMOUNT]]-Table234535910[[#This Row],[AMOUNT2]]-Table234535910[[#This Row],[AMOUNT3]]</f>
        <v>5081</v>
      </c>
      <c r="K485" s="125"/>
    </row>
    <row r="486" spans="1:11" x14ac:dyDescent="0.35">
      <c r="A486" s="29"/>
      <c r="B486" s="8"/>
      <c r="C486" s="8"/>
      <c r="D486" s="8"/>
      <c r="E486" s="8"/>
      <c r="F486" s="9"/>
      <c r="G486" s="13"/>
      <c r="H486" s="8"/>
      <c r="I486" s="8"/>
      <c r="J486" s="8">
        <f>J485+Table234535910[[#This Row],[AMOUNT]]-Table234535910[[#This Row],[AMOUNT2]]-Table234535910[[#This Row],[AMOUNT3]]</f>
        <v>5081</v>
      </c>
      <c r="K486" s="125"/>
    </row>
    <row r="487" spans="1:11" x14ac:dyDescent="0.35">
      <c r="A487" s="29"/>
      <c r="B487" s="20"/>
      <c r="C487" s="20"/>
      <c r="D487" s="8"/>
      <c r="E487" s="8"/>
      <c r="F487" s="19"/>
      <c r="G487" s="21"/>
      <c r="H487" s="20"/>
      <c r="I487" s="20"/>
      <c r="J487" s="22">
        <f>J486+Table234535910[[#This Row],[AMOUNT]]-Table234535910[[#This Row],[AMOUNT2]]-Table234535910[[#This Row],[AMOUNT3]]</f>
        <v>5081</v>
      </c>
      <c r="K487" s="125"/>
    </row>
    <row r="488" spans="1:11" x14ac:dyDescent="0.35">
      <c r="A488" s="148" t="s">
        <v>15</v>
      </c>
      <c r="B488" s="150"/>
      <c r="C488" s="6">
        <f>SUM(C5:C487)</f>
        <v>98250</v>
      </c>
      <c r="D488" s="6"/>
      <c r="E488" s="6"/>
      <c r="F488" s="6"/>
      <c r="G488" s="6">
        <f>SUM(G5:G487)</f>
        <v>93965</v>
      </c>
      <c r="H488" s="6"/>
      <c r="I488" s="6">
        <f>SUM(I5:I487)</f>
        <v>0</v>
      </c>
      <c r="J488" s="6"/>
    </row>
  </sheetData>
  <mergeCells count="4">
    <mergeCell ref="A1:J2"/>
    <mergeCell ref="A3:C3"/>
    <mergeCell ref="G3:I3"/>
    <mergeCell ref="A488:B488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803"/>
  <sheetViews>
    <sheetView workbookViewId="0">
      <selection activeCell="E26" sqref="E26"/>
    </sheetView>
  </sheetViews>
  <sheetFormatPr defaultRowHeight="15.5" x14ac:dyDescent="0.35"/>
  <cols>
    <col min="1" max="1" width="11.90625" style="14" bestFit="1" customWidth="1"/>
    <col min="2" max="2" width="13" style="15" bestFit="1" customWidth="1"/>
    <col min="3" max="3" width="9.54296875" style="15" customWidth="1"/>
    <col min="4" max="4" width="7.36328125" style="14" customWidth="1"/>
    <col min="5" max="5" width="8.08984375" style="14" customWidth="1"/>
    <col min="6" max="6" width="36.08984375" style="14" customWidth="1"/>
    <col min="7" max="7" width="24.453125" style="14" customWidth="1"/>
    <col min="8" max="8" width="22.08984375" style="14" customWidth="1"/>
    <col min="9" max="9" width="11.36328125" style="14" customWidth="1"/>
    <col min="10" max="10" width="12.36328125" style="14" customWidth="1"/>
  </cols>
  <sheetData>
    <row r="1" spans="1:10" ht="14.5" x14ac:dyDescent="0.35">
      <c r="A1" s="139" t="s">
        <v>242</v>
      </c>
      <c r="B1" s="140"/>
      <c r="C1" s="140"/>
      <c r="D1" s="140"/>
      <c r="E1" s="140"/>
      <c r="F1" s="140"/>
      <c r="G1" s="140"/>
      <c r="H1" s="140"/>
      <c r="I1" s="140"/>
      <c r="J1" s="141"/>
    </row>
    <row r="2" spans="1:10" ht="14.5" x14ac:dyDescent="0.35">
      <c r="A2" s="142"/>
      <c r="B2" s="143"/>
      <c r="C2" s="143"/>
      <c r="D2" s="143"/>
      <c r="E2" s="143"/>
      <c r="F2" s="143"/>
      <c r="G2" s="143"/>
      <c r="H2" s="143"/>
      <c r="I2" s="143"/>
      <c r="J2" s="144"/>
    </row>
    <row r="3" spans="1:10" x14ac:dyDescent="0.35">
      <c r="A3" s="145" t="s">
        <v>3</v>
      </c>
      <c r="B3" s="146"/>
      <c r="C3" s="147"/>
      <c r="D3" s="4">
        <v>-1422</v>
      </c>
      <c r="E3" s="4"/>
      <c r="F3" s="4"/>
      <c r="G3" s="145" t="s">
        <v>4</v>
      </c>
      <c r="H3" s="146"/>
      <c r="I3" s="147"/>
      <c r="J3" s="4"/>
    </row>
    <row r="4" spans="1:10" x14ac:dyDescent="0.35">
      <c r="A4" s="5" t="s">
        <v>5</v>
      </c>
      <c r="B4" s="6" t="s">
        <v>6</v>
      </c>
      <c r="C4" s="6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</row>
    <row r="5" spans="1:10" x14ac:dyDescent="0.35">
      <c r="A5" s="28"/>
      <c r="B5" s="7"/>
      <c r="C5" s="8"/>
      <c r="D5" s="7"/>
      <c r="E5" s="7"/>
      <c r="F5" s="9"/>
      <c r="G5" s="10">
        <v>0</v>
      </c>
      <c r="H5" s="9"/>
      <c r="I5" s="8"/>
      <c r="J5" s="9">
        <f>+D3</f>
        <v>-1422</v>
      </c>
    </row>
    <row r="6" spans="1:10" x14ac:dyDescent="0.35">
      <c r="A6" s="29">
        <v>46117</v>
      </c>
      <c r="B6" s="7"/>
      <c r="C6" s="8"/>
      <c r="D6" s="26" t="s">
        <v>39</v>
      </c>
      <c r="E6" s="12" t="s">
        <v>40</v>
      </c>
      <c r="F6" s="12" t="s">
        <v>243</v>
      </c>
      <c r="G6" s="11">
        <f>620+100</f>
        <v>720</v>
      </c>
      <c r="H6" s="9"/>
      <c r="I6" s="8"/>
      <c r="J6" s="9">
        <f>+J5+Table23453561213[[#This Row],[AMOUNT]]-Table23453561213[[#This Row],[AMOUNT2]]-Table23453561213[[#This Row],[AMOUNT3]]</f>
        <v>-2142</v>
      </c>
    </row>
    <row r="7" spans="1:10" x14ac:dyDescent="0.35">
      <c r="A7" s="29">
        <v>46118</v>
      </c>
      <c r="B7" s="10"/>
      <c r="C7" s="13"/>
      <c r="D7" s="26" t="s">
        <v>39</v>
      </c>
      <c r="E7" s="12" t="s">
        <v>17</v>
      </c>
      <c r="F7" s="12" t="s">
        <v>244</v>
      </c>
      <c r="G7" s="70">
        <v>210</v>
      </c>
      <c r="H7" s="9"/>
      <c r="I7" s="13"/>
      <c r="J7" s="9">
        <f>J6+Table23453561213[[#This Row],[AMOUNT]]-Table23453561213[[#This Row],[AMOUNT2]]-Table23453561213[[#This Row],[AMOUNT3]]</f>
        <v>-2352</v>
      </c>
    </row>
    <row r="8" spans="1:10" x14ac:dyDescent="0.35">
      <c r="A8" s="29">
        <v>46118</v>
      </c>
      <c r="B8" s="7" t="s">
        <v>392</v>
      </c>
      <c r="C8" s="8">
        <v>2412</v>
      </c>
      <c r="D8" s="26" t="s">
        <v>39</v>
      </c>
      <c r="E8" s="12" t="s">
        <v>40</v>
      </c>
      <c r="F8" s="12" t="s">
        <v>245</v>
      </c>
      <c r="G8" s="70">
        <v>60</v>
      </c>
      <c r="H8" s="9"/>
      <c r="I8" s="8"/>
      <c r="J8" s="9">
        <f>J7+Table23453561213[[#This Row],[AMOUNT]]-Table23453561213[[#This Row],[AMOUNT2]]-Table23453561213[[#This Row],[AMOUNT3]]</f>
        <v>0</v>
      </c>
    </row>
    <row r="9" spans="1:10" x14ac:dyDescent="0.35">
      <c r="A9" s="29">
        <v>46123</v>
      </c>
      <c r="B9" s="7"/>
      <c r="C9" s="8"/>
      <c r="D9" s="26" t="s">
        <v>39</v>
      </c>
      <c r="E9" s="12" t="s">
        <v>17</v>
      </c>
      <c r="F9" s="12" t="s">
        <v>318</v>
      </c>
      <c r="G9" s="70">
        <v>360</v>
      </c>
      <c r="H9" s="9"/>
      <c r="I9" s="8"/>
      <c r="J9" s="9">
        <f>J8+Table23453561213[[#This Row],[AMOUNT]]-Table23453561213[[#This Row],[AMOUNT2]]-Table23453561213[[#This Row],[AMOUNT3]]</f>
        <v>-360</v>
      </c>
    </row>
    <row r="10" spans="1:10" x14ac:dyDescent="0.35">
      <c r="A10" s="29">
        <v>46125</v>
      </c>
      <c r="B10" s="7"/>
      <c r="C10" s="8"/>
      <c r="D10" s="26" t="s">
        <v>39</v>
      </c>
      <c r="E10" s="12" t="s">
        <v>40</v>
      </c>
      <c r="F10" s="12" t="s">
        <v>320</v>
      </c>
      <c r="G10" s="70">
        <v>300</v>
      </c>
      <c r="H10" s="9"/>
      <c r="I10" s="8"/>
      <c r="J10" s="9">
        <f>J9+Table23453561213[[#This Row],[AMOUNT]]-Table23453561213[[#This Row],[AMOUNT2]]-Table23453561213[[#This Row],[AMOUNT3]]</f>
        <v>-660</v>
      </c>
    </row>
    <row r="11" spans="1:10" x14ac:dyDescent="0.35">
      <c r="A11" s="29">
        <v>46125</v>
      </c>
      <c r="B11" s="7"/>
      <c r="C11" s="8"/>
      <c r="D11" s="26" t="s">
        <v>39</v>
      </c>
      <c r="E11" s="12" t="s">
        <v>40</v>
      </c>
      <c r="F11" s="12" t="s">
        <v>245</v>
      </c>
      <c r="G11" s="70">
        <v>60</v>
      </c>
      <c r="H11" s="9"/>
      <c r="I11" s="8"/>
      <c r="J11" s="9">
        <f>J10+Table23453561213[[#This Row],[AMOUNT]]-Table23453561213[[#This Row],[AMOUNT2]]-Table23453561213[[#This Row],[AMOUNT3]]</f>
        <v>-720</v>
      </c>
    </row>
    <row r="12" spans="1:10" x14ac:dyDescent="0.35">
      <c r="A12" s="29">
        <v>46126</v>
      </c>
      <c r="B12" s="7"/>
      <c r="C12" s="8"/>
      <c r="D12" s="26" t="s">
        <v>39</v>
      </c>
      <c r="E12" s="12" t="s">
        <v>40</v>
      </c>
      <c r="F12" s="12" t="s">
        <v>245</v>
      </c>
      <c r="G12" s="68">
        <v>40</v>
      </c>
      <c r="H12" s="9"/>
      <c r="I12" s="8"/>
      <c r="J12" s="9">
        <f>J11+Table23453561213[[#This Row],[AMOUNT]]-Table23453561213[[#This Row],[AMOUNT2]]-Table23453561213[[#This Row],[AMOUNT3]]</f>
        <v>-760</v>
      </c>
    </row>
    <row r="13" spans="1:10" x14ac:dyDescent="0.35">
      <c r="A13" s="29">
        <v>46133</v>
      </c>
      <c r="B13" s="7"/>
      <c r="C13" s="8"/>
      <c r="D13" s="26" t="s">
        <v>39</v>
      </c>
      <c r="E13" s="12" t="s">
        <v>40</v>
      </c>
      <c r="F13" s="9" t="s">
        <v>418</v>
      </c>
      <c r="G13" s="68">
        <v>150</v>
      </c>
      <c r="H13" s="9"/>
      <c r="I13" s="8"/>
      <c r="J13" s="9">
        <f>J12+Table23453561213[[#This Row],[AMOUNT]]-Table23453561213[[#This Row],[AMOUNT2]]-Table23453561213[[#This Row],[AMOUNT3]]</f>
        <v>-910</v>
      </c>
    </row>
    <row r="14" spans="1:10" x14ac:dyDescent="0.35">
      <c r="A14" s="29">
        <v>46135</v>
      </c>
      <c r="B14" s="7"/>
      <c r="C14" s="8"/>
      <c r="D14" s="26" t="s">
        <v>39</v>
      </c>
      <c r="E14" s="12" t="s">
        <v>40</v>
      </c>
      <c r="F14" s="12" t="s">
        <v>319</v>
      </c>
      <c r="G14" s="70">
        <v>300</v>
      </c>
      <c r="H14" s="9"/>
      <c r="I14" s="8"/>
      <c r="J14" s="9">
        <f>J13+Table23453561213[[#This Row],[AMOUNT]]-Table23453561213[[#This Row],[AMOUNT2]]-Table23453561213[[#This Row],[AMOUNT3]]</f>
        <v>-1210</v>
      </c>
    </row>
    <row r="15" spans="1:10" x14ac:dyDescent="0.35">
      <c r="A15" s="29">
        <v>46135</v>
      </c>
      <c r="B15" s="7"/>
      <c r="C15" s="8"/>
      <c r="D15" s="26" t="s">
        <v>39</v>
      </c>
      <c r="E15" s="12" t="s">
        <v>40</v>
      </c>
      <c r="F15" s="12" t="s">
        <v>245</v>
      </c>
      <c r="G15" s="68">
        <v>60</v>
      </c>
      <c r="H15" s="9"/>
      <c r="I15" s="8"/>
      <c r="J15" s="9">
        <f>J14+Table23453561213[[#This Row],[AMOUNT]]-Table23453561213[[#This Row],[AMOUNT2]]-Table23453561213[[#This Row],[AMOUNT3]]</f>
        <v>-1270</v>
      </c>
    </row>
    <row r="16" spans="1:10" x14ac:dyDescent="0.35">
      <c r="A16" s="29">
        <v>46146</v>
      </c>
      <c r="B16" s="7"/>
      <c r="C16" s="8"/>
      <c r="D16" s="26" t="s">
        <v>39</v>
      </c>
      <c r="E16" s="12" t="s">
        <v>40</v>
      </c>
      <c r="F16" s="9" t="s">
        <v>418</v>
      </c>
      <c r="G16" s="68">
        <v>150</v>
      </c>
      <c r="H16" s="9"/>
      <c r="I16" s="8"/>
      <c r="J16" s="9">
        <f>J15+Table23453561213[[#This Row],[AMOUNT]]-Table23453561213[[#This Row],[AMOUNT2]]-Table23453561213[[#This Row],[AMOUNT3]]</f>
        <v>-1420</v>
      </c>
    </row>
    <row r="17" spans="1:10" x14ac:dyDescent="0.35">
      <c r="A17" s="29">
        <v>46146</v>
      </c>
      <c r="B17" s="7"/>
      <c r="C17" s="8"/>
      <c r="D17" s="26" t="s">
        <v>39</v>
      </c>
      <c r="E17" s="12" t="s">
        <v>17</v>
      </c>
      <c r="F17" s="12" t="s">
        <v>419</v>
      </c>
      <c r="G17" s="68">
        <v>50</v>
      </c>
      <c r="H17" s="9"/>
      <c r="I17" s="8"/>
      <c r="J17" s="9">
        <f>J16+Table23453561213[[#This Row],[AMOUNT]]-Table23453561213[[#This Row],[AMOUNT2]]-Table23453561213[[#This Row],[AMOUNT3]]</f>
        <v>-1470</v>
      </c>
    </row>
    <row r="18" spans="1:10" x14ac:dyDescent="0.35">
      <c r="A18" s="29">
        <v>46159</v>
      </c>
      <c r="B18" s="7"/>
      <c r="C18" s="8"/>
      <c r="D18" s="26" t="s">
        <v>39</v>
      </c>
      <c r="E18" s="12" t="s">
        <v>17</v>
      </c>
      <c r="F18" s="12" t="s">
        <v>477</v>
      </c>
      <c r="G18" s="68">
        <v>50</v>
      </c>
      <c r="H18" s="9"/>
      <c r="I18" s="8"/>
      <c r="J18" s="9">
        <f>J17+Table23453561213[[#This Row],[AMOUNT]]-Table23453561213[[#This Row],[AMOUNT2]]-Table23453561213[[#This Row],[AMOUNT3]]</f>
        <v>-1520</v>
      </c>
    </row>
    <row r="19" spans="1:10" x14ac:dyDescent="0.35">
      <c r="A19" s="29">
        <v>46159</v>
      </c>
      <c r="B19" s="7"/>
      <c r="C19" s="8"/>
      <c r="D19" s="26" t="s">
        <v>39</v>
      </c>
      <c r="E19" s="12" t="s">
        <v>40</v>
      </c>
      <c r="F19" s="12" t="s">
        <v>478</v>
      </c>
      <c r="G19" s="68">
        <v>100</v>
      </c>
      <c r="H19" s="9"/>
      <c r="I19" s="8"/>
      <c r="J19" s="9">
        <f>J18+Table23453561213[[#This Row],[AMOUNT]]-Table23453561213[[#This Row],[AMOUNT2]]-Table23453561213[[#This Row],[AMOUNT3]]</f>
        <v>-1620</v>
      </c>
    </row>
    <row r="20" spans="1:10" x14ac:dyDescent="0.35">
      <c r="A20" s="59">
        <v>46168</v>
      </c>
      <c r="B20" s="60" t="s">
        <v>18</v>
      </c>
      <c r="C20" s="23">
        <v>1920</v>
      </c>
      <c r="D20" s="61" t="s">
        <v>39</v>
      </c>
      <c r="E20" s="62" t="s">
        <v>38</v>
      </c>
      <c r="F20" s="62" t="s">
        <v>483</v>
      </c>
      <c r="G20" s="63">
        <v>300</v>
      </c>
      <c r="H20" s="9"/>
      <c r="I20" s="8"/>
      <c r="J20" s="9">
        <f>J19+Table23453561213[[#This Row],[AMOUNT]]-Table23453561213[[#This Row],[AMOUNT2]]-Table23453561213[[#This Row],[AMOUNT3]]</f>
        <v>0</v>
      </c>
    </row>
    <row r="21" spans="1:10" x14ac:dyDescent="0.35">
      <c r="A21" s="29"/>
      <c r="B21" s="7"/>
      <c r="C21" s="8"/>
      <c r="D21" s="26"/>
      <c r="E21" s="12"/>
      <c r="F21" s="12"/>
      <c r="G21" s="13"/>
      <c r="H21" s="9"/>
      <c r="I21" s="8"/>
      <c r="J21" s="9">
        <f>J20+Table23453561213[[#This Row],[AMOUNT]]-Table23453561213[[#This Row],[AMOUNT2]]-Table23453561213[[#This Row],[AMOUNT3]]</f>
        <v>0</v>
      </c>
    </row>
    <row r="22" spans="1:10" x14ac:dyDescent="0.35">
      <c r="A22" s="29"/>
      <c r="B22" s="7"/>
      <c r="C22" s="8"/>
      <c r="D22" s="26"/>
      <c r="E22" s="7"/>
      <c r="F22" s="9"/>
      <c r="G22" s="13"/>
      <c r="H22" s="9"/>
      <c r="I22" s="8"/>
      <c r="J22" s="9">
        <f>J21+Table23453561213[[#This Row],[AMOUNT]]-Table23453561213[[#This Row],[AMOUNT2]]-Table23453561213[[#This Row],[AMOUNT3]]</f>
        <v>0</v>
      </c>
    </row>
    <row r="23" spans="1:10" x14ac:dyDescent="0.35">
      <c r="A23" s="29"/>
      <c r="B23" s="7"/>
      <c r="C23" s="8"/>
      <c r="D23" s="26"/>
      <c r="E23" s="12"/>
      <c r="F23" s="12"/>
      <c r="G23" s="11"/>
      <c r="H23" s="9"/>
      <c r="I23" s="8"/>
      <c r="J23" s="9">
        <f>J22+Table23453561213[[#This Row],[AMOUNT]]-Table23453561213[[#This Row],[AMOUNT2]]-Table23453561213[[#This Row],[AMOUNT3]]</f>
        <v>0</v>
      </c>
    </row>
    <row r="24" spans="1:10" x14ac:dyDescent="0.35">
      <c r="A24" s="29"/>
      <c r="B24" s="7"/>
      <c r="C24" s="8"/>
      <c r="D24" s="26"/>
      <c r="E24" s="7"/>
      <c r="F24" s="17"/>
      <c r="G24" s="11"/>
      <c r="H24" s="9"/>
      <c r="I24" s="8"/>
      <c r="J24" s="9">
        <f>J23+Table23453561213[[#This Row],[AMOUNT]]-Table23453561213[[#This Row],[AMOUNT2]]-Table23453561213[[#This Row],[AMOUNT3]]</f>
        <v>0</v>
      </c>
    </row>
    <row r="25" spans="1:10" x14ac:dyDescent="0.35">
      <c r="A25" s="29"/>
      <c r="B25" s="7"/>
      <c r="C25" s="8"/>
      <c r="D25" s="26"/>
      <c r="E25" s="7"/>
      <c r="F25" s="9"/>
      <c r="G25" s="13"/>
      <c r="H25" s="9"/>
      <c r="I25" s="8"/>
      <c r="J25" s="9">
        <f>J24+Table23453561213[[#This Row],[AMOUNT]]-Table23453561213[[#This Row],[AMOUNT2]]-Table23453561213[[#This Row],[AMOUNT3]]</f>
        <v>0</v>
      </c>
    </row>
    <row r="26" spans="1:10" x14ac:dyDescent="0.35">
      <c r="A26" s="29"/>
      <c r="B26" s="7"/>
      <c r="C26" s="8"/>
      <c r="D26" s="26"/>
      <c r="E26" s="7"/>
      <c r="F26" s="9"/>
      <c r="G26" s="13"/>
      <c r="H26" s="9"/>
      <c r="I26" s="8"/>
      <c r="J26" s="9">
        <f>J25+Table23453561213[[#This Row],[AMOUNT]]-Table23453561213[[#This Row],[AMOUNT2]]-Table23453561213[[#This Row],[AMOUNT3]]</f>
        <v>0</v>
      </c>
    </row>
    <row r="27" spans="1:10" x14ac:dyDescent="0.35">
      <c r="A27" s="29"/>
      <c r="B27" s="7"/>
      <c r="C27" s="8"/>
      <c r="D27" s="26"/>
      <c r="E27" s="7"/>
      <c r="F27" s="9"/>
      <c r="G27" s="13"/>
      <c r="H27" s="9"/>
      <c r="I27" s="8"/>
      <c r="J27" s="9">
        <f>J26+Table23453561213[[#This Row],[AMOUNT]]-Table23453561213[[#This Row],[AMOUNT2]]-Table23453561213[[#This Row],[AMOUNT3]]</f>
        <v>0</v>
      </c>
    </row>
    <row r="28" spans="1:10" x14ac:dyDescent="0.35">
      <c r="A28" s="29"/>
      <c r="B28" s="7"/>
      <c r="C28" s="8"/>
      <c r="D28" s="26"/>
      <c r="E28" s="7"/>
      <c r="F28" s="9"/>
      <c r="G28" s="13"/>
      <c r="H28" s="9"/>
      <c r="I28" s="8"/>
      <c r="J28" s="9">
        <f>J27+Table23453561213[[#This Row],[AMOUNT]]-Table23453561213[[#This Row],[AMOUNT2]]-Table23453561213[[#This Row],[AMOUNT3]]</f>
        <v>0</v>
      </c>
    </row>
    <row r="29" spans="1:10" x14ac:dyDescent="0.35">
      <c r="A29" s="29"/>
      <c r="B29" s="7"/>
      <c r="C29" s="8"/>
      <c r="D29" s="26"/>
      <c r="E29" s="7"/>
      <c r="F29" s="9"/>
      <c r="G29" s="13"/>
      <c r="H29" s="9"/>
      <c r="I29" s="8"/>
      <c r="J29" s="9">
        <f>J28+Table23453561213[[#This Row],[AMOUNT]]-Table23453561213[[#This Row],[AMOUNT2]]-Table23453561213[[#This Row],[AMOUNT3]]</f>
        <v>0</v>
      </c>
    </row>
    <row r="30" spans="1:10" x14ac:dyDescent="0.35">
      <c r="A30" s="29"/>
      <c r="B30" s="7"/>
      <c r="C30" s="8"/>
      <c r="D30" s="26"/>
      <c r="E30" s="7"/>
      <c r="F30" s="12"/>
      <c r="G30" s="13"/>
      <c r="H30" s="9"/>
      <c r="I30" s="8"/>
      <c r="J30" s="9">
        <f>J29+Table23453561213[[#This Row],[AMOUNT]]-Table23453561213[[#This Row],[AMOUNT2]]-Table23453561213[[#This Row],[AMOUNT3]]</f>
        <v>0</v>
      </c>
    </row>
    <row r="31" spans="1:10" x14ac:dyDescent="0.35">
      <c r="A31" s="29"/>
      <c r="B31" s="7"/>
      <c r="C31" s="8"/>
      <c r="D31" s="26"/>
      <c r="E31" s="7"/>
      <c r="F31" s="12"/>
      <c r="G31" s="13"/>
      <c r="H31" s="9"/>
      <c r="I31" s="8"/>
      <c r="J31" s="9">
        <f>J30+Table23453561213[[#This Row],[AMOUNT]]-Table23453561213[[#This Row],[AMOUNT2]]-Table23453561213[[#This Row],[AMOUNT3]]</f>
        <v>0</v>
      </c>
    </row>
    <row r="32" spans="1:10" x14ac:dyDescent="0.35">
      <c r="A32" s="29"/>
      <c r="B32" s="7"/>
      <c r="C32" s="8"/>
      <c r="D32" s="26"/>
      <c r="E32" s="7"/>
      <c r="F32" s="9"/>
      <c r="G32" s="13"/>
      <c r="H32" s="9"/>
      <c r="I32" s="8"/>
      <c r="J32" s="9">
        <f>J31+Table23453561213[[#This Row],[AMOUNT]]-Table23453561213[[#This Row],[AMOUNT2]]-Table23453561213[[#This Row],[AMOUNT3]]</f>
        <v>0</v>
      </c>
    </row>
    <row r="33" spans="1:10" x14ac:dyDescent="0.35">
      <c r="A33" s="29"/>
      <c r="B33" s="7"/>
      <c r="C33" s="8"/>
      <c r="D33" s="26"/>
      <c r="E33" s="12"/>
      <c r="F33" s="12"/>
      <c r="G33" s="13"/>
      <c r="H33" s="9"/>
      <c r="I33" s="8"/>
      <c r="J33" s="9">
        <f>J32+Table23453561213[[#This Row],[AMOUNT]]-Table23453561213[[#This Row],[AMOUNT2]]-Table23453561213[[#This Row],[AMOUNT3]]</f>
        <v>0</v>
      </c>
    </row>
    <row r="34" spans="1:10" x14ac:dyDescent="0.35">
      <c r="A34" s="29"/>
      <c r="B34" s="7"/>
      <c r="C34" s="8"/>
      <c r="D34" s="26"/>
      <c r="E34" s="7"/>
      <c r="F34" s="9"/>
      <c r="G34" s="13"/>
      <c r="H34" s="9"/>
      <c r="I34" s="8"/>
      <c r="J34" s="9">
        <f>J33+Table23453561213[[#This Row],[AMOUNT]]-Table23453561213[[#This Row],[AMOUNT2]]-Table23453561213[[#This Row],[AMOUNT3]]</f>
        <v>0</v>
      </c>
    </row>
    <row r="35" spans="1:10" x14ac:dyDescent="0.35">
      <c r="A35" s="29"/>
      <c r="B35" s="7"/>
      <c r="C35" s="8"/>
      <c r="D35" s="26"/>
      <c r="E35" s="7"/>
      <c r="F35" s="9"/>
      <c r="G35" s="13"/>
      <c r="H35" s="9"/>
      <c r="I35" s="8"/>
      <c r="J35" s="9">
        <f>J34+Table23453561213[[#This Row],[AMOUNT]]-Table23453561213[[#This Row],[AMOUNT2]]-Table23453561213[[#This Row],[AMOUNT3]]</f>
        <v>0</v>
      </c>
    </row>
    <row r="36" spans="1:10" x14ac:dyDescent="0.35">
      <c r="A36" s="29"/>
      <c r="B36" s="7"/>
      <c r="C36" s="8"/>
      <c r="D36" s="26"/>
      <c r="E36" s="7"/>
      <c r="F36" s="9"/>
      <c r="G36" s="13"/>
      <c r="H36" s="9"/>
      <c r="I36" s="8"/>
      <c r="J36" s="9">
        <f>J35+Table23453561213[[#This Row],[AMOUNT]]-Table23453561213[[#This Row],[AMOUNT2]]-Table23453561213[[#This Row],[AMOUNT3]]</f>
        <v>0</v>
      </c>
    </row>
    <row r="37" spans="1:10" x14ac:dyDescent="0.35">
      <c r="A37" s="29"/>
      <c r="B37" s="7"/>
      <c r="C37" s="8"/>
      <c r="D37" s="26"/>
      <c r="E37" s="7"/>
      <c r="F37" s="9"/>
      <c r="G37" s="13"/>
      <c r="H37" s="9"/>
      <c r="I37" s="8"/>
      <c r="J37" s="9">
        <f>J36+Table23453561213[[#This Row],[AMOUNT]]-Table23453561213[[#This Row],[AMOUNT2]]-Table23453561213[[#This Row],[AMOUNT3]]</f>
        <v>0</v>
      </c>
    </row>
    <row r="38" spans="1:10" x14ac:dyDescent="0.35">
      <c r="A38" s="29"/>
      <c r="B38" s="7"/>
      <c r="C38" s="8"/>
      <c r="D38" s="26"/>
      <c r="E38" s="7"/>
      <c r="F38" s="9"/>
      <c r="G38" s="13"/>
      <c r="H38" s="9"/>
      <c r="I38" s="8"/>
      <c r="J38" s="9">
        <f>J37+Table23453561213[[#This Row],[AMOUNT]]-Table23453561213[[#This Row],[AMOUNT2]]-Table23453561213[[#This Row],[AMOUNT3]]</f>
        <v>0</v>
      </c>
    </row>
    <row r="39" spans="1:10" x14ac:dyDescent="0.35">
      <c r="A39" s="29"/>
      <c r="B39" s="7"/>
      <c r="C39" s="8"/>
      <c r="D39" s="26"/>
      <c r="E39" s="7"/>
      <c r="F39" s="9"/>
      <c r="G39" s="13"/>
      <c r="H39" s="9"/>
      <c r="I39" s="8"/>
      <c r="J39" s="9">
        <f>J38+Table23453561213[[#This Row],[AMOUNT]]-Table23453561213[[#This Row],[AMOUNT2]]-Table23453561213[[#This Row],[AMOUNT3]]</f>
        <v>0</v>
      </c>
    </row>
    <row r="40" spans="1:10" x14ac:dyDescent="0.35">
      <c r="A40" s="29"/>
      <c r="B40" s="7"/>
      <c r="C40" s="8"/>
      <c r="D40" s="26"/>
      <c r="E40" s="7"/>
      <c r="F40" s="9"/>
      <c r="G40" s="13"/>
      <c r="H40" s="9"/>
      <c r="I40" s="8"/>
      <c r="J40" s="9">
        <f>J39+Table23453561213[[#This Row],[AMOUNT]]-Table23453561213[[#This Row],[AMOUNT2]]-Table23453561213[[#This Row],[AMOUNT3]]</f>
        <v>0</v>
      </c>
    </row>
    <row r="41" spans="1:10" x14ac:dyDescent="0.35">
      <c r="A41" s="29"/>
      <c r="B41" s="7"/>
      <c r="C41" s="8"/>
      <c r="D41" s="26"/>
      <c r="E41" s="12"/>
      <c r="F41" s="12"/>
      <c r="G41" s="13"/>
      <c r="H41" s="9"/>
      <c r="I41" s="8"/>
      <c r="J41" s="9">
        <f>J40+Table23453561213[[#This Row],[AMOUNT]]-Table23453561213[[#This Row],[AMOUNT2]]-Table23453561213[[#This Row],[AMOUNT3]]</f>
        <v>0</v>
      </c>
    </row>
    <row r="42" spans="1:10" x14ac:dyDescent="0.35">
      <c r="A42" s="29"/>
      <c r="B42" s="7"/>
      <c r="C42" s="8"/>
      <c r="D42" s="26"/>
      <c r="E42" s="7"/>
      <c r="F42" s="9"/>
      <c r="G42" s="13"/>
      <c r="H42" s="9"/>
      <c r="I42" s="8"/>
      <c r="J42" s="9">
        <f>J41+Table23453561213[[#This Row],[AMOUNT]]-Table23453561213[[#This Row],[AMOUNT2]]-Table23453561213[[#This Row],[AMOUNT3]]</f>
        <v>0</v>
      </c>
    </row>
    <row r="43" spans="1:10" x14ac:dyDescent="0.35">
      <c r="A43" s="29"/>
      <c r="B43" s="7"/>
      <c r="C43" s="8"/>
      <c r="D43" s="26"/>
      <c r="E43" s="7"/>
      <c r="F43" s="9"/>
      <c r="G43" s="13"/>
      <c r="H43" s="9"/>
      <c r="I43" s="8"/>
      <c r="J43" s="9">
        <f>J42+Table23453561213[[#This Row],[AMOUNT]]-Table23453561213[[#This Row],[AMOUNT2]]-Table23453561213[[#This Row],[AMOUNT3]]</f>
        <v>0</v>
      </c>
    </row>
    <row r="44" spans="1:10" x14ac:dyDescent="0.35">
      <c r="A44" s="29"/>
      <c r="B44" s="7"/>
      <c r="C44" s="8"/>
      <c r="D44" s="26"/>
      <c r="E44" s="7"/>
      <c r="F44" s="9"/>
      <c r="G44" s="13"/>
      <c r="H44" s="9"/>
      <c r="I44" s="8"/>
      <c r="J44" s="9">
        <f>J43+Table23453561213[[#This Row],[AMOUNT]]-Table23453561213[[#This Row],[AMOUNT2]]-Table23453561213[[#This Row],[AMOUNT3]]</f>
        <v>0</v>
      </c>
    </row>
    <row r="45" spans="1:10" x14ac:dyDescent="0.35">
      <c r="A45" s="29"/>
      <c r="B45" s="7"/>
      <c r="C45" s="8"/>
      <c r="D45" s="26"/>
      <c r="E45" s="7"/>
      <c r="F45" s="9"/>
      <c r="G45" s="13"/>
      <c r="H45" s="9"/>
      <c r="I45" s="8"/>
      <c r="J45" s="9">
        <f>J44+Table23453561213[[#This Row],[AMOUNT]]-Table23453561213[[#This Row],[AMOUNT2]]-Table23453561213[[#This Row],[AMOUNT3]]</f>
        <v>0</v>
      </c>
    </row>
    <row r="46" spans="1:10" x14ac:dyDescent="0.35">
      <c r="A46" s="29"/>
      <c r="B46" s="7"/>
      <c r="C46" s="8"/>
      <c r="D46" s="26"/>
      <c r="E46" s="7"/>
      <c r="F46" s="9"/>
      <c r="G46" s="13"/>
      <c r="H46" s="9"/>
      <c r="I46" s="8"/>
      <c r="J46" s="9">
        <f>J45+Table23453561213[[#This Row],[AMOUNT]]-Table23453561213[[#This Row],[AMOUNT2]]-Table23453561213[[#This Row],[AMOUNT3]]</f>
        <v>0</v>
      </c>
    </row>
    <row r="47" spans="1:10" x14ac:dyDescent="0.35">
      <c r="A47" s="29"/>
      <c r="B47" s="7"/>
      <c r="C47" s="8"/>
      <c r="D47" s="26"/>
      <c r="E47" s="26"/>
      <c r="F47" s="9"/>
      <c r="G47" s="13"/>
      <c r="H47" s="9"/>
      <c r="I47" s="8"/>
      <c r="J47" s="9">
        <f>J46+Table23453561213[[#This Row],[AMOUNT]]-Table23453561213[[#This Row],[AMOUNT2]]-Table23453561213[[#This Row],[AMOUNT3]]</f>
        <v>0</v>
      </c>
    </row>
    <row r="48" spans="1:10" x14ac:dyDescent="0.35">
      <c r="A48" s="29"/>
      <c r="B48" s="7"/>
      <c r="C48" s="8"/>
      <c r="D48" s="26"/>
      <c r="E48" s="7"/>
      <c r="F48" s="9"/>
      <c r="G48" s="13"/>
      <c r="H48" s="9"/>
      <c r="I48" s="8"/>
      <c r="J48" s="9">
        <f>J47+Table23453561213[[#This Row],[AMOUNT]]-Table23453561213[[#This Row],[AMOUNT2]]-Table23453561213[[#This Row],[AMOUNT3]]</f>
        <v>0</v>
      </c>
    </row>
    <row r="49" spans="1:10" x14ac:dyDescent="0.35">
      <c r="A49" s="29"/>
      <c r="B49" s="7"/>
      <c r="C49" s="8"/>
      <c r="D49" s="26"/>
      <c r="E49" s="7"/>
      <c r="F49" s="9"/>
      <c r="G49" s="13"/>
      <c r="H49" s="9"/>
      <c r="I49" s="8"/>
      <c r="J49" s="9">
        <f>J48+Table23453561213[[#This Row],[AMOUNT]]-Table23453561213[[#This Row],[AMOUNT2]]-Table23453561213[[#This Row],[AMOUNT3]]</f>
        <v>0</v>
      </c>
    </row>
    <row r="50" spans="1:10" x14ac:dyDescent="0.35">
      <c r="A50" s="29"/>
      <c r="B50" s="7"/>
      <c r="C50" s="8"/>
      <c r="D50" s="26"/>
      <c r="E50" s="7"/>
      <c r="F50" s="9"/>
      <c r="G50" s="13"/>
      <c r="H50" s="9"/>
      <c r="I50" s="8"/>
      <c r="J50" s="9">
        <f>J49+Table23453561213[[#This Row],[AMOUNT]]-Table23453561213[[#This Row],[AMOUNT2]]-Table23453561213[[#This Row],[AMOUNT3]]</f>
        <v>0</v>
      </c>
    </row>
    <row r="51" spans="1:10" x14ac:dyDescent="0.35">
      <c r="A51" s="29"/>
      <c r="B51" s="7"/>
      <c r="C51" s="8"/>
      <c r="D51" s="26"/>
      <c r="E51" s="7"/>
      <c r="F51" s="9"/>
      <c r="G51" s="13"/>
      <c r="H51" s="9"/>
      <c r="I51" s="8"/>
      <c r="J51" s="9">
        <f>J50+Table23453561213[[#This Row],[AMOUNT]]-Table23453561213[[#This Row],[AMOUNT2]]-Table23453561213[[#This Row],[AMOUNT3]]</f>
        <v>0</v>
      </c>
    </row>
    <row r="52" spans="1:10" x14ac:dyDescent="0.35">
      <c r="A52" s="29"/>
      <c r="B52" s="7"/>
      <c r="C52" s="8"/>
      <c r="D52" s="26"/>
      <c r="E52" s="7"/>
      <c r="F52" s="9"/>
      <c r="G52" s="13"/>
      <c r="H52" s="9"/>
      <c r="I52" s="8"/>
      <c r="J52" s="9">
        <f>J51+Table23453561213[[#This Row],[AMOUNT]]-Table23453561213[[#This Row],[AMOUNT2]]-Table23453561213[[#This Row],[AMOUNT3]]</f>
        <v>0</v>
      </c>
    </row>
    <row r="53" spans="1:10" x14ac:dyDescent="0.35">
      <c r="A53" s="29"/>
      <c r="B53" s="7"/>
      <c r="C53" s="8"/>
      <c r="D53" s="26"/>
      <c r="E53" s="26"/>
      <c r="F53" s="9"/>
      <c r="G53" s="13"/>
      <c r="H53" s="9"/>
      <c r="I53" s="8"/>
      <c r="J53" s="9">
        <f>J52+Table23453561213[[#This Row],[AMOUNT]]-Table23453561213[[#This Row],[AMOUNT2]]-Table23453561213[[#This Row],[AMOUNT3]]</f>
        <v>0</v>
      </c>
    </row>
    <row r="54" spans="1:10" x14ac:dyDescent="0.35">
      <c r="A54" s="29"/>
      <c r="B54" s="7"/>
      <c r="C54" s="8"/>
      <c r="D54" s="26"/>
      <c r="E54" s="26"/>
      <c r="F54" s="9"/>
      <c r="G54" s="13"/>
      <c r="H54" s="9"/>
      <c r="I54" s="8"/>
      <c r="J54" s="9">
        <f>J53+Table23453561213[[#This Row],[AMOUNT]]-Table23453561213[[#This Row],[AMOUNT2]]-Table23453561213[[#This Row],[AMOUNT3]]</f>
        <v>0</v>
      </c>
    </row>
    <row r="55" spans="1:10" x14ac:dyDescent="0.35">
      <c r="A55" s="29"/>
      <c r="B55" s="7"/>
      <c r="C55" s="8"/>
      <c r="D55" s="26"/>
      <c r="E55" s="7"/>
      <c r="F55" s="9"/>
      <c r="G55" s="13"/>
      <c r="H55" s="9"/>
      <c r="I55" s="8"/>
      <c r="J55" s="9">
        <f>J54+Table23453561213[[#This Row],[AMOUNT]]-Table23453561213[[#This Row],[AMOUNT2]]-Table23453561213[[#This Row],[AMOUNT3]]</f>
        <v>0</v>
      </c>
    </row>
    <row r="56" spans="1:10" x14ac:dyDescent="0.35">
      <c r="A56" s="29"/>
      <c r="B56" s="7"/>
      <c r="C56" s="8"/>
      <c r="D56" s="26"/>
      <c r="E56" s="26"/>
      <c r="F56" s="9"/>
      <c r="G56" s="13"/>
      <c r="H56" s="9"/>
      <c r="I56" s="8"/>
      <c r="J56" s="9">
        <f>J55+Table23453561213[[#This Row],[AMOUNT]]-Table23453561213[[#This Row],[AMOUNT2]]-Table23453561213[[#This Row],[AMOUNT3]]</f>
        <v>0</v>
      </c>
    </row>
    <row r="57" spans="1:10" x14ac:dyDescent="0.35">
      <c r="A57" s="29"/>
      <c r="B57" s="7"/>
      <c r="C57" s="8"/>
      <c r="D57" s="26"/>
      <c r="E57" s="12"/>
      <c r="F57" s="19"/>
      <c r="G57" s="13"/>
      <c r="H57" s="9"/>
      <c r="I57" s="8"/>
      <c r="J57" s="9">
        <f>J56+Table23453561213[[#This Row],[AMOUNT]]-Table23453561213[[#This Row],[AMOUNT2]]-Table23453561213[[#This Row],[AMOUNT3]]</f>
        <v>0</v>
      </c>
    </row>
    <row r="58" spans="1:10" x14ac:dyDescent="0.35">
      <c r="A58" s="29"/>
      <c r="B58" s="7"/>
      <c r="C58" s="8"/>
      <c r="D58" s="26"/>
      <c r="E58" s="12"/>
      <c r="F58" s="12"/>
      <c r="G58" s="13"/>
      <c r="H58" s="9"/>
      <c r="I58" s="8"/>
      <c r="J58" s="9">
        <f>J57+Table23453561213[[#This Row],[AMOUNT]]-Table23453561213[[#This Row],[AMOUNT2]]-Table23453561213[[#This Row],[AMOUNT3]]</f>
        <v>0</v>
      </c>
    </row>
    <row r="59" spans="1:10" x14ac:dyDescent="0.35">
      <c r="A59" s="29"/>
      <c r="B59" s="7"/>
      <c r="C59" s="8"/>
      <c r="D59" s="26"/>
      <c r="E59" s="12"/>
      <c r="F59" s="12"/>
      <c r="G59" s="13"/>
      <c r="H59" s="9"/>
      <c r="I59" s="8"/>
      <c r="J59" s="9">
        <f>J58+Table23453561213[[#This Row],[AMOUNT]]-Table23453561213[[#This Row],[AMOUNT2]]-Table23453561213[[#This Row],[AMOUNT3]]</f>
        <v>0</v>
      </c>
    </row>
    <row r="60" spans="1:10" x14ac:dyDescent="0.35">
      <c r="A60" s="29"/>
      <c r="B60" s="7"/>
      <c r="C60" s="8"/>
      <c r="D60" s="26"/>
      <c r="E60" s="7"/>
      <c r="F60" s="9"/>
      <c r="G60" s="13"/>
      <c r="H60" s="9"/>
      <c r="I60" s="8"/>
      <c r="J60" s="9">
        <f>J59+Table23453561213[[#This Row],[AMOUNT]]-Table23453561213[[#This Row],[AMOUNT2]]-Table23453561213[[#This Row],[AMOUNT3]]</f>
        <v>0</v>
      </c>
    </row>
    <row r="61" spans="1:10" x14ac:dyDescent="0.35">
      <c r="A61" s="29"/>
      <c r="B61" s="7"/>
      <c r="C61" s="8"/>
      <c r="D61" s="26"/>
      <c r="E61" s="7"/>
      <c r="F61" s="9"/>
      <c r="G61" s="13"/>
      <c r="H61" s="9"/>
      <c r="I61" s="8"/>
      <c r="J61" s="9">
        <f>J60+Table23453561213[[#This Row],[AMOUNT]]-Table23453561213[[#This Row],[AMOUNT2]]-Table23453561213[[#This Row],[AMOUNT3]]</f>
        <v>0</v>
      </c>
    </row>
    <row r="62" spans="1:10" x14ac:dyDescent="0.35">
      <c r="A62" s="29"/>
      <c r="B62" s="7"/>
      <c r="C62" s="8"/>
      <c r="D62" s="26"/>
      <c r="E62" s="7"/>
      <c r="F62" s="9"/>
      <c r="G62" s="13"/>
      <c r="H62" s="9"/>
      <c r="I62" s="8"/>
      <c r="J62" s="9">
        <f>J61+Table23453561213[[#This Row],[AMOUNT]]-Table23453561213[[#This Row],[AMOUNT2]]-Table23453561213[[#This Row],[AMOUNT3]]</f>
        <v>0</v>
      </c>
    </row>
    <row r="63" spans="1:10" x14ac:dyDescent="0.35">
      <c r="A63" s="29"/>
      <c r="B63" s="7"/>
      <c r="C63" s="8"/>
      <c r="D63" s="26"/>
      <c r="E63" s="7"/>
      <c r="F63" s="9"/>
      <c r="G63" s="13"/>
      <c r="H63" s="9"/>
      <c r="I63" s="8"/>
      <c r="J63" s="9">
        <f>J62+Table23453561213[[#This Row],[AMOUNT]]-Table23453561213[[#This Row],[AMOUNT2]]-Table23453561213[[#This Row],[AMOUNT3]]</f>
        <v>0</v>
      </c>
    </row>
    <row r="64" spans="1:10" x14ac:dyDescent="0.35">
      <c r="A64" s="29"/>
      <c r="B64" s="7"/>
      <c r="C64" s="8"/>
      <c r="D64" s="26"/>
      <c r="E64" s="7"/>
      <c r="F64" s="9"/>
      <c r="G64" s="13"/>
      <c r="H64" s="9"/>
      <c r="I64" s="8"/>
      <c r="J64" s="9">
        <f>J63+Table23453561213[[#This Row],[AMOUNT]]-Table23453561213[[#This Row],[AMOUNT2]]-Table23453561213[[#This Row],[AMOUNT3]]</f>
        <v>0</v>
      </c>
    </row>
    <row r="65" spans="1:10" x14ac:dyDescent="0.35">
      <c r="A65" s="29"/>
      <c r="B65" s="7"/>
      <c r="C65" s="8"/>
      <c r="D65" s="26"/>
      <c r="E65" s="7"/>
      <c r="F65" s="9"/>
      <c r="G65" s="13"/>
      <c r="H65" s="9"/>
      <c r="I65" s="8"/>
      <c r="J65" s="9">
        <f>J64+Table23453561213[[#This Row],[AMOUNT]]-Table23453561213[[#This Row],[AMOUNT2]]-Table23453561213[[#This Row],[AMOUNT3]]</f>
        <v>0</v>
      </c>
    </row>
    <row r="66" spans="1:10" x14ac:dyDescent="0.35">
      <c r="A66" s="29"/>
      <c r="B66" s="7"/>
      <c r="C66" s="8"/>
      <c r="D66" s="26"/>
      <c r="E66" s="7"/>
      <c r="F66" s="9"/>
      <c r="G66" s="13"/>
      <c r="H66" s="9"/>
      <c r="I66" s="8"/>
      <c r="J66" s="9">
        <f>J65+Table23453561213[[#This Row],[AMOUNT]]-Table23453561213[[#This Row],[AMOUNT2]]-Table23453561213[[#This Row],[AMOUNT3]]</f>
        <v>0</v>
      </c>
    </row>
    <row r="67" spans="1:10" x14ac:dyDescent="0.35">
      <c r="A67" s="29"/>
      <c r="B67" s="7"/>
      <c r="C67" s="8"/>
      <c r="D67" s="26"/>
      <c r="E67" s="7"/>
      <c r="F67" s="12"/>
      <c r="G67" s="13"/>
      <c r="H67" s="9"/>
      <c r="I67" s="8"/>
      <c r="J67" s="9">
        <f>J66+Table23453561213[[#This Row],[AMOUNT]]-Table23453561213[[#This Row],[AMOUNT2]]-Table23453561213[[#This Row],[AMOUNT3]]</f>
        <v>0</v>
      </c>
    </row>
    <row r="68" spans="1:10" x14ac:dyDescent="0.35">
      <c r="A68" s="29"/>
      <c r="B68" s="7"/>
      <c r="C68" s="8"/>
      <c r="D68" s="26"/>
      <c r="E68" s="26"/>
      <c r="F68" s="9"/>
      <c r="G68" s="13"/>
      <c r="H68" s="9"/>
      <c r="I68" s="8"/>
      <c r="J68" s="9">
        <f>J67+Table23453561213[[#This Row],[AMOUNT]]-Table23453561213[[#This Row],[AMOUNT2]]-Table23453561213[[#This Row],[AMOUNT3]]</f>
        <v>0</v>
      </c>
    </row>
    <row r="69" spans="1:10" x14ac:dyDescent="0.35">
      <c r="A69" s="29"/>
      <c r="B69" s="7"/>
      <c r="C69" s="8"/>
      <c r="D69" s="26"/>
      <c r="E69" s="7"/>
      <c r="F69" s="9"/>
      <c r="G69" s="13"/>
      <c r="H69" s="9"/>
      <c r="I69" s="8"/>
      <c r="J69" s="9">
        <f>J68+Table23453561213[[#This Row],[AMOUNT]]-Table23453561213[[#This Row],[AMOUNT2]]-Table23453561213[[#This Row],[AMOUNT3]]</f>
        <v>0</v>
      </c>
    </row>
    <row r="70" spans="1:10" x14ac:dyDescent="0.35">
      <c r="A70" s="29"/>
      <c r="B70" s="7"/>
      <c r="C70" s="8"/>
      <c r="D70" s="26"/>
      <c r="E70" s="7"/>
      <c r="F70" s="9"/>
      <c r="G70" s="13"/>
      <c r="H70" s="9"/>
      <c r="I70" s="8"/>
      <c r="J70" s="9">
        <f>J69+Table23453561213[[#This Row],[AMOUNT]]-Table23453561213[[#This Row],[AMOUNT2]]-Table23453561213[[#This Row],[AMOUNT3]]</f>
        <v>0</v>
      </c>
    </row>
    <row r="71" spans="1:10" x14ac:dyDescent="0.35">
      <c r="A71" s="29"/>
      <c r="B71" s="7"/>
      <c r="C71" s="8"/>
      <c r="D71" s="26"/>
      <c r="E71" s="7"/>
      <c r="F71" s="9"/>
      <c r="G71" s="13"/>
      <c r="H71" s="9"/>
      <c r="I71" s="8"/>
      <c r="J71" s="9">
        <f>J70+Table23453561213[[#This Row],[AMOUNT]]-Table23453561213[[#This Row],[AMOUNT2]]-Table23453561213[[#This Row],[AMOUNT3]]</f>
        <v>0</v>
      </c>
    </row>
    <row r="72" spans="1:10" x14ac:dyDescent="0.35">
      <c r="A72" s="29"/>
      <c r="B72" s="7"/>
      <c r="C72" s="8"/>
      <c r="D72" s="26"/>
      <c r="E72" s="7"/>
      <c r="F72" s="9"/>
      <c r="G72" s="13"/>
      <c r="H72" s="9"/>
      <c r="I72" s="8"/>
      <c r="J72" s="9">
        <f>J71+Table23453561213[[#This Row],[AMOUNT]]-Table23453561213[[#This Row],[AMOUNT2]]-Table23453561213[[#This Row],[AMOUNT3]]</f>
        <v>0</v>
      </c>
    </row>
    <row r="73" spans="1:10" x14ac:dyDescent="0.35">
      <c r="A73" s="29"/>
      <c r="B73" s="7"/>
      <c r="C73" s="8"/>
      <c r="D73" s="26"/>
      <c r="E73" s="7"/>
      <c r="F73" s="9"/>
      <c r="G73" s="13"/>
      <c r="H73" s="9"/>
      <c r="I73" s="8"/>
      <c r="J73" s="9">
        <f>J72+Table23453561213[[#This Row],[AMOUNT]]-Table23453561213[[#This Row],[AMOUNT2]]-Table23453561213[[#This Row],[AMOUNT3]]</f>
        <v>0</v>
      </c>
    </row>
    <row r="74" spans="1:10" x14ac:dyDescent="0.35">
      <c r="A74" s="29"/>
      <c r="B74" s="7"/>
      <c r="C74" s="8"/>
      <c r="D74" s="26"/>
      <c r="E74" s="7"/>
      <c r="F74" s="9"/>
      <c r="G74" s="13"/>
      <c r="H74" s="9"/>
      <c r="I74" s="8"/>
      <c r="J74" s="9">
        <f>J73+Table23453561213[[#This Row],[AMOUNT]]-Table23453561213[[#This Row],[AMOUNT2]]-Table23453561213[[#This Row],[AMOUNT3]]</f>
        <v>0</v>
      </c>
    </row>
    <row r="75" spans="1:10" x14ac:dyDescent="0.35">
      <c r="A75" s="29"/>
      <c r="B75" s="7"/>
      <c r="C75" s="8"/>
      <c r="D75" s="26"/>
      <c r="E75" s="7"/>
      <c r="F75" s="9"/>
      <c r="G75" s="13"/>
      <c r="H75" s="9"/>
      <c r="I75" s="8"/>
      <c r="J75" s="9">
        <f>J74+Table23453561213[[#This Row],[AMOUNT]]-Table23453561213[[#This Row],[AMOUNT2]]-Table23453561213[[#This Row],[AMOUNT3]]</f>
        <v>0</v>
      </c>
    </row>
    <row r="76" spans="1:10" x14ac:dyDescent="0.35">
      <c r="A76" s="29"/>
      <c r="B76" s="7"/>
      <c r="C76" s="8"/>
      <c r="D76" s="26"/>
      <c r="E76" s="7"/>
      <c r="F76" s="9"/>
      <c r="G76" s="13"/>
      <c r="H76" s="9"/>
      <c r="I76" s="8"/>
      <c r="J76" s="9">
        <f>J75+Table23453561213[[#This Row],[AMOUNT]]-Table23453561213[[#This Row],[AMOUNT2]]-Table23453561213[[#This Row],[AMOUNT3]]</f>
        <v>0</v>
      </c>
    </row>
    <row r="77" spans="1:10" x14ac:dyDescent="0.35">
      <c r="A77" s="29"/>
      <c r="B77" s="7"/>
      <c r="C77" s="8"/>
      <c r="D77" s="26"/>
      <c r="E77" s="7"/>
      <c r="F77" s="9"/>
      <c r="G77" s="13"/>
      <c r="H77" s="9"/>
      <c r="I77" s="8"/>
      <c r="J77" s="9">
        <f>J76+Table23453561213[[#This Row],[AMOUNT]]-Table23453561213[[#This Row],[AMOUNT2]]-Table23453561213[[#This Row],[AMOUNT3]]</f>
        <v>0</v>
      </c>
    </row>
    <row r="78" spans="1:10" x14ac:dyDescent="0.35">
      <c r="A78" s="29"/>
      <c r="B78" s="7"/>
      <c r="C78" s="8"/>
      <c r="D78" s="26"/>
      <c r="E78" s="26"/>
      <c r="F78" s="9"/>
      <c r="G78" s="13"/>
      <c r="H78" s="9"/>
      <c r="I78" s="8"/>
      <c r="J78" s="9">
        <f>J77+Table23453561213[[#This Row],[AMOUNT]]-Table23453561213[[#This Row],[AMOUNT2]]-Table23453561213[[#This Row],[AMOUNT3]]</f>
        <v>0</v>
      </c>
    </row>
    <row r="79" spans="1:10" x14ac:dyDescent="0.35">
      <c r="A79" s="29"/>
      <c r="B79" s="7"/>
      <c r="C79" s="8"/>
      <c r="D79" s="26"/>
      <c r="E79" s="7"/>
      <c r="F79" s="9"/>
      <c r="G79" s="13"/>
      <c r="H79" s="9"/>
      <c r="I79" s="8"/>
      <c r="J79" s="9">
        <f>J78+Table23453561213[[#This Row],[AMOUNT]]-Table23453561213[[#This Row],[AMOUNT2]]-Table23453561213[[#This Row],[AMOUNT3]]</f>
        <v>0</v>
      </c>
    </row>
    <row r="80" spans="1:10" x14ac:dyDescent="0.35">
      <c r="A80" s="29"/>
      <c r="B80" s="7"/>
      <c r="C80" s="8"/>
      <c r="D80" s="26"/>
      <c r="E80" s="7"/>
      <c r="F80" s="9"/>
      <c r="G80" s="13"/>
      <c r="H80" s="9"/>
      <c r="I80" s="8"/>
      <c r="J80" s="9">
        <f>J79+Table23453561213[[#This Row],[AMOUNT]]-Table23453561213[[#This Row],[AMOUNT2]]-Table23453561213[[#This Row],[AMOUNT3]]</f>
        <v>0</v>
      </c>
    </row>
    <row r="81" spans="1:10" x14ac:dyDescent="0.35">
      <c r="A81" s="29"/>
      <c r="B81" s="7"/>
      <c r="C81" s="8"/>
      <c r="D81" s="26"/>
      <c r="E81" s="7"/>
      <c r="F81" s="9"/>
      <c r="G81" s="13"/>
      <c r="H81" s="9"/>
      <c r="I81" s="8"/>
      <c r="J81" s="9">
        <f>J80+Table23453561213[[#This Row],[AMOUNT]]-Table23453561213[[#This Row],[AMOUNT2]]-Table23453561213[[#This Row],[AMOUNT3]]</f>
        <v>0</v>
      </c>
    </row>
    <row r="82" spans="1:10" x14ac:dyDescent="0.35">
      <c r="A82" s="29"/>
      <c r="B82" s="7"/>
      <c r="C82" s="8"/>
      <c r="D82" s="26"/>
      <c r="E82" s="7"/>
      <c r="F82" s="9"/>
      <c r="G82" s="13"/>
      <c r="H82" s="9"/>
      <c r="I82" s="8"/>
      <c r="J82" s="9">
        <f>J81+Table23453561213[[#This Row],[AMOUNT]]-Table23453561213[[#This Row],[AMOUNT2]]-Table23453561213[[#This Row],[AMOUNT3]]</f>
        <v>0</v>
      </c>
    </row>
    <row r="83" spans="1:10" x14ac:dyDescent="0.35">
      <c r="A83" s="29"/>
      <c r="B83" s="7"/>
      <c r="C83" s="8"/>
      <c r="D83" s="26"/>
      <c r="E83" s="7"/>
      <c r="F83" s="9"/>
      <c r="G83" s="13"/>
      <c r="H83" s="9"/>
      <c r="I83" s="8"/>
      <c r="J83" s="9">
        <f>J82+Table23453561213[[#This Row],[AMOUNT]]-Table23453561213[[#This Row],[AMOUNT2]]-Table23453561213[[#This Row],[AMOUNT3]]</f>
        <v>0</v>
      </c>
    </row>
    <row r="84" spans="1:10" x14ac:dyDescent="0.35">
      <c r="A84" s="29"/>
      <c r="B84" s="7"/>
      <c r="C84" s="8"/>
      <c r="D84" s="26"/>
      <c r="E84" s="7"/>
      <c r="F84" s="9"/>
      <c r="G84" s="13"/>
      <c r="H84" s="9"/>
      <c r="I84" s="13"/>
      <c r="J84" s="9">
        <f>J83+Table23453561213[[#This Row],[AMOUNT]]-Table23453561213[[#This Row],[AMOUNT2]]-Table23453561213[[#This Row],[AMOUNT3]]</f>
        <v>0</v>
      </c>
    </row>
    <row r="85" spans="1:10" x14ac:dyDescent="0.35">
      <c r="A85" s="29"/>
      <c r="B85" s="7"/>
      <c r="C85" s="8"/>
      <c r="D85" s="26"/>
      <c r="E85" s="7"/>
      <c r="F85" s="9"/>
      <c r="G85" s="13"/>
      <c r="H85" s="9"/>
      <c r="I85" s="8"/>
      <c r="J85" s="9">
        <f>J84+Table23453561213[[#This Row],[AMOUNT]]-Table23453561213[[#This Row],[AMOUNT2]]-Table23453561213[[#This Row],[AMOUNT3]]</f>
        <v>0</v>
      </c>
    </row>
    <row r="86" spans="1:10" x14ac:dyDescent="0.35">
      <c r="A86" s="29"/>
      <c r="B86" s="7"/>
      <c r="C86" s="8"/>
      <c r="D86" s="26"/>
      <c r="E86" s="7"/>
      <c r="F86" s="9"/>
      <c r="G86" s="13"/>
      <c r="H86" s="9"/>
      <c r="I86" s="8"/>
      <c r="J86" s="9">
        <f>J85+Table23453561213[[#This Row],[AMOUNT]]-Table23453561213[[#This Row],[AMOUNT2]]-Table23453561213[[#This Row],[AMOUNT3]]</f>
        <v>0</v>
      </c>
    </row>
    <row r="87" spans="1:10" x14ac:dyDescent="0.35">
      <c r="A87" s="29"/>
      <c r="B87" s="7"/>
      <c r="C87" s="8"/>
      <c r="D87" s="26"/>
      <c r="E87" s="12"/>
      <c r="F87" s="12"/>
      <c r="G87" s="13"/>
      <c r="H87" s="9"/>
      <c r="I87" s="8"/>
      <c r="J87" s="9">
        <f>J86+Table23453561213[[#This Row],[AMOUNT]]-Table23453561213[[#This Row],[AMOUNT2]]-Table23453561213[[#This Row],[AMOUNT3]]</f>
        <v>0</v>
      </c>
    </row>
    <row r="88" spans="1:10" x14ac:dyDescent="0.35">
      <c r="A88" s="29"/>
      <c r="B88" s="7"/>
      <c r="C88" s="8"/>
      <c r="D88" s="26"/>
      <c r="E88" s="7"/>
      <c r="F88" s="9"/>
      <c r="G88" s="13"/>
      <c r="H88" s="9"/>
      <c r="I88" s="8"/>
      <c r="J88" s="9">
        <f>J87+Table23453561213[[#This Row],[AMOUNT]]-Table23453561213[[#This Row],[AMOUNT2]]-Table23453561213[[#This Row],[AMOUNT3]]</f>
        <v>0</v>
      </c>
    </row>
    <row r="89" spans="1:10" x14ac:dyDescent="0.35">
      <c r="A89" s="29"/>
      <c r="B89" s="7"/>
      <c r="C89" s="8"/>
      <c r="D89" s="26"/>
      <c r="E89" s="7"/>
      <c r="F89" s="9"/>
      <c r="G89" s="13"/>
      <c r="H89" s="9"/>
      <c r="I89" s="8"/>
      <c r="J89" s="9">
        <f>J88+Table23453561213[[#This Row],[AMOUNT]]-Table23453561213[[#This Row],[AMOUNT2]]-Table23453561213[[#This Row],[AMOUNT3]]</f>
        <v>0</v>
      </c>
    </row>
    <row r="90" spans="1:10" x14ac:dyDescent="0.35">
      <c r="A90" s="29"/>
      <c r="B90" s="7"/>
      <c r="C90" s="8"/>
      <c r="D90" s="26"/>
      <c r="E90" s="7"/>
      <c r="F90" s="9"/>
      <c r="G90" s="13"/>
      <c r="H90" s="9"/>
      <c r="I90" s="8"/>
      <c r="J90" s="9">
        <f>J89+Table23453561213[[#This Row],[AMOUNT]]-Table23453561213[[#This Row],[AMOUNT2]]-Table23453561213[[#This Row],[AMOUNT3]]</f>
        <v>0</v>
      </c>
    </row>
    <row r="91" spans="1:10" x14ac:dyDescent="0.35">
      <c r="A91" s="29"/>
      <c r="B91" s="7"/>
      <c r="C91" s="8"/>
      <c r="D91" s="26"/>
      <c r="E91" s="7"/>
      <c r="F91" s="9"/>
      <c r="G91" s="13"/>
      <c r="H91" s="9"/>
      <c r="I91" s="8"/>
      <c r="J91" s="9">
        <f>J90+Table23453561213[[#This Row],[AMOUNT]]-Table23453561213[[#This Row],[AMOUNT2]]-Table23453561213[[#This Row],[AMOUNT3]]</f>
        <v>0</v>
      </c>
    </row>
    <row r="92" spans="1:10" x14ac:dyDescent="0.35">
      <c r="A92" s="29"/>
      <c r="B92" s="7"/>
      <c r="C92" s="8"/>
      <c r="D92" s="26"/>
      <c r="E92" s="26"/>
      <c r="F92" s="9"/>
      <c r="G92" s="13"/>
      <c r="H92" s="9"/>
      <c r="I92" s="8"/>
      <c r="J92" s="9">
        <f>J91+Table23453561213[[#This Row],[AMOUNT]]-Table23453561213[[#This Row],[AMOUNT2]]-Table23453561213[[#This Row],[AMOUNT3]]</f>
        <v>0</v>
      </c>
    </row>
    <row r="93" spans="1:10" x14ac:dyDescent="0.35">
      <c r="A93" s="29"/>
      <c r="B93" s="7"/>
      <c r="C93" s="8"/>
      <c r="D93" s="26"/>
      <c r="E93" s="7"/>
      <c r="F93" s="9"/>
      <c r="G93" s="13"/>
      <c r="H93" s="9"/>
      <c r="I93" s="8"/>
      <c r="J93" s="9">
        <f>J92+Table23453561213[[#This Row],[AMOUNT]]-Table23453561213[[#This Row],[AMOUNT2]]-Table23453561213[[#This Row],[AMOUNT3]]</f>
        <v>0</v>
      </c>
    </row>
    <row r="94" spans="1:10" x14ac:dyDescent="0.35">
      <c r="A94" s="29"/>
      <c r="B94" s="7"/>
      <c r="C94" s="8"/>
      <c r="D94" s="26"/>
      <c r="E94" s="7"/>
      <c r="F94" s="9"/>
      <c r="G94" s="13"/>
      <c r="H94" s="9"/>
      <c r="I94" s="8"/>
      <c r="J94" s="9">
        <f>J93+Table23453561213[[#This Row],[AMOUNT]]-Table23453561213[[#This Row],[AMOUNT2]]-Table23453561213[[#This Row],[AMOUNT3]]</f>
        <v>0</v>
      </c>
    </row>
    <row r="95" spans="1:10" x14ac:dyDescent="0.35">
      <c r="A95" s="29"/>
      <c r="B95" s="7"/>
      <c r="C95" s="8"/>
      <c r="D95" s="26"/>
      <c r="E95" s="7"/>
      <c r="F95" s="9"/>
      <c r="G95" s="13"/>
      <c r="H95" s="9"/>
      <c r="I95" s="8"/>
      <c r="J95" s="9">
        <f>J94+Table23453561213[[#This Row],[AMOUNT]]-Table23453561213[[#This Row],[AMOUNT2]]-Table23453561213[[#This Row],[AMOUNT3]]</f>
        <v>0</v>
      </c>
    </row>
    <row r="96" spans="1:10" x14ac:dyDescent="0.35">
      <c r="A96" s="29"/>
      <c r="B96" s="7"/>
      <c r="C96" s="8"/>
      <c r="D96" s="26"/>
      <c r="E96" s="7"/>
      <c r="F96" s="9"/>
      <c r="G96" s="13"/>
      <c r="H96" s="9"/>
      <c r="I96" s="8"/>
      <c r="J96" s="9">
        <f>J95+Table23453561213[[#This Row],[AMOUNT]]-Table23453561213[[#This Row],[AMOUNT2]]-Table23453561213[[#This Row],[AMOUNT3]]</f>
        <v>0</v>
      </c>
    </row>
    <row r="97" spans="1:10" x14ac:dyDescent="0.35">
      <c r="A97" s="29"/>
      <c r="B97" s="7"/>
      <c r="C97" s="8"/>
      <c r="D97" s="26"/>
      <c r="E97" s="7"/>
      <c r="F97" s="9"/>
      <c r="G97" s="13"/>
      <c r="H97" s="9"/>
      <c r="I97" s="8"/>
      <c r="J97" s="9">
        <f>J96+Table23453561213[[#This Row],[AMOUNT]]-Table23453561213[[#This Row],[AMOUNT2]]-Table23453561213[[#This Row],[AMOUNT3]]</f>
        <v>0</v>
      </c>
    </row>
    <row r="98" spans="1:10" x14ac:dyDescent="0.35">
      <c r="A98" s="29"/>
      <c r="B98" s="7"/>
      <c r="C98" s="8"/>
      <c r="D98" s="26"/>
      <c r="E98" s="7"/>
      <c r="F98" s="9"/>
      <c r="G98" s="13"/>
      <c r="H98" s="9"/>
      <c r="I98" s="8"/>
      <c r="J98" s="9">
        <f>J97+Table23453561213[[#This Row],[AMOUNT]]-Table23453561213[[#This Row],[AMOUNT2]]-Table23453561213[[#This Row],[AMOUNT3]]</f>
        <v>0</v>
      </c>
    </row>
    <row r="99" spans="1:10" x14ac:dyDescent="0.35">
      <c r="A99" s="29"/>
      <c r="B99" s="7"/>
      <c r="C99" s="8"/>
      <c r="D99" s="26"/>
      <c r="E99" s="7"/>
      <c r="F99" s="9"/>
      <c r="G99" s="13"/>
      <c r="H99" s="9"/>
      <c r="I99" s="8"/>
      <c r="J99" s="9">
        <f>J98+Table23453561213[[#This Row],[AMOUNT]]-Table23453561213[[#This Row],[AMOUNT2]]-Table23453561213[[#This Row],[AMOUNT3]]</f>
        <v>0</v>
      </c>
    </row>
    <row r="100" spans="1:10" x14ac:dyDescent="0.35">
      <c r="A100" s="29"/>
      <c r="B100" s="7"/>
      <c r="C100" s="8"/>
      <c r="D100" s="26"/>
      <c r="E100" s="26"/>
      <c r="F100" s="9"/>
      <c r="G100" s="13"/>
      <c r="H100" s="9"/>
      <c r="I100" s="8"/>
      <c r="J100" s="9">
        <f>J99+Table23453561213[[#This Row],[AMOUNT]]-Table23453561213[[#This Row],[AMOUNT2]]-Table23453561213[[#This Row],[AMOUNT3]]</f>
        <v>0</v>
      </c>
    </row>
    <row r="101" spans="1:10" x14ac:dyDescent="0.35">
      <c r="A101" s="29"/>
      <c r="B101" s="7"/>
      <c r="C101" s="8"/>
      <c r="D101" s="26"/>
      <c r="E101" s="12"/>
      <c r="F101" s="12"/>
      <c r="G101" s="13"/>
      <c r="H101" s="9"/>
      <c r="I101" s="8"/>
      <c r="J101" s="9">
        <f>J100+Table23453561213[[#This Row],[AMOUNT]]-Table23453561213[[#This Row],[AMOUNT2]]-Table23453561213[[#This Row],[AMOUNT3]]</f>
        <v>0</v>
      </c>
    </row>
    <row r="102" spans="1:10" x14ac:dyDescent="0.35">
      <c r="A102" s="29"/>
      <c r="B102" s="7"/>
      <c r="C102" s="8"/>
      <c r="D102" s="26"/>
      <c r="E102" s="12"/>
      <c r="F102" s="12"/>
      <c r="G102" s="13"/>
      <c r="H102" s="9"/>
      <c r="I102" s="8"/>
      <c r="J102" s="9">
        <f>J101+Table23453561213[[#This Row],[AMOUNT]]-Table23453561213[[#This Row],[AMOUNT2]]-Table23453561213[[#This Row],[AMOUNT3]]</f>
        <v>0</v>
      </c>
    </row>
    <row r="103" spans="1:10" x14ac:dyDescent="0.35">
      <c r="A103" s="29"/>
      <c r="B103" s="7"/>
      <c r="C103" s="8"/>
      <c r="D103" s="26"/>
      <c r="E103" s="7"/>
      <c r="F103" s="9"/>
      <c r="G103" s="13"/>
      <c r="H103" s="9"/>
      <c r="I103" s="8"/>
      <c r="J103" s="9">
        <f>J102+Table23453561213[[#This Row],[AMOUNT]]-Table23453561213[[#This Row],[AMOUNT2]]-Table23453561213[[#This Row],[AMOUNT3]]</f>
        <v>0</v>
      </c>
    </row>
    <row r="104" spans="1:10" x14ac:dyDescent="0.35">
      <c r="A104" s="29"/>
      <c r="B104" s="7"/>
      <c r="C104" s="8"/>
      <c r="D104" s="26"/>
      <c r="E104" s="7"/>
      <c r="F104" s="9"/>
      <c r="G104" s="13"/>
      <c r="H104" s="9"/>
      <c r="I104" s="8"/>
      <c r="J104" s="9">
        <f>J103+Table23453561213[[#This Row],[AMOUNT]]-Table23453561213[[#This Row],[AMOUNT2]]-Table23453561213[[#This Row],[AMOUNT3]]</f>
        <v>0</v>
      </c>
    </row>
    <row r="105" spans="1:10" x14ac:dyDescent="0.35">
      <c r="A105" s="29"/>
      <c r="B105" s="7"/>
      <c r="C105" s="8"/>
      <c r="D105" s="26"/>
      <c r="E105" s="7"/>
      <c r="F105" s="9"/>
      <c r="G105" s="13"/>
      <c r="H105" s="9"/>
      <c r="I105" s="8"/>
      <c r="J105" s="9">
        <f>J104+Table23453561213[[#This Row],[AMOUNT]]-Table23453561213[[#This Row],[AMOUNT2]]-Table23453561213[[#This Row],[AMOUNT3]]</f>
        <v>0</v>
      </c>
    </row>
    <row r="106" spans="1:10" x14ac:dyDescent="0.35">
      <c r="A106" s="29"/>
      <c r="B106" s="7"/>
      <c r="C106" s="8"/>
      <c r="D106" s="26"/>
      <c r="E106" s="7"/>
      <c r="F106" s="9"/>
      <c r="G106" s="13"/>
      <c r="H106" s="9"/>
      <c r="I106" s="8"/>
      <c r="J106" s="9">
        <f>J105+Table23453561213[[#This Row],[AMOUNT]]-Table23453561213[[#This Row],[AMOUNT2]]-Table23453561213[[#This Row],[AMOUNT3]]</f>
        <v>0</v>
      </c>
    </row>
    <row r="107" spans="1:10" x14ac:dyDescent="0.35">
      <c r="A107" s="29"/>
      <c r="B107" s="7"/>
      <c r="C107" s="8"/>
      <c r="D107" s="26"/>
      <c r="E107" s="7"/>
      <c r="F107" s="9"/>
      <c r="G107" s="13"/>
      <c r="H107" s="9"/>
      <c r="I107" s="8"/>
      <c r="J107" s="47">
        <f>J106+Table23453561213[[#This Row],[AMOUNT]]-Table23453561213[[#This Row],[AMOUNT2]]-Table23453561213[[#This Row],[AMOUNT3]]</f>
        <v>0</v>
      </c>
    </row>
    <row r="108" spans="1:10" x14ac:dyDescent="0.35">
      <c r="A108" s="29"/>
      <c r="B108" s="7"/>
      <c r="C108" s="8"/>
      <c r="D108" s="26"/>
      <c r="E108" s="7"/>
      <c r="F108" s="9"/>
      <c r="G108" s="13"/>
      <c r="H108" s="9"/>
      <c r="I108" s="8"/>
      <c r="J108" s="47">
        <f>J107+Table23453561213[[#This Row],[AMOUNT]]-Table23453561213[[#This Row],[AMOUNT2]]-Table23453561213[[#This Row],[AMOUNT3]]</f>
        <v>0</v>
      </c>
    </row>
    <row r="109" spans="1:10" x14ac:dyDescent="0.35">
      <c r="A109" s="29"/>
      <c r="B109" s="7"/>
      <c r="C109" s="8"/>
      <c r="D109" s="26"/>
      <c r="E109" s="26"/>
      <c r="F109" s="9"/>
      <c r="G109" s="13"/>
      <c r="H109" s="9"/>
      <c r="I109" s="8"/>
      <c r="J109" s="47">
        <f>J108+Table23453561213[[#This Row],[AMOUNT]]-Table23453561213[[#This Row],[AMOUNT2]]-Table23453561213[[#This Row],[AMOUNT3]]</f>
        <v>0</v>
      </c>
    </row>
    <row r="110" spans="1:10" x14ac:dyDescent="0.35">
      <c r="A110" s="29"/>
      <c r="B110" s="7"/>
      <c r="C110" s="8"/>
      <c r="D110" s="26"/>
      <c r="E110" s="12"/>
      <c r="F110" s="12"/>
      <c r="G110" s="13"/>
      <c r="H110" s="9"/>
      <c r="I110" s="8"/>
      <c r="J110" s="47">
        <f>J109+Table23453561213[[#This Row],[AMOUNT]]-Table23453561213[[#This Row],[AMOUNT2]]-Table23453561213[[#This Row],[AMOUNT3]]</f>
        <v>0</v>
      </c>
    </row>
    <row r="111" spans="1:10" x14ac:dyDescent="0.35">
      <c r="A111" s="29"/>
      <c r="B111" s="7"/>
      <c r="C111" s="8"/>
      <c r="D111" s="26"/>
      <c r="E111" s="12"/>
      <c r="F111" s="9"/>
      <c r="G111" s="13"/>
      <c r="H111" s="9"/>
      <c r="I111" s="8"/>
      <c r="J111" s="47">
        <f>J110+Table23453561213[[#This Row],[AMOUNT]]-Table23453561213[[#This Row],[AMOUNT2]]-Table23453561213[[#This Row],[AMOUNT3]]</f>
        <v>0</v>
      </c>
    </row>
    <row r="112" spans="1:10" x14ac:dyDescent="0.35">
      <c r="A112" s="29"/>
      <c r="B112" s="7"/>
      <c r="C112" s="8"/>
      <c r="D112" s="26"/>
      <c r="E112" s="7"/>
      <c r="F112" s="9"/>
      <c r="G112" s="13"/>
      <c r="H112" s="9"/>
      <c r="I112" s="8"/>
      <c r="J112" s="47">
        <f>J111+Table23453561213[[#This Row],[AMOUNT]]-Table23453561213[[#This Row],[AMOUNT2]]-Table23453561213[[#This Row],[AMOUNT3]]</f>
        <v>0</v>
      </c>
    </row>
    <row r="113" spans="1:10" x14ac:dyDescent="0.35">
      <c r="A113" s="29"/>
      <c r="B113" s="7"/>
      <c r="C113" s="8"/>
      <c r="D113" s="26"/>
      <c r="E113" s="7"/>
      <c r="F113" s="9"/>
      <c r="G113" s="13"/>
      <c r="H113" s="9"/>
      <c r="I113" s="8"/>
      <c r="J113" s="47">
        <f>J112+Table23453561213[[#This Row],[AMOUNT]]-Table23453561213[[#This Row],[AMOUNT2]]-Table23453561213[[#This Row],[AMOUNT3]]</f>
        <v>0</v>
      </c>
    </row>
    <row r="114" spans="1:10" x14ac:dyDescent="0.35">
      <c r="A114" s="29"/>
      <c r="B114" s="7"/>
      <c r="C114" s="8"/>
      <c r="D114" s="26"/>
      <c r="E114" s="7"/>
      <c r="F114" s="9"/>
      <c r="G114" s="13"/>
      <c r="H114" s="9"/>
      <c r="I114" s="8"/>
      <c r="J114" s="47">
        <f>J113+Table23453561213[[#This Row],[AMOUNT]]-Table23453561213[[#This Row],[AMOUNT2]]-Table23453561213[[#This Row],[AMOUNT3]]</f>
        <v>0</v>
      </c>
    </row>
    <row r="115" spans="1:10" x14ac:dyDescent="0.35">
      <c r="A115" s="29"/>
      <c r="B115" s="7"/>
      <c r="C115" s="8"/>
      <c r="D115" s="26"/>
      <c r="E115" s="7"/>
      <c r="F115" s="9"/>
      <c r="G115" s="13"/>
      <c r="H115" s="9"/>
      <c r="I115" s="8"/>
      <c r="J115" s="47">
        <f>J114+Table23453561213[[#This Row],[AMOUNT]]-Table23453561213[[#This Row],[AMOUNT2]]-Table23453561213[[#This Row],[AMOUNT3]]</f>
        <v>0</v>
      </c>
    </row>
    <row r="116" spans="1:10" x14ac:dyDescent="0.35">
      <c r="A116" s="29"/>
      <c r="B116" s="7"/>
      <c r="C116" s="8"/>
      <c r="D116" s="7"/>
      <c r="E116" s="7"/>
      <c r="F116" s="9"/>
      <c r="G116" s="13"/>
      <c r="H116" s="9"/>
      <c r="I116" s="8"/>
      <c r="J116" s="47">
        <f>J115+Table23453561213[[#This Row],[AMOUNT]]-Table23453561213[[#This Row],[AMOUNT2]]-Table23453561213[[#This Row],[AMOUNT3]]</f>
        <v>0</v>
      </c>
    </row>
    <row r="117" spans="1:10" x14ac:dyDescent="0.35">
      <c r="A117" s="29"/>
      <c r="B117" s="7"/>
      <c r="C117" s="8"/>
      <c r="D117" s="7"/>
      <c r="E117" s="7"/>
      <c r="F117" s="9"/>
      <c r="G117" s="13"/>
      <c r="H117" s="9"/>
      <c r="I117" s="8"/>
      <c r="J117" s="47">
        <f>J116+Table23453561213[[#This Row],[AMOUNT]]-Table23453561213[[#This Row],[AMOUNT2]]-Table23453561213[[#This Row],[AMOUNT3]]</f>
        <v>0</v>
      </c>
    </row>
    <row r="118" spans="1:10" x14ac:dyDescent="0.35">
      <c r="A118" s="29"/>
      <c r="B118" s="7"/>
      <c r="C118" s="8"/>
      <c r="D118" s="7"/>
      <c r="E118" s="12"/>
      <c r="F118" s="12"/>
      <c r="G118" s="13"/>
      <c r="H118" s="9"/>
      <c r="I118" s="8"/>
      <c r="J118" s="47">
        <f>J117+Table23453561213[[#This Row],[AMOUNT]]-Table23453561213[[#This Row],[AMOUNT2]]-Table23453561213[[#This Row],[AMOUNT3]]</f>
        <v>0</v>
      </c>
    </row>
    <row r="119" spans="1:10" x14ac:dyDescent="0.35">
      <c r="A119" s="29"/>
      <c r="B119" s="7"/>
      <c r="C119" s="8"/>
      <c r="D119" s="7"/>
      <c r="E119" s="7"/>
      <c r="F119" s="9"/>
      <c r="G119" s="13"/>
      <c r="H119" s="9"/>
      <c r="I119" s="8"/>
      <c r="J119" s="47">
        <f>J118+Table23453561213[[#This Row],[AMOUNT]]-Table23453561213[[#This Row],[AMOUNT2]]-Table23453561213[[#This Row],[AMOUNT3]]</f>
        <v>0</v>
      </c>
    </row>
    <row r="120" spans="1:10" x14ac:dyDescent="0.35">
      <c r="A120" s="29"/>
      <c r="B120" s="7"/>
      <c r="C120" s="8"/>
      <c r="D120" s="7"/>
      <c r="E120" s="7"/>
      <c r="F120" s="9"/>
      <c r="G120" s="13"/>
      <c r="H120" s="9"/>
      <c r="I120" s="8"/>
      <c r="J120" s="47">
        <f>J119+Table23453561213[[#This Row],[AMOUNT]]-Table23453561213[[#This Row],[AMOUNT2]]-Table23453561213[[#This Row],[AMOUNT3]]</f>
        <v>0</v>
      </c>
    </row>
    <row r="121" spans="1:10" x14ac:dyDescent="0.35">
      <c r="A121" s="29"/>
      <c r="B121" s="7"/>
      <c r="C121" s="8"/>
      <c r="D121" s="7"/>
      <c r="E121" s="7"/>
      <c r="F121" s="9"/>
      <c r="G121" s="13"/>
      <c r="H121" s="9"/>
      <c r="I121" s="8"/>
      <c r="J121" s="47">
        <f>J120+Table23453561213[[#This Row],[AMOUNT]]-Table23453561213[[#This Row],[AMOUNT2]]-Table23453561213[[#This Row],[AMOUNT3]]</f>
        <v>0</v>
      </c>
    </row>
    <row r="122" spans="1:10" x14ac:dyDescent="0.35">
      <c r="A122" s="29"/>
      <c r="B122" s="7"/>
      <c r="C122" s="8"/>
      <c r="D122" s="7"/>
      <c r="E122" s="7"/>
      <c r="F122" s="9"/>
      <c r="G122" s="13"/>
      <c r="H122" s="9"/>
      <c r="I122" s="8"/>
      <c r="J122" s="47">
        <f>J121+Table23453561213[[#This Row],[AMOUNT]]-Table23453561213[[#This Row],[AMOUNT2]]-Table23453561213[[#This Row],[AMOUNT3]]</f>
        <v>0</v>
      </c>
    </row>
    <row r="123" spans="1:10" x14ac:dyDescent="0.35">
      <c r="A123" s="29"/>
      <c r="B123" s="7"/>
      <c r="C123" s="8"/>
      <c r="D123" s="7"/>
      <c r="E123" s="7"/>
      <c r="F123" s="9"/>
      <c r="G123" s="13"/>
      <c r="H123" s="9"/>
      <c r="I123" s="8"/>
      <c r="J123" s="47">
        <f>J122+Table23453561213[[#This Row],[AMOUNT]]-Table23453561213[[#This Row],[AMOUNT2]]-Table23453561213[[#This Row],[AMOUNT3]]</f>
        <v>0</v>
      </c>
    </row>
    <row r="124" spans="1:10" x14ac:dyDescent="0.35">
      <c r="A124" s="29"/>
      <c r="B124" s="7"/>
      <c r="C124" s="8"/>
      <c r="D124" s="7"/>
      <c r="E124" s="7"/>
      <c r="F124" s="9"/>
      <c r="G124" s="13"/>
      <c r="H124" s="9"/>
      <c r="I124" s="8"/>
      <c r="J124" s="47">
        <f>J123+Table23453561213[[#This Row],[AMOUNT]]-Table23453561213[[#This Row],[AMOUNT2]]-Table23453561213[[#This Row],[AMOUNT3]]</f>
        <v>0</v>
      </c>
    </row>
    <row r="125" spans="1:10" x14ac:dyDescent="0.35">
      <c r="A125" s="29"/>
      <c r="B125" s="7"/>
      <c r="C125" s="8"/>
      <c r="D125" s="7"/>
      <c r="E125" s="7"/>
      <c r="F125" s="9"/>
      <c r="G125" s="13"/>
      <c r="H125" s="9"/>
      <c r="I125" s="8"/>
      <c r="J125" s="47">
        <f>J124+Table23453561213[[#This Row],[AMOUNT]]-Table23453561213[[#This Row],[AMOUNT2]]-Table23453561213[[#This Row],[AMOUNT3]]</f>
        <v>0</v>
      </c>
    </row>
    <row r="126" spans="1:10" x14ac:dyDescent="0.35">
      <c r="A126" s="29"/>
      <c r="B126" s="7"/>
      <c r="C126" s="8"/>
      <c r="D126" s="7"/>
      <c r="E126" s="7"/>
      <c r="F126" s="9"/>
      <c r="G126" s="13"/>
      <c r="H126" s="9"/>
      <c r="I126" s="8"/>
      <c r="J126" s="47">
        <f>J125+Table23453561213[[#This Row],[AMOUNT]]-Table23453561213[[#This Row],[AMOUNT2]]-Table23453561213[[#This Row],[AMOUNT3]]</f>
        <v>0</v>
      </c>
    </row>
    <row r="127" spans="1:10" x14ac:dyDescent="0.35">
      <c r="A127" s="29"/>
      <c r="B127" s="7"/>
      <c r="C127" s="8"/>
      <c r="D127" s="7"/>
      <c r="E127" s="7"/>
      <c r="F127" s="9"/>
      <c r="G127" s="13"/>
      <c r="H127" s="9"/>
      <c r="I127" s="8"/>
      <c r="J127" s="47">
        <f>J126+Table23453561213[[#This Row],[AMOUNT]]-Table23453561213[[#This Row],[AMOUNT2]]-Table23453561213[[#This Row],[AMOUNT3]]</f>
        <v>0</v>
      </c>
    </row>
    <row r="128" spans="1:10" x14ac:dyDescent="0.35">
      <c r="A128" s="29"/>
      <c r="B128" s="7"/>
      <c r="C128" s="8"/>
      <c r="D128" s="7"/>
      <c r="E128" s="7"/>
      <c r="F128" s="9"/>
      <c r="G128" s="13"/>
      <c r="H128" s="9"/>
      <c r="I128" s="8"/>
      <c r="J128" s="47">
        <f>J127+Table23453561213[[#This Row],[AMOUNT]]-Table23453561213[[#This Row],[AMOUNT2]]-Table23453561213[[#This Row],[AMOUNT3]]</f>
        <v>0</v>
      </c>
    </row>
    <row r="129" spans="1:10" x14ac:dyDescent="0.35">
      <c r="A129" s="29"/>
      <c r="B129" s="7"/>
      <c r="C129" s="8"/>
      <c r="D129" s="7"/>
      <c r="E129" s="7"/>
      <c r="F129" s="9"/>
      <c r="G129" s="13"/>
      <c r="H129" s="9"/>
      <c r="I129" s="8"/>
      <c r="J129" s="47">
        <f>J128+Table23453561213[[#This Row],[AMOUNT]]-Table23453561213[[#This Row],[AMOUNT2]]-Table23453561213[[#This Row],[AMOUNT3]]</f>
        <v>0</v>
      </c>
    </row>
    <row r="130" spans="1:10" x14ac:dyDescent="0.35">
      <c r="A130" s="29"/>
      <c r="B130" s="7"/>
      <c r="C130" s="8"/>
      <c r="D130" s="7"/>
      <c r="E130" s="7"/>
      <c r="F130" s="9"/>
      <c r="G130" s="13"/>
      <c r="H130" s="9"/>
      <c r="I130" s="8"/>
      <c r="J130" s="47">
        <f>J129+Table23453561213[[#This Row],[AMOUNT]]-Table23453561213[[#This Row],[AMOUNT2]]-Table23453561213[[#This Row],[AMOUNT3]]</f>
        <v>0</v>
      </c>
    </row>
    <row r="131" spans="1:10" x14ac:dyDescent="0.35">
      <c r="A131" s="29"/>
      <c r="B131" s="7"/>
      <c r="C131" s="8"/>
      <c r="D131" s="7"/>
      <c r="E131" s="7"/>
      <c r="F131" s="9"/>
      <c r="G131" s="13"/>
      <c r="H131" s="9"/>
      <c r="I131" s="8"/>
      <c r="J131" s="47">
        <f>J130+Table23453561213[[#This Row],[AMOUNT]]-Table23453561213[[#This Row],[AMOUNT2]]-Table23453561213[[#This Row],[AMOUNT3]]</f>
        <v>0</v>
      </c>
    </row>
    <row r="132" spans="1:10" x14ac:dyDescent="0.35">
      <c r="A132" s="29"/>
      <c r="B132" s="7"/>
      <c r="C132" s="8"/>
      <c r="D132" s="7"/>
      <c r="E132" s="7"/>
      <c r="F132" s="9"/>
      <c r="G132" s="13"/>
      <c r="H132" s="9"/>
      <c r="I132" s="8"/>
      <c r="J132" s="47">
        <f>J131+Table23453561213[[#This Row],[AMOUNT]]-Table23453561213[[#This Row],[AMOUNT2]]-Table23453561213[[#This Row],[AMOUNT3]]</f>
        <v>0</v>
      </c>
    </row>
    <row r="133" spans="1:10" x14ac:dyDescent="0.35">
      <c r="A133" s="29"/>
      <c r="B133" s="7"/>
      <c r="C133" s="8"/>
      <c r="D133" s="7"/>
      <c r="E133" s="7"/>
      <c r="F133" s="9"/>
      <c r="G133" s="13"/>
      <c r="H133" s="9"/>
      <c r="I133" s="8"/>
      <c r="J133" s="47">
        <f>J132+Table23453561213[[#This Row],[AMOUNT]]-Table23453561213[[#This Row],[AMOUNT2]]-Table23453561213[[#This Row],[AMOUNT3]]</f>
        <v>0</v>
      </c>
    </row>
    <row r="134" spans="1:10" x14ac:dyDescent="0.35">
      <c r="A134" s="29"/>
      <c r="B134" s="7"/>
      <c r="C134" s="8"/>
      <c r="D134" s="7"/>
      <c r="E134" s="7"/>
      <c r="F134" s="9"/>
      <c r="G134" s="13"/>
      <c r="H134" s="9"/>
      <c r="I134" s="8"/>
      <c r="J134" s="47">
        <f>J133+Table23453561213[[#This Row],[AMOUNT]]-Table23453561213[[#This Row],[AMOUNT2]]-Table23453561213[[#This Row],[AMOUNT3]]</f>
        <v>0</v>
      </c>
    </row>
    <row r="135" spans="1:10" x14ac:dyDescent="0.35">
      <c r="A135" s="29"/>
      <c r="B135" s="7"/>
      <c r="C135" s="8"/>
      <c r="D135" s="7"/>
      <c r="E135" s="7"/>
      <c r="F135" s="9"/>
      <c r="G135" s="13"/>
      <c r="H135" s="9"/>
      <c r="I135" s="8"/>
      <c r="J135" s="47">
        <f>J134+Table23453561213[[#This Row],[AMOUNT]]-Table23453561213[[#This Row],[AMOUNT2]]-Table23453561213[[#This Row],[AMOUNT3]]</f>
        <v>0</v>
      </c>
    </row>
    <row r="136" spans="1:10" x14ac:dyDescent="0.35">
      <c r="A136" s="29"/>
      <c r="B136" s="7"/>
      <c r="C136" s="8"/>
      <c r="D136" s="7"/>
      <c r="E136" s="7"/>
      <c r="F136" s="9"/>
      <c r="G136" s="13"/>
      <c r="H136" s="9"/>
      <c r="I136" s="8"/>
      <c r="J136" s="47">
        <f>J135+Table23453561213[[#This Row],[AMOUNT]]-Table23453561213[[#This Row],[AMOUNT2]]-Table23453561213[[#This Row],[AMOUNT3]]</f>
        <v>0</v>
      </c>
    </row>
    <row r="137" spans="1:10" x14ac:dyDescent="0.35">
      <c r="A137" s="29"/>
      <c r="B137" s="7"/>
      <c r="C137" s="8"/>
      <c r="D137" s="7"/>
      <c r="E137" s="7"/>
      <c r="F137" s="9"/>
      <c r="G137" s="13"/>
      <c r="H137" s="9"/>
      <c r="I137" s="8"/>
      <c r="J137" s="47">
        <f>J136+Table23453561213[[#This Row],[AMOUNT]]-Table23453561213[[#This Row],[AMOUNT2]]-Table23453561213[[#This Row],[AMOUNT3]]</f>
        <v>0</v>
      </c>
    </row>
    <row r="138" spans="1:10" x14ac:dyDescent="0.35">
      <c r="A138" s="29"/>
      <c r="B138" s="7"/>
      <c r="C138" s="8"/>
      <c r="D138" s="7"/>
      <c r="E138" s="7"/>
      <c r="F138" s="9"/>
      <c r="G138" s="13"/>
      <c r="H138" s="9"/>
      <c r="I138" s="8"/>
      <c r="J138" s="47">
        <f>J137+Table23453561213[[#This Row],[AMOUNT]]-Table23453561213[[#This Row],[AMOUNT2]]-Table23453561213[[#This Row],[AMOUNT3]]</f>
        <v>0</v>
      </c>
    </row>
    <row r="139" spans="1:10" x14ac:dyDescent="0.35">
      <c r="A139" s="29"/>
      <c r="B139" s="7"/>
      <c r="C139" s="8"/>
      <c r="D139" s="7"/>
      <c r="E139" s="7"/>
      <c r="F139" s="9"/>
      <c r="G139" s="13"/>
      <c r="H139" s="9"/>
      <c r="I139" s="8"/>
      <c r="J139" s="47">
        <f>J138+Table23453561213[[#This Row],[AMOUNT]]-Table23453561213[[#This Row],[AMOUNT2]]-Table23453561213[[#This Row],[AMOUNT3]]</f>
        <v>0</v>
      </c>
    </row>
    <row r="140" spans="1:10" x14ac:dyDescent="0.35">
      <c r="A140" s="29"/>
      <c r="B140" s="7"/>
      <c r="C140" s="8"/>
      <c r="D140" s="7"/>
      <c r="E140" s="7"/>
      <c r="F140" s="9"/>
      <c r="G140" s="13"/>
      <c r="H140" s="9"/>
      <c r="I140" s="8"/>
      <c r="J140" s="47">
        <f>J139+Table23453561213[[#This Row],[AMOUNT]]-Table23453561213[[#This Row],[AMOUNT2]]-Table23453561213[[#This Row],[AMOUNT3]]</f>
        <v>0</v>
      </c>
    </row>
    <row r="141" spans="1:10" x14ac:dyDescent="0.35">
      <c r="A141" s="29"/>
      <c r="B141" s="7"/>
      <c r="C141" s="8"/>
      <c r="D141" s="7"/>
      <c r="E141" s="7"/>
      <c r="F141" s="9"/>
      <c r="G141" s="13"/>
      <c r="H141" s="9"/>
      <c r="I141" s="8"/>
      <c r="J141" s="47">
        <f>J140+Table23453561213[[#This Row],[AMOUNT]]-Table23453561213[[#This Row],[AMOUNT2]]-Table23453561213[[#This Row],[AMOUNT3]]</f>
        <v>0</v>
      </c>
    </row>
    <row r="142" spans="1:10" x14ac:dyDescent="0.35">
      <c r="A142" s="29"/>
      <c r="B142" s="7"/>
      <c r="C142" s="8"/>
      <c r="D142" s="7"/>
      <c r="E142" s="7"/>
      <c r="F142" s="9"/>
      <c r="G142" s="13"/>
      <c r="H142" s="9"/>
      <c r="I142" s="8"/>
      <c r="J142" s="47">
        <f>J141+Table23453561213[[#This Row],[AMOUNT]]-Table23453561213[[#This Row],[AMOUNT2]]-Table23453561213[[#This Row],[AMOUNT3]]</f>
        <v>0</v>
      </c>
    </row>
    <row r="143" spans="1:10" x14ac:dyDescent="0.35">
      <c r="A143" s="29"/>
      <c r="B143" s="7"/>
      <c r="C143" s="8"/>
      <c r="D143" s="7"/>
      <c r="E143" s="7"/>
      <c r="F143" s="9"/>
      <c r="G143" s="13"/>
      <c r="H143" s="9"/>
      <c r="I143" s="8"/>
      <c r="J143" s="47">
        <f>J142+Table23453561213[[#This Row],[AMOUNT]]-Table23453561213[[#This Row],[AMOUNT2]]-Table23453561213[[#This Row],[AMOUNT3]]</f>
        <v>0</v>
      </c>
    </row>
    <row r="144" spans="1:10" x14ac:dyDescent="0.35">
      <c r="A144" s="29"/>
      <c r="B144" s="7"/>
      <c r="C144" s="8"/>
      <c r="D144" s="7"/>
      <c r="E144" s="7"/>
      <c r="F144" s="9"/>
      <c r="G144" s="13"/>
      <c r="H144" s="9"/>
      <c r="I144" s="8"/>
      <c r="J144" s="47">
        <f>J143+Table23453561213[[#This Row],[AMOUNT]]-Table23453561213[[#This Row],[AMOUNT2]]-Table23453561213[[#This Row],[AMOUNT3]]</f>
        <v>0</v>
      </c>
    </row>
    <row r="145" spans="1:10" x14ac:dyDescent="0.35">
      <c r="A145" s="29"/>
      <c r="B145" s="7"/>
      <c r="C145" s="8"/>
      <c r="D145" s="7"/>
      <c r="E145" s="7"/>
      <c r="F145" s="9"/>
      <c r="G145" s="13"/>
      <c r="H145" s="9"/>
      <c r="I145" s="8"/>
      <c r="J145" s="47">
        <f>J144+Table23453561213[[#This Row],[AMOUNT]]-Table23453561213[[#This Row],[AMOUNT2]]-Table23453561213[[#This Row],[AMOUNT3]]</f>
        <v>0</v>
      </c>
    </row>
    <row r="146" spans="1:10" x14ac:dyDescent="0.35">
      <c r="A146" s="29"/>
      <c r="B146" s="7"/>
      <c r="C146" s="8"/>
      <c r="D146" s="7"/>
      <c r="E146" s="7"/>
      <c r="F146" s="9"/>
      <c r="G146" s="13"/>
      <c r="H146" s="9"/>
      <c r="I146" s="8"/>
      <c r="J146" s="47">
        <f>J145+Table23453561213[[#This Row],[AMOUNT]]-Table23453561213[[#This Row],[AMOUNT2]]-Table23453561213[[#This Row],[AMOUNT3]]</f>
        <v>0</v>
      </c>
    </row>
    <row r="147" spans="1:10" x14ac:dyDescent="0.35">
      <c r="A147" s="29"/>
      <c r="B147" s="7"/>
      <c r="C147" s="8"/>
      <c r="D147" s="7"/>
      <c r="E147" s="7"/>
      <c r="F147" s="9"/>
      <c r="G147" s="13"/>
      <c r="H147" s="9"/>
      <c r="I147" s="8"/>
      <c r="J147" s="47">
        <f>J146+Table23453561213[[#This Row],[AMOUNT]]-Table23453561213[[#This Row],[AMOUNT2]]-Table23453561213[[#This Row],[AMOUNT3]]</f>
        <v>0</v>
      </c>
    </row>
    <row r="148" spans="1:10" x14ac:dyDescent="0.35">
      <c r="A148" s="29"/>
      <c r="B148" s="7"/>
      <c r="C148" s="8"/>
      <c r="D148" s="7"/>
      <c r="E148" s="7"/>
      <c r="F148" s="9"/>
      <c r="G148" s="13"/>
      <c r="H148" s="9"/>
      <c r="I148" s="8"/>
      <c r="J148" s="47">
        <f>J147+Table23453561213[[#This Row],[AMOUNT]]-Table23453561213[[#This Row],[AMOUNT2]]-Table23453561213[[#This Row],[AMOUNT3]]</f>
        <v>0</v>
      </c>
    </row>
    <row r="149" spans="1:10" x14ac:dyDescent="0.35">
      <c r="A149" s="29"/>
      <c r="B149" s="7"/>
      <c r="C149" s="8"/>
      <c r="D149" s="7"/>
      <c r="E149" s="7"/>
      <c r="F149" s="9"/>
      <c r="G149" s="13"/>
      <c r="H149" s="9"/>
      <c r="I149" s="8"/>
      <c r="J149" s="47">
        <f>J148+Table23453561213[[#This Row],[AMOUNT]]-Table23453561213[[#This Row],[AMOUNT2]]-Table23453561213[[#This Row],[AMOUNT3]]</f>
        <v>0</v>
      </c>
    </row>
    <row r="150" spans="1:10" x14ac:dyDescent="0.35">
      <c r="A150" s="29"/>
      <c r="B150" s="7"/>
      <c r="C150" s="8"/>
      <c r="D150" s="7"/>
      <c r="E150" s="7"/>
      <c r="F150" s="9"/>
      <c r="G150" s="13"/>
      <c r="H150" s="9"/>
      <c r="I150" s="8"/>
      <c r="J150" s="47">
        <f>J149+Table23453561213[[#This Row],[AMOUNT]]-Table23453561213[[#This Row],[AMOUNT2]]-Table23453561213[[#This Row],[AMOUNT3]]</f>
        <v>0</v>
      </c>
    </row>
    <row r="151" spans="1:10" x14ac:dyDescent="0.35">
      <c r="A151" s="29"/>
      <c r="B151" s="7"/>
      <c r="C151" s="8"/>
      <c r="D151" s="7"/>
      <c r="E151" s="7"/>
      <c r="F151" s="9"/>
      <c r="G151" s="13"/>
      <c r="H151" s="9"/>
      <c r="I151" s="8"/>
      <c r="J151" s="47">
        <f>J150+Table23453561213[[#This Row],[AMOUNT]]-Table23453561213[[#This Row],[AMOUNT2]]-Table23453561213[[#This Row],[AMOUNT3]]</f>
        <v>0</v>
      </c>
    </row>
    <row r="152" spans="1:10" x14ac:dyDescent="0.35">
      <c r="A152" s="29"/>
      <c r="B152" s="7"/>
      <c r="C152" s="8"/>
      <c r="D152" s="7"/>
      <c r="E152" s="7"/>
      <c r="F152" s="9"/>
      <c r="G152" s="13"/>
      <c r="H152" s="9"/>
      <c r="I152" s="8"/>
      <c r="J152" s="47">
        <f>J151+Table23453561213[[#This Row],[AMOUNT]]-Table23453561213[[#This Row],[AMOUNT2]]-Table23453561213[[#This Row],[AMOUNT3]]</f>
        <v>0</v>
      </c>
    </row>
    <row r="153" spans="1:10" x14ac:dyDescent="0.35">
      <c r="A153" s="29"/>
      <c r="B153" s="7"/>
      <c r="C153" s="8"/>
      <c r="D153" s="7"/>
      <c r="E153" s="7"/>
      <c r="F153" s="9"/>
      <c r="G153" s="13"/>
      <c r="H153" s="9"/>
      <c r="I153" s="8"/>
      <c r="J153" s="47">
        <f>J152+Table23453561213[[#This Row],[AMOUNT]]-Table23453561213[[#This Row],[AMOUNT2]]-Table23453561213[[#This Row],[AMOUNT3]]</f>
        <v>0</v>
      </c>
    </row>
    <row r="154" spans="1:10" x14ac:dyDescent="0.35">
      <c r="A154" s="29"/>
      <c r="B154" s="7"/>
      <c r="C154" s="8"/>
      <c r="D154" s="7"/>
      <c r="E154" s="7"/>
      <c r="F154" s="9"/>
      <c r="G154" s="13"/>
      <c r="H154" s="9"/>
      <c r="I154" s="8"/>
      <c r="J154" s="47">
        <f>J153+Table23453561213[[#This Row],[AMOUNT]]-Table23453561213[[#This Row],[AMOUNT2]]-Table23453561213[[#This Row],[AMOUNT3]]</f>
        <v>0</v>
      </c>
    </row>
    <row r="155" spans="1:10" x14ac:dyDescent="0.35">
      <c r="A155" s="29"/>
      <c r="B155" s="7"/>
      <c r="C155" s="8"/>
      <c r="D155" s="7"/>
      <c r="E155" s="7"/>
      <c r="F155" s="9"/>
      <c r="G155" s="13"/>
      <c r="H155" s="9"/>
      <c r="I155" s="8"/>
      <c r="J155" s="47">
        <f>J154+Table23453561213[[#This Row],[AMOUNT]]-Table23453561213[[#This Row],[AMOUNT2]]-Table23453561213[[#This Row],[AMOUNT3]]</f>
        <v>0</v>
      </c>
    </row>
    <row r="156" spans="1:10" x14ac:dyDescent="0.35">
      <c r="A156" s="29"/>
      <c r="B156" s="7"/>
      <c r="C156" s="8"/>
      <c r="D156" s="7"/>
      <c r="E156" s="7"/>
      <c r="F156" s="9"/>
      <c r="G156" s="13"/>
      <c r="H156" s="9"/>
      <c r="I156" s="8"/>
      <c r="J156" s="47">
        <f>J155+Table23453561213[[#This Row],[AMOUNT]]-Table23453561213[[#This Row],[AMOUNT2]]-Table23453561213[[#This Row],[AMOUNT3]]</f>
        <v>0</v>
      </c>
    </row>
    <row r="157" spans="1:10" x14ac:dyDescent="0.35">
      <c r="A157" s="29"/>
      <c r="B157" s="7"/>
      <c r="C157" s="8"/>
      <c r="D157" s="7"/>
      <c r="E157" s="7"/>
      <c r="F157" s="9"/>
      <c r="G157" s="13"/>
      <c r="H157" s="9"/>
      <c r="I157" s="8"/>
      <c r="J157" s="47">
        <f>J156+Table23453561213[[#This Row],[AMOUNT]]-Table23453561213[[#This Row],[AMOUNT2]]-Table23453561213[[#This Row],[AMOUNT3]]</f>
        <v>0</v>
      </c>
    </row>
    <row r="158" spans="1:10" x14ac:dyDescent="0.35">
      <c r="A158" s="29"/>
      <c r="B158" s="7"/>
      <c r="C158" s="8"/>
      <c r="D158" s="7"/>
      <c r="E158" s="7"/>
      <c r="F158" s="9"/>
      <c r="G158" s="13"/>
      <c r="H158" s="9"/>
      <c r="I158" s="8"/>
      <c r="J158" s="47">
        <f>J157+Table23453561213[[#This Row],[AMOUNT]]-Table23453561213[[#This Row],[AMOUNT2]]-Table23453561213[[#This Row],[AMOUNT3]]</f>
        <v>0</v>
      </c>
    </row>
    <row r="159" spans="1:10" x14ac:dyDescent="0.35">
      <c r="A159" s="29"/>
      <c r="B159" s="7"/>
      <c r="C159" s="8"/>
      <c r="D159" s="7"/>
      <c r="E159" s="7"/>
      <c r="F159" s="9"/>
      <c r="G159" s="13"/>
      <c r="H159" s="9"/>
      <c r="I159" s="8"/>
      <c r="J159" s="47">
        <f>J158+Table23453561213[[#This Row],[AMOUNT]]-Table23453561213[[#This Row],[AMOUNT2]]-Table23453561213[[#This Row],[AMOUNT3]]</f>
        <v>0</v>
      </c>
    </row>
    <row r="160" spans="1:10" x14ac:dyDescent="0.35">
      <c r="A160" s="29"/>
      <c r="B160" s="7"/>
      <c r="C160" s="8"/>
      <c r="D160" s="7"/>
      <c r="E160" s="26"/>
      <c r="F160" s="9"/>
      <c r="G160" s="13"/>
      <c r="H160" s="9"/>
      <c r="I160" s="8"/>
      <c r="J160" s="47">
        <f>J159+Table23453561213[[#This Row],[AMOUNT]]-Table23453561213[[#This Row],[AMOUNT2]]-Table23453561213[[#This Row],[AMOUNT3]]</f>
        <v>0</v>
      </c>
    </row>
    <row r="161" spans="1:10" x14ac:dyDescent="0.35">
      <c r="A161" s="29"/>
      <c r="B161" s="7"/>
      <c r="C161" s="8"/>
      <c r="D161" s="7"/>
      <c r="E161" s="7"/>
      <c r="F161" s="9"/>
      <c r="G161" s="13"/>
      <c r="H161" s="9"/>
      <c r="I161" s="8"/>
      <c r="J161" s="47">
        <f>J160+Table23453561213[[#This Row],[AMOUNT]]-Table23453561213[[#This Row],[AMOUNT2]]-Table23453561213[[#This Row],[AMOUNT3]]</f>
        <v>0</v>
      </c>
    </row>
    <row r="162" spans="1:10" x14ac:dyDescent="0.35">
      <c r="A162" s="29"/>
      <c r="B162" s="7"/>
      <c r="C162" s="8"/>
      <c r="D162" s="7"/>
      <c r="E162" s="26"/>
      <c r="F162" s="9"/>
      <c r="G162" s="13"/>
      <c r="H162" s="9"/>
      <c r="I162" s="8"/>
      <c r="J162" s="47">
        <f>J161+Table23453561213[[#This Row],[AMOUNT]]-Table23453561213[[#This Row],[AMOUNT2]]-Table23453561213[[#This Row],[AMOUNT3]]</f>
        <v>0</v>
      </c>
    </row>
    <row r="163" spans="1:10" x14ac:dyDescent="0.35">
      <c r="A163" s="29"/>
      <c r="B163" s="7"/>
      <c r="C163" s="8"/>
      <c r="D163" s="7"/>
      <c r="E163" s="7"/>
      <c r="F163" s="9"/>
      <c r="G163" s="13"/>
      <c r="H163" s="9"/>
      <c r="I163" s="8"/>
      <c r="J163" s="47">
        <f>J162+Table23453561213[[#This Row],[AMOUNT]]-Table23453561213[[#This Row],[AMOUNT2]]-Table23453561213[[#This Row],[AMOUNT3]]</f>
        <v>0</v>
      </c>
    </row>
    <row r="164" spans="1:10" x14ac:dyDescent="0.35">
      <c r="A164" s="29"/>
      <c r="B164" s="7"/>
      <c r="C164" s="8"/>
      <c r="D164" s="7"/>
      <c r="E164" s="7"/>
      <c r="F164" s="9"/>
      <c r="G164" s="13"/>
      <c r="H164" s="9"/>
      <c r="I164" s="8"/>
      <c r="J164" s="47">
        <f>J163+Table23453561213[[#This Row],[AMOUNT]]-Table23453561213[[#This Row],[AMOUNT2]]-Table23453561213[[#This Row],[AMOUNT3]]</f>
        <v>0</v>
      </c>
    </row>
    <row r="165" spans="1:10" x14ac:dyDescent="0.35">
      <c r="A165" s="29"/>
      <c r="B165" s="7"/>
      <c r="C165" s="8"/>
      <c r="D165" s="7"/>
      <c r="E165" s="7"/>
      <c r="F165" s="9"/>
      <c r="G165" s="13"/>
      <c r="H165" s="9"/>
      <c r="I165" s="8"/>
      <c r="J165" s="47">
        <f>J164+Table23453561213[[#This Row],[AMOUNT]]-Table23453561213[[#This Row],[AMOUNT2]]-Table23453561213[[#This Row],[AMOUNT3]]</f>
        <v>0</v>
      </c>
    </row>
    <row r="166" spans="1:10" x14ac:dyDescent="0.35">
      <c r="A166" s="29"/>
      <c r="B166" s="7"/>
      <c r="C166" s="8"/>
      <c r="D166" s="7"/>
      <c r="E166" s="7"/>
      <c r="F166" s="9"/>
      <c r="G166" s="13"/>
      <c r="H166" s="9"/>
      <c r="I166" s="8"/>
      <c r="J166" s="47">
        <f>J165+Table23453561213[[#This Row],[AMOUNT]]-Table23453561213[[#This Row],[AMOUNT2]]-Table23453561213[[#This Row],[AMOUNT3]]</f>
        <v>0</v>
      </c>
    </row>
    <row r="167" spans="1:10" x14ac:dyDescent="0.35">
      <c r="A167" s="29"/>
      <c r="B167" s="7"/>
      <c r="C167" s="8"/>
      <c r="D167" s="7"/>
      <c r="E167" s="7"/>
      <c r="F167" s="9"/>
      <c r="G167" s="13"/>
      <c r="H167" s="9"/>
      <c r="I167" s="8"/>
      <c r="J167" s="47">
        <f>J166+Table23453561213[[#This Row],[AMOUNT]]-Table23453561213[[#This Row],[AMOUNT2]]-Table23453561213[[#This Row],[AMOUNT3]]</f>
        <v>0</v>
      </c>
    </row>
    <row r="168" spans="1:10" x14ac:dyDescent="0.35">
      <c r="A168" s="29"/>
      <c r="B168" s="7"/>
      <c r="C168" s="8"/>
      <c r="D168" s="7"/>
      <c r="E168" s="7"/>
      <c r="F168" s="9"/>
      <c r="G168" s="13"/>
      <c r="H168" s="9"/>
      <c r="I168" s="8"/>
      <c r="J168" s="47">
        <f>J167+Table23453561213[[#This Row],[AMOUNT]]-Table23453561213[[#This Row],[AMOUNT2]]-Table23453561213[[#This Row],[AMOUNT3]]</f>
        <v>0</v>
      </c>
    </row>
    <row r="169" spans="1:10" x14ac:dyDescent="0.35">
      <c r="A169" s="29"/>
      <c r="B169" s="7"/>
      <c r="C169" s="8"/>
      <c r="D169" s="7"/>
      <c r="E169" s="7"/>
      <c r="F169" s="9"/>
      <c r="G169" s="13"/>
      <c r="H169" s="9"/>
      <c r="I169" s="8"/>
      <c r="J169" s="47">
        <f>J168+Table23453561213[[#This Row],[AMOUNT]]-Table23453561213[[#This Row],[AMOUNT2]]-Table23453561213[[#This Row],[AMOUNT3]]</f>
        <v>0</v>
      </c>
    </row>
    <row r="170" spans="1:10" x14ac:dyDescent="0.35">
      <c r="A170" s="29"/>
      <c r="B170" s="7"/>
      <c r="C170" s="8"/>
      <c r="D170" s="7"/>
      <c r="E170" s="7"/>
      <c r="F170" s="9"/>
      <c r="G170" s="13"/>
      <c r="H170" s="9"/>
      <c r="I170" s="8"/>
      <c r="J170" s="47">
        <f>J169+Table23453561213[[#This Row],[AMOUNT]]-Table23453561213[[#This Row],[AMOUNT2]]-Table23453561213[[#This Row],[AMOUNT3]]</f>
        <v>0</v>
      </c>
    </row>
    <row r="171" spans="1:10" x14ac:dyDescent="0.35">
      <c r="A171" s="29"/>
      <c r="B171" s="7"/>
      <c r="C171" s="8"/>
      <c r="D171" s="7"/>
      <c r="E171" s="7"/>
      <c r="F171" s="9"/>
      <c r="G171" s="13"/>
      <c r="H171" s="9"/>
      <c r="I171" s="8"/>
      <c r="J171" s="47">
        <f>J170+Table23453561213[[#This Row],[AMOUNT]]-Table23453561213[[#This Row],[AMOUNT2]]-Table23453561213[[#This Row],[AMOUNT3]]</f>
        <v>0</v>
      </c>
    </row>
    <row r="172" spans="1:10" x14ac:dyDescent="0.35">
      <c r="A172" s="29"/>
      <c r="B172" s="7"/>
      <c r="C172" s="8"/>
      <c r="D172" s="7"/>
      <c r="E172" s="26"/>
      <c r="F172" s="9"/>
      <c r="G172" s="13"/>
      <c r="H172" s="9"/>
      <c r="I172" s="8"/>
      <c r="J172" s="47">
        <f>J171+Table23453561213[[#This Row],[AMOUNT]]-Table23453561213[[#This Row],[AMOUNT2]]-Table23453561213[[#This Row],[AMOUNT3]]</f>
        <v>0</v>
      </c>
    </row>
    <row r="173" spans="1:10" x14ac:dyDescent="0.35">
      <c r="A173" s="29"/>
      <c r="B173" s="7"/>
      <c r="C173" s="8"/>
      <c r="D173" s="7"/>
      <c r="E173" s="26"/>
      <c r="F173" s="9"/>
      <c r="G173" s="13"/>
      <c r="H173" s="9"/>
      <c r="I173" s="8"/>
      <c r="J173" s="47">
        <f>J172+Table23453561213[[#This Row],[AMOUNT]]-Table23453561213[[#This Row],[AMOUNT2]]-Table23453561213[[#This Row],[AMOUNT3]]</f>
        <v>0</v>
      </c>
    </row>
    <row r="174" spans="1:10" x14ac:dyDescent="0.35">
      <c r="A174" s="29"/>
      <c r="B174" s="7"/>
      <c r="C174" s="8"/>
      <c r="D174" s="7"/>
      <c r="E174" s="7"/>
      <c r="F174" s="9"/>
      <c r="G174" s="13"/>
      <c r="H174" s="9"/>
      <c r="I174" s="8"/>
      <c r="J174" s="47">
        <f>J173+Table23453561213[[#This Row],[AMOUNT]]-Table23453561213[[#This Row],[AMOUNT2]]-Table23453561213[[#This Row],[AMOUNT3]]</f>
        <v>0</v>
      </c>
    </row>
    <row r="175" spans="1:10" x14ac:dyDescent="0.35">
      <c r="A175" s="29"/>
      <c r="B175" s="7"/>
      <c r="C175" s="8"/>
      <c r="D175" s="7"/>
      <c r="E175" s="7"/>
      <c r="F175" s="9"/>
      <c r="G175" s="13"/>
      <c r="H175" s="9"/>
      <c r="I175" s="8"/>
      <c r="J175" s="47">
        <f>J174+Table23453561213[[#This Row],[AMOUNT]]-Table23453561213[[#This Row],[AMOUNT2]]-Table23453561213[[#This Row],[AMOUNT3]]</f>
        <v>0</v>
      </c>
    </row>
    <row r="176" spans="1:10" x14ac:dyDescent="0.35">
      <c r="A176" s="29"/>
      <c r="B176" s="7"/>
      <c r="C176" s="8"/>
      <c r="D176" s="10"/>
      <c r="E176" s="7"/>
      <c r="F176" s="9"/>
      <c r="G176" s="13"/>
      <c r="H176" s="9"/>
      <c r="I176" s="8"/>
      <c r="J176" s="47">
        <f>J175+Table23453561213[[#This Row],[AMOUNT]]-Table23453561213[[#This Row],[AMOUNT2]]-Table23453561213[[#This Row],[AMOUNT3]]</f>
        <v>0</v>
      </c>
    </row>
    <row r="177" spans="1:10" x14ac:dyDescent="0.35">
      <c r="A177" s="29"/>
      <c r="B177" s="7"/>
      <c r="C177" s="8"/>
      <c r="D177" s="7"/>
      <c r="E177" s="7"/>
      <c r="F177" s="9"/>
      <c r="G177" s="13"/>
      <c r="H177" s="9"/>
      <c r="I177" s="8"/>
      <c r="J177" s="47">
        <f>J176+Table23453561213[[#This Row],[AMOUNT]]-Table23453561213[[#This Row],[AMOUNT2]]-Table23453561213[[#This Row],[AMOUNT3]]</f>
        <v>0</v>
      </c>
    </row>
    <row r="178" spans="1:10" x14ac:dyDescent="0.35">
      <c r="A178" s="29"/>
      <c r="B178" s="7"/>
      <c r="C178" s="8"/>
      <c r="D178" s="7"/>
      <c r="E178" s="26"/>
      <c r="F178" s="7"/>
      <c r="G178" s="13"/>
      <c r="H178" s="9"/>
      <c r="I178" s="8"/>
      <c r="J178" s="47">
        <f>J177+Table23453561213[[#This Row],[AMOUNT]]-Table23453561213[[#This Row],[AMOUNT2]]-Table23453561213[[#This Row],[AMOUNT3]]</f>
        <v>0</v>
      </c>
    </row>
    <row r="179" spans="1:10" x14ac:dyDescent="0.35">
      <c r="A179" s="29"/>
      <c r="B179" s="7"/>
      <c r="C179" s="8"/>
      <c r="D179" s="7"/>
      <c r="E179" s="26"/>
      <c r="F179" s="7"/>
      <c r="G179" s="13"/>
      <c r="H179" s="9"/>
      <c r="I179" s="8"/>
      <c r="J179" s="47">
        <f>J178+Table23453561213[[#This Row],[AMOUNT]]-Table23453561213[[#This Row],[AMOUNT2]]-Table23453561213[[#This Row],[AMOUNT3]]</f>
        <v>0</v>
      </c>
    </row>
    <row r="180" spans="1:10" x14ac:dyDescent="0.35">
      <c r="A180" s="29"/>
      <c r="B180" s="7"/>
      <c r="C180" s="8"/>
      <c r="D180" s="7"/>
      <c r="E180" s="7"/>
      <c r="F180" s="9"/>
      <c r="G180" s="13"/>
      <c r="H180" s="9"/>
      <c r="I180" s="8"/>
      <c r="J180" s="47">
        <f>J179+Table23453561213[[#This Row],[AMOUNT]]-Table23453561213[[#This Row],[AMOUNT2]]-Table23453561213[[#This Row],[AMOUNT3]]</f>
        <v>0</v>
      </c>
    </row>
    <row r="181" spans="1:10" x14ac:dyDescent="0.35">
      <c r="A181" s="29"/>
      <c r="B181" s="7"/>
      <c r="C181" s="8"/>
      <c r="D181" s="7"/>
      <c r="E181" s="7"/>
      <c r="F181" s="9"/>
      <c r="G181" s="16"/>
      <c r="H181" s="9"/>
      <c r="I181" s="8"/>
      <c r="J181" s="47">
        <f>J180+Table23453561213[[#This Row],[AMOUNT]]-Table23453561213[[#This Row],[AMOUNT2]]-Table23453561213[[#This Row],[AMOUNT3]]</f>
        <v>0</v>
      </c>
    </row>
    <row r="182" spans="1:10" x14ac:dyDescent="0.35">
      <c r="A182" s="29"/>
      <c r="B182" s="7"/>
      <c r="C182" s="8"/>
      <c r="D182" s="7"/>
      <c r="E182" s="7"/>
      <c r="F182" s="9"/>
      <c r="G182" s="13"/>
      <c r="H182" s="9"/>
      <c r="I182" s="8"/>
      <c r="J182" s="47">
        <f>J181+Table23453561213[[#This Row],[AMOUNT]]-Table23453561213[[#This Row],[AMOUNT2]]-Table23453561213[[#This Row],[AMOUNT3]]</f>
        <v>0</v>
      </c>
    </row>
    <row r="183" spans="1:10" x14ac:dyDescent="0.35">
      <c r="A183" s="29"/>
      <c r="B183" s="7"/>
      <c r="C183" s="8"/>
      <c r="D183" s="7"/>
      <c r="E183" s="26"/>
      <c r="F183" s="9"/>
      <c r="G183" s="13"/>
      <c r="H183" s="9"/>
      <c r="I183" s="8"/>
      <c r="J183" s="47">
        <f>J182+Table23453561213[[#This Row],[AMOUNT]]-Table23453561213[[#This Row],[AMOUNT2]]-Table23453561213[[#This Row],[AMOUNT3]]</f>
        <v>0</v>
      </c>
    </row>
    <row r="184" spans="1:10" x14ac:dyDescent="0.35">
      <c r="A184" s="29"/>
      <c r="B184" s="7"/>
      <c r="C184" s="8"/>
      <c r="D184" s="7"/>
      <c r="E184" s="7"/>
      <c r="F184" s="9"/>
      <c r="G184" s="13"/>
      <c r="H184" s="9"/>
      <c r="I184" s="8"/>
      <c r="J184" s="47">
        <f>J183+Table23453561213[[#This Row],[AMOUNT]]-Table23453561213[[#This Row],[AMOUNT2]]-Table23453561213[[#This Row],[AMOUNT3]]</f>
        <v>0</v>
      </c>
    </row>
    <row r="185" spans="1:10" x14ac:dyDescent="0.35">
      <c r="A185" s="29"/>
      <c r="B185" s="7"/>
      <c r="C185" s="8"/>
      <c r="D185" s="7"/>
      <c r="E185" s="7"/>
      <c r="F185" s="9"/>
      <c r="G185" s="13"/>
      <c r="H185" s="9"/>
      <c r="I185" s="8"/>
      <c r="J185" s="47">
        <f>J184+Table23453561213[[#This Row],[AMOUNT]]-Table23453561213[[#This Row],[AMOUNT2]]-Table23453561213[[#This Row],[AMOUNT3]]</f>
        <v>0</v>
      </c>
    </row>
    <row r="186" spans="1:10" x14ac:dyDescent="0.35">
      <c r="A186" s="29"/>
      <c r="B186" s="7"/>
      <c r="C186" s="8"/>
      <c r="D186" s="7"/>
      <c r="E186" s="26"/>
      <c r="F186" s="9"/>
      <c r="G186" s="13"/>
      <c r="H186" s="9"/>
      <c r="I186" s="8"/>
      <c r="J186" s="47">
        <f>J185+Table23453561213[[#This Row],[AMOUNT]]-Table23453561213[[#This Row],[AMOUNT2]]-Table23453561213[[#This Row],[AMOUNT3]]</f>
        <v>0</v>
      </c>
    </row>
    <row r="187" spans="1:10" x14ac:dyDescent="0.35">
      <c r="A187" s="29"/>
      <c r="B187" s="7"/>
      <c r="C187" s="8"/>
      <c r="D187" s="7"/>
      <c r="E187" s="7"/>
      <c r="F187" s="9"/>
      <c r="G187" s="13"/>
      <c r="H187" s="9"/>
      <c r="I187" s="8"/>
      <c r="J187" s="47">
        <f>J186+Table23453561213[[#This Row],[AMOUNT]]-Table23453561213[[#This Row],[AMOUNT2]]-Table23453561213[[#This Row],[AMOUNT3]]</f>
        <v>0</v>
      </c>
    </row>
    <row r="188" spans="1:10" x14ac:dyDescent="0.35">
      <c r="A188" s="29"/>
      <c r="B188" s="7"/>
      <c r="C188" s="8"/>
      <c r="D188" s="7"/>
      <c r="E188" s="7"/>
      <c r="F188" s="9"/>
      <c r="G188" s="13"/>
      <c r="H188" s="9"/>
      <c r="I188" s="8"/>
      <c r="J188" s="47">
        <f>J187+Table23453561213[[#This Row],[AMOUNT]]-Table23453561213[[#This Row],[AMOUNT2]]-Table23453561213[[#This Row],[AMOUNT3]]</f>
        <v>0</v>
      </c>
    </row>
    <row r="189" spans="1:10" x14ac:dyDescent="0.35">
      <c r="A189" s="29"/>
      <c r="B189" s="7"/>
      <c r="C189" s="8"/>
      <c r="D189" s="7"/>
      <c r="E189" s="7"/>
      <c r="F189" s="9"/>
      <c r="G189" s="13"/>
      <c r="H189" s="9"/>
      <c r="I189" s="8"/>
      <c r="J189" s="47">
        <f>J188+Table23453561213[[#This Row],[AMOUNT]]-Table23453561213[[#This Row],[AMOUNT2]]-Table23453561213[[#This Row],[AMOUNT3]]</f>
        <v>0</v>
      </c>
    </row>
    <row r="190" spans="1:10" x14ac:dyDescent="0.35">
      <c r="A190" s="29"/>
      <c r="B190" s="7"/>
      <c r="C190" s="8"/>
      <c r="D190" s="7"/>
      <c r="E190" s="7"/>
      <c r="F190" s="9"/>
      <c r="G190" s="13"/>
      <c r="H190" s="9"/>
      <c r="I190" s="8"/>
      <c r="J190" s="47">
        <f>J189+Table23453561213[[#This Row],[AMOUNT]]-Table23453561213[[#This Row],[AMOUNT2]]-Table23453561213[[#This Row],[AMOUNT3]]</f>
        <v>0</v>
      </c>
    </row>
    <row r="191" spans="1:10" x14ac:dyDescent="0.35">
      <c r="A191" s="29"/>
      <c r="B191" s="7"/>
      <c r="C191" s="8"/>
      <c r="D191" s="7"/>
      <c r="E191" s="7"/>
      <c r="F191" s="9"/>
      <c r="G191" s="13"/>
      <c r="H191" s="9"/>
      <c r="I191" s="8"/>
      <c r="J191" s="47">
        <f>J190+Table23453561213[[#This Row],[AMOUNT]]-Table23453561213[[#This Row],[AMOUNT2]]-Table23453561213[[#This Row],[AMOUNT3]]</f>
        <v>0</v>
      </c>
    </row>
    <row r="192" spans="1:10" x14ac:dyDescent="0.35">
      <c r="A192" s="29"/>
      <c r="B192" s="7"/>
      <c r="C192" s="8"/>
      <c r="D192" s="7"/>
      <c r="E192" s="7"/>
      <c r="F192" s="9"/>
      <c r="G192" s="13"/>
      <c r="H192" s="9"/>
      <c r="I192" s="8"/>
      <c r="J192" s="47">
        <f>J191+Table23453561213[[#This Row],[AMOUNT]]-Table23453561213[[#This Row],[AMOUNT2]]-Table23453561213[[#This Row],[AMOUNT3]]</f>
        <v>0</v>
      </c>
    </row>
    <row r="193" spans="1:10" x14ac:dyDescent="0.35">
      <c r="A193" s="29"/>
      <c r="B193" s="7"/>
      <c r="C193" s="8"/>
      <c r="D193" s="7"/>
      <c r="E193" s="7"/>
      <c r="F193" s="9"/>
      <c r="G193" s="13"/>
      <c r="H193" s="9"/>
      <c r="I193" s="8"/>
      <c r="J193" s="47">
        <f>J192+Table23453561213[[#This Row],[AMOUNT]]-Table23453561213[[#This Row],[AMOUNT2]]-Table23453561213[[#This Row],[AMOUNT3]]</f>
        <v>0</v>
      </c>
    </row>
    <row r="194" spans="1:10" x14ac:dyDescent="0.35">
      <c r="A194" s="29"/>
      <c r="B194" s="7"/>
      <c r="C194" s="8"/>
      <c r="D194" s="7"/>
      <c r="E194" s="7"/>
      <c r="F194" s="9"/>
      <c r="G194" s="13"/>
      <c r="H194" s="9"/>
      <c r="I194" s="8"/>
      <c r="J194" s="47">
        <f>J193+Table23453561213[[#This Row],[AMOUNT]]-Table23453561213[[#This Row],[AMOUNT2]]-Table23453561213[[#This Row],[AMOUNT3]]</f>
        <v>0</v>
      </c>
    </row>
    <row r="195" spans="1:10" x14ac:dyDescent="0.35">
      <c r="A195" s="29"/>
      <c r="B195" s="7"/>
      <c r="C195" s="8"/>
      <c r="D195" s="7"/>
      <c r="E195" s="7"/>
      <c r="F195" s="9"/>
      <c r="G195" s="13"/>
      <c r="H195" s="9"/>
      <c r="I195" s="8"/>
      <c r="J195" s="47">
        <f>J194+Table23453561213[[#This Row],[AMOUNT]]-Table23453561213[[#This Row],[AMOUNT2]]-Table23453561213[[#This Row],[AMOUNT3]]</f>
        <v>0</v>
      </c>
    </row>
    <row r="196" spans="1:10" x14ac:dyDescent="0.35">
      <c r="A196" s="29"/>
      <c r="B196" s="7"/>
      <c r="C196" s="8"/>
      <c r="D196" s="7"/>
      <c r="E196" s="7"/>
      <c r="F196" s="9"/>
      <c r="G196" s="13"/>
      <c r="H196" s="9"/>
      <c r="I196" s="8"/>
      <c r="J196" s="47">
        <f>J195+Table23453561213[[#This Row],[AMOUNT]]-Table23453561213[[#This Row],[AMOUNT2]]-Table23453561213[[#This Row],[AMOUNT3]]</f>
        <v>0</v>
      </c>
    </row>
    <row r="197" spans="1:10" x14ac:dyDescent="0.35">
      <c r="A197" s="29"/>
      <c r="B197" s="7"/>
      <c r="C197" s="8"/>
      <c r="D197" s="7"/>
      <c r="E197" s="7"/>
      <c r="F197" s="9"/>
      <c r="G197" s="13"/>
      <c r="H197" s="9"/>
      <c r="I197" s="8"/>
      <c r="J197" s="47">
        <f>J196+Table23453561213[[#This Row],[AMOUNT]]-Table23453561213[[#This Row],[AMOUNT2]]-Table23453561213[[#This Row],[AMOUNT3]]</f>
        <v>0</v>
      </c>
    </row>
    <row r="198" spans="1:10" x14ac:dyDescent="0.35">
      <c r="A198" s="29"/>
      <c r="B198" s="7"/>
      <c r="C198" s="8"/>
      <c r="D198" s="7"/>
      <c r="E198" s="7"/>
      <c r="F198" s="9"/>
      <c r="G198" s="13"/>
      <c r="H198" s="9"/>
      <c r="I198" s="8"/>
      <c r="J198" s="47">
        <f>J197+Table23453561213[[#This Row],[AMOUNT]]-Table23453561213[[#This Row],[AMOUNT2]]-Table23453561213[[#This Row],[AMOUNT3]]</f>
        <v>0</v>
      </c>
    </row>
    <row r="199" spans="1:10" x14ac:dyDescent="0.35">
      <c r="A199" s="29"/>
      <c r="B199" s="24"/>
      <c r="C199" s="18"/>
      <c r="D199" s="7"/>
      <c r="E199" s="7"/>
      <c r="F199" s="33"/>
      <c r="G199" s="16"/>
      <c r="H199" s="17"/>
      <c r="I199" s="18"/>
      <c r="J199" s="47">
        <f>J198+Table23453561213[[#This Row],[AMOUNT]]-Table23453561213[[#This Row],[AMOUNT2]]-Table23453561213[[#This Row],[AMOUNT3]]</f>
        <v>0</v>
      </c>
    </row>
    <row r="200" spans="1:10" x14ac:dyDescent="0.35">
      <c r="A200" s="29"/>
      <c r="B200" s="7"/>
      <c r="C200" s="8"/>
      <c r="D200" s="7"/>
      <c r="E200" s="26"/>
      <c r="F200" s="7"/>
      <c r="G200" s="16"/>
      <c r="H200" s="9"/>
      <c r="I200" s="8"/>
      <c r="J200" s="47">
        <f>J199+Table23453561213[[#This Row],[AMOUNT]]-Table23453561213[[#This Row],[AMOUNT2]]-Table23453561213[[#This Row],[AMOUNT3]]</f>
        <v>0</v>
      </c>
    </row>
    <row r="201" spans="1:10" x14ac:dyDescent="0.35">
      <c r="A201" s="29"/>
      <c r="B201" s="7"/>
      <c r="C201" s="8"/>
      <c r="D201" s="7"/>
      <c r="E201" s="26"/>
      <c r="F201" s="9"/>
      <c r="G201" s="13"/>
      <c r="H201" s="9"/>
      <c r="I201" s="8"/>
      <c r="J201" s="47">
        <f>J200+Table23453561213[[#This Row],[AMOUNT]]-Table23453561213[[#This Row],[AMOUNT2]]-Table23453561213[[#This Row],[AMOUNT3]]</f>
        <v>0</v>
      </c>
    </row>
    <row r="202" spans="1:10" x14ac:dyDescent="0.35">
      <c r="A202" s="29"/>
      <c r="B202" s="7"/>
      <c r="C202" s="8"/>
      <c r="D202" s="7"/>
      <c r="E202" s="7"/>
      <c r="F202" s="9"/>
      <c r="G202" s="13"/>
      <c r="H202" s="9"/>
      <c r="I202" s="8"/>
      <c r="J202" s="47">
        <f>J201+Table23453561213[[#This Row],[AMOUNT]]-Table23453561213[[#This Row],[AMOUNT2]]-Table23453561213[[#This Row],[AMOUNT3]]</f>
        <v>0</v>
      </c>
    </row>
    <row r="203" spans="1:10" x14ac:dyDescent="0.35">
      <c r="A203" s="29"/>
      <c r="B203" s="7"/>
      <c r="C203" s="8"/>
      <c r="D203" s="7"/>
      <c r="E203" s="7"/>
      <c r="F203" s="9"/>
      <c r="G203" s="13"/>
      <c r="H203" s="9"/>
      <c r="I203" s="8"/>
      <c r="J203" s="47">
        <f>J202+Table23453561213[[#This Row],[AMOUNT]]-Table23453561213[[#This Row],[AMOUNT2]]-Table23453561213[[#This Row],[AMOUNT3]]</f>
        <v>0</v>
      </c>
    </row>
    <row r="204" spans="1:10" x14ac:dyDescent="0.35">
      <c r="A204" s="29"/>
      <c r="B204" s="7"/>
      <c r="C204" s="8"/>
      <c r="D204" s="7"/>
      <c r="E204" s="7"/>
      <c r="F204" s="33"/>
      <c r="G204" s="13"/>
      <c r="H204" s="9"/>
      <c r="I204" s="8"/>
      <c r="J204" s="47">
        <f>J203+Table23453561213[[#This Row],[AMOUNT]]-Table23453561213[[#This Row],[AMOUNT2]]-Table23453561213[[#This Row],[AMOUNT3]]</f>
        <v>0</v>
      </c>
    </row>
    <row r="205" spans="1:10" x14ac:dyDescent="0.35">
      <c r="A205" s="29"/>
      <c r="B205" s="7"/>
      <c r="C205" s="8"/>
      <c r="D205" s="7"/>
      <c r="E205" s="26"/>
      <c r="F205" s="7"/>
      <c r="G205" s="13"/>
      <c r="H205" s="9"/>
      <c r="I205" s="8"/>
      <c r="J205" s="47">
        <f>J204+Table23453561213[[#This Row],[AMOUNT]]-Table23453561213[[#This Row],[AMOUNT2]]-Table23453561213[[#This Row],[AMOUNT3]]</f>
        <v>0</v>
      </c>
    </row>
    <row r="206" spans="1:10" x14ac:dyDescent="0.35">
      <c r="A206" s="29"/>
      <c r="B206" s="7"/>
      <c r="C206" s="8"/>
      <c r="D206" s="7"/>
      <c r="E206" s="7"/>
      <c r="F206" s="9"/>
      <c r="G206" s="13"/>
      <c r="H206" s="9"/>
      <c r="I206" s="8"/>
      <c r="J206" s="47">
        <f>J205+Table23453561213[[#This Row],[AMOUNT]]-Table23453561213[[#This Row],[AMOUNT2]]-Table23453561213[[#This Row],[AMOUNT3]]</f>
        <v>0</v>
      </c>
    </row>
    <row r="207" spans="1:10" x14ac:dyDescent="0.35">
      <c r="A207" s="29"/>
      <c r="B207" s="7"/>
      <c r="C207" s="8"/>
      <c r="D207" s="7"/>
      <c r="E207" s="7"/>
      <c r="F207" s="9"/>
      <c r="G207" s="13"/>
      <c r="H207" s="9"/>
      <c r="I207" s="8"/>
      <c r="J207" s="47">
        <f>J206+Table23453561213[[#This Row],[AMOUNT]]-Table23453561213[[#This Row],[AMOUNT2]]-Table23453561213[[#This Row],[AMOUNT3]]</f>
        <v>0</v>
      </c>
    </row>
    <row r="208" spans="1:10" x14ac:dyDescent="0.35">
      <c r="A208" s="29"/>
      <c r="B208" s="7"/>
      <c r="C208" s="8"/>
      <c r="D208" s="7"/>
      <c r="E208" s="7"/>
      <c r="F208" s="9"/>
      <c r="G208" s="13"/>
      <c r="H208" s="9"/>
      <c r="I208" s="8"/>
      <c r="J208" s="47">
        <f>J207+Table23453561213[[#This Row],[AMOUNT]]-Table23453561213[[#This Row],[AMOUNT2]]-Table23453561213[[#This Row],[AMOUNT3]]</f>
        <v>0</v>
      </c>
    </row>
    <row r="209" spans="1:10" x14ac:dyDescent="0.35">
      <c r="A209" s="29"/>
      <c r="B209" s="7"/>
      <c r="C209" s="8"/>
      <c r="D209" s="7"/>
      <c r="E209" s="7"/>
      <c r="F209" s="33"/>
      <c r="G209" s="13"/>
      <c r="H209" s="9"/>
      <c r="I209" s="8"/>
      <c r="J209" s="47">
        <f>J208+Table23453561213[[#This Row],[AMOUNT]]-Table23453561213[[#This Row],[AMOUNT2]]-Table23453561213[[#This Row],[AMOUNT3]]</f>
        <v>0</v>
      </c>
    </row>
    <row r="210" spans="1:10" x14ac:dyDescent="0.35">
      <c r="A210" s="29"/>
      <c r="B210" s="7"/>
      <c r="C210" s="8"/>
      <c r="D210" s="7"/>
      <c r="E210" s="7"/>
      <c r="F210" s="9"/>
      <c r="G210" s="13"/>
      <c r="H210" s="9"/>
      <c r="I210" s="8"/>
      <c r="J210" s="47">
        <f>J209+Table23453561213[[#This Row],[AMOUNT]]-Table23453561213[[#This Row],[AMOUNT2]]-Table23453561213[[#This Row],[AMOUNT3]]</f>
        <v>0</v>
      </c>
    </row>
    <row r="211" spans="1:10" x14ac:dyDescent="0.35">
      <c r="A211" s="29"/>
      <c r="B211" s="7"/>
      <c r="C211" s="8"/>
      <c r="D211" s="7"/>
      <c r="E211" s="26"/>
      <c r="F211" s="7"/>
      <c r="G211" s="13"/>
      <c r="H211" s="9"/>
      <c r="I211" s="8"/>
      <c r="J211" s="47">
        <f>J210+Table23453561213[[#This Row],[AMOUNT]]-Table23453561213[[#This Row],[AMOUNT2]]-Table23453561213[[#This Row],[AMOUNT3]]</f>
        <v>0</v>
      </c>
    </row>
    <row r="212" spans="1:10" x14ac:dyDescent="0.35">
      <c r="A212" s="29"/>
      <c r="B212" s="7"/>
      <c r="C212" s="8"/>
      <c r="D212" s="7"/>
      <c r="E212" s="7"/>
      <c r="F212" s="33"/>
      <c r="G212" s="13"/>
      <c r="H212" s="9"/>
      <c r="I212" s="8"/>
      <c r="J212" s="47">
        <f>J211+Table23453561213[[#This Row],[AMOUNT]]-Table23453561213[[#This Row],[AMOUNT2]]-Table23453561213[[#This Row],[AMOUNT3]]</f>
        <v>0</v>
      </c>
    </row>
    <row r="213" spans="1:10" x14ac:dyDescent="0.35">
      <c r="A213" s="29"/>
      <c r="B213" s="7"/>
      <c r="C213" s="8"/>
      <c r="D213" s="7"/>
      <c r="E213" s="7"/>
      <c r="F213" s="33"/>
      <c r="G213" s="13"/>
      <c r="H213" s="9"/>
      <c r="I213" s="8"/>
      <c r="J213" s="47">
        <f>J212+Table23453561213[[#This Row],[AMOUNT]]-Table23453561213[[#This Row],[AMOUNT2]]-Table23453561213[[#This Row],[AMOUNT3]]</f>
        <v>0</v>
      </c>
    </row>
    <row r="214" spans="1:10" x14ac:dyDescent="0.35">
      <c r="A214" s="29"/>
      <c r="B214" s="7"/>
      <c r="C214" s="8"/>
      <c r="D214" s="7"/>
      <c r="E214" s="7"/>
      <c r="F214" s="9"/>
      <c r="G214" s="13"/>
      <c r="H214" s="9"/>
      <c r="I214" s="8"/>
      <c r="J214" s="47">
        <f>J213+Table23453561213[[#This Row],[AMOUNT]]-Table23453561213[[#This Row],[AMOUNT2]]-Table23453561213[[#This Row],[AMOUNT3]]</f>
        <v>0</v>
      </c>
    </row>
    <row r="215" spans="1:10" x14ac:dyDescent="0.35">
      <c r="A215" s="29"/>
      <c r="B215" s="7"/>
      <c r="C215" s="8"/>
      <c r="D215" s="7"/>
      <c r="E215" s="26"/>
      <c r="F215" s="7"/>
      <c r="G215" s="13"/>
      <c r="H215" s="9"/>
      <c r="I215" s="8"/>
      <c r="J215" s="47">
        <f>J214+Table23453561213[[#This Row],[AMOUNT]]-Table23453561213[[#This Row],[AMOUNT2]]-Table23453561213[[#This Row],[AMOUNT3]]</f>
        <v>0</v>
      </c>
    </row>
    <row r="216" spans="1:10" x14ac:dyDescent="0.35">
      <c r="A216" s="29"/>
      <c r="B216" s="7"/>
      <c r="C216" s="8"/>
      <c r="D216" s="7"/>
      <c r="E216" s="7"/>
      <c r="F216" s="9"/>
      <c r="G216" s="13"/>
      <c r="H216" s="9"/>
      <c r="I216" s="8"/>
      <c r="J216" s="47">
        <f>J215+Table23453561213[[#This Row],[AMOUNT]]-Table23453561213[[#This Row],[AMOUNT2]]-Table23453561213[[#This Row],[AMOUNT3]]</f>
        <v>0</v>
      </c>
    </row>
    <row r="217" spans="1:10" x14ac:dyDescent="0.35">
      <c r="A217" s="29"/>
      <c r="B217" s="7"/>
      <c r="C217" s="8"/>
      <c r="D217" s="7"/>
      <c r="E217" s="7"/>
      <c r="F217" s="9"/>
      <c r="G217" s="13"/>
      <c r="H217" s="9"/>
      <c r="I217" s="8"/>
      <c r="J217" s="47">
        <f>J216+Table23453561213[[#This Row],[AMOUNT]]-Table23453561213[[#This Row],[AMOUNT2]]-Table23453561213[[#This Row],[AMOUNT3]]</f>
        <v>0</v>
      </c>
    </row>
    <row r="218" spans="1:10" x14ac:dyDescent="0.35">
      <c r="A218" s="29"/>
      <c r="B218" s="7"/>
      <c r="C218" s="8"/>
      <c r="D218" s="7"/>
      <c r="E218" s="26"/>
      <c r="F218" s="9"/>
      <c r="G218" s="13"/>
      <c r="H218" s="9"/>
      <c r="I218" s="8"/>
      <c r="J218" s="47">
        <f>J217+Table23453561213[[#This Row],[AMOUNT]]-Table23453561213[[#This Row],[AMOUNT2]]-Table23453561213[[#This Row],[AMOUNT3]]</f>
        <v>0</v>
      </c>
    </row>
    <row r="219" spans="1:10" x14ac:dyDescent="0.35">
      <c r="A219" s="29"/>
      <c r="B219" s="7"/>
      <c r="C219" s="8"/>
      <c r="D219" s="7"/>
      <c r="E219" s="7"/>
      <c r="F219" s="9"/>
      <c r="G219" s="13"/>
      <c r="H219" s="9"/>
      <c r="I219" s="8"/>
      <c r="J219" s="47">
        <f>J218+Table23453561213[[#This Row],[AMOUNT]]-Table23453561213[[#This Row],[AMOUNT2]]-Table23453561213[[#This Row],[AMOUNT3]]</f>
        <v>0</v>
      </c>
    </row>
    <row r="220" spans="1:10" x14ac:dyDescent="0.35">
      <c r="A220" s="29"/>
      <c r="B220" s="7"/>
      <c r="C220" s="8"/>
      <c r="D220" s="7"/>
      <c r="E220" s="7"/>
      <c r="F220" s="9"/>
      <c r="G220" s="13"/>
      <c r="H220" s="9"/>
      <c r="I220" s="8"/>
      <c r="J220" s="47">
        <f>J219+Table23453561213[[#This Row],[AMOUNT]]-Table23453561213[[#This Row],[AMOUNT2]]-Table23453561213[[#This Row],[AMOUNT3]]</f>
        <v>0</v>
      </c>
    </row>
    <row r="221" spans="1:10" x14ac:dyDescent="0.35">
      <c r="A221" s="29"/>
      <c r="B221" s="7"/>
      <c r="C221" s="8"/>
      <c r="D221" s="7"/>
      <c r="E221" s="26"/>
      <c r="F221" s="7"/>
      <c r="G221" s="13"/>
      <c r="H221" s="9"/>
      <c r="I221" s="8"/>
      <c r="J221" s="47">
        <f>J220+Table23453561213[[#This Row],[AMOUNT]]-Table23453561213[[#This Row],[AMOUNT2]]-Table23453561213[[#This Row],[AMOUNT3]]</f>
        <v>0</v>
      </c>
    </row>
    <row r="222" spans="1:10" x14ac:dyDescent="0.35">
      <c r="A222" s="29"/>
      <c r="B222" s="7"/>
      <c r="C222" s="8"/>
      <c r="D222" s="7"/>
      <c r="E222" s="7"/>
      <c r="F222" s="9"/>
      <c r="G222" s="13"/>
      <c r="H222" s="9"/>
      <c r="I222" s="8"/>
      <c r="J222" s="47">
        <f>J221+Table23453561213[[#This Row],[AMOUNT]]-Table23453561213[[#This Row],[AMOUNT2]]-Table23453561213[[#This Row],[AMOUNT3]]</f>
        <v>0</v>
      </c>
    </row>
    <row r="223" spans="1:10" x14ac:dyDescent="0.35">
      <c r="A223" s="29"/>
      <c r="B223" s="7"/>
      <c r="C223" s="8"/>
      <c r="D223" s="7"/>
      <c r="E223" s="7"/>
      <c r="F223" s="9"/>
      <c r="G223" s="13"/>
      <c r="H223" s="9"/>
      <c r="I223" s="8"/>
      <c r="J223" s="47">
        <f>J222+Table23453561213[[#This Row],[AMOUNT]]-Table23453561213[[#This Row],[AMOUNT2]]-Table23453561213[[#This Row],[AMOUNT3]]</f>
        <v>0</v>
      </c>
    </row>
    <row r="224" spans="1:10" x14ac:dyDescent="0.35">
      <c r="A224" s="29"/>
      <c r="B224" s="7"/>
      <c r="C224" s="8"/>
      <c r="D224" s="7"/>
      <c r="E224" s="7"/>
      <c r="F224" s="9"/>
      <c r="G224" s="13"/>
      <c r="H224" s="9"/>
      <c r="I224" s="8"/>
      <c r="J224" s="47">
        <f>J223+Table23453561213[[#This Row],[AMOUNT]]-Table23453561213[[#This Row],[AMOUNT2]]-Table23453561213[[#This Row],[AMOUNT3]]</f>
        <v>0</v>
      </c>
    </row>
    <row r="225" spans="1:10" x14ac:dyDescent="0.35">
      <c r="A225" s="29"/>
      <c r="B225" s="7"/>
      <c r="C225" s="8"/>
      <c r="D225" s="7"/>
      <c r="E225" s="7"/>
      <c r="F225" s="9"/>
      <c r="G225" s="13"/>
      <c r="H225" s="9"/>
      <c r="I225" s="8"/>
      <c r="J225" s="47">
        <f>J224+Table23453561213[[#This Row],[AMOUNT]]-Table23453561213[[#This Row],[AMOUNT2]]-Table23453561213[[#This Row],[AMOUNT3]]</f>
        <v>0</v>
      </c>
    </row>
    <row r="226" spans="1:10" x14ac:dyDescent="0.35">
      <c r="A226" s="29"/>
      <c r="B226" s="7"/>
      <c r="C226" s="8"/>
      <c r="D226" s="7"/>
      <c r="E226" s="7"/>
      <c r="F226" s="9"/>
      <c r="G226" s="13"/>
      <c r="H226" s="9"/>
      <c r="I226" s="8"/>
      <c r="J226" s="47">
        <f>J225+Table23453561213[[#This Row],[AMOUNT]]-Table23453561213[[#This Row],[AMOUNT2]]-Table23453561213[[#This Row],[AMOUNT3]]</f>
        <v>0</v>
      </c>
    </row>
    <row r="227" spans="1:10" x14ac:dyDescent="0.35">
      <c r="A227" s="29"/>
      <c r="B227" s="7"/>
      <c r="C227" s="8"/>
      <c r="D227" s="7"/>
      <c r="E227" s="26"/>
      <c r="F227" s="7"/>
      <c r="G227" s="13"/>
      <c r="H227" s="9"/>
      <c r="I227" s="8"/>
      <c r="J227" s="47">
        <f>J226+Table23453561213[[#This Row],[AMOUNT]]-Table23453561213[[#This Row],[AMOUNT2]]-Table23453561213[[#This Row],[AMOUNT3]]</f>
        <v>0</v>
      </c>
    </row>
    <row r="228" spans="1:10" x14ac:dyDescent="0.35">
      <c r="A228" s="29"/>
      <c r="B228" s="7"/>
      <c r="C228" s="8"/>
      <c r="D228" s="7"/>
      <c r="E228" s="7"/>
      <c r="F228" s="9"/>
      <c r="G228" s="13"/>
      <c r="H228" s="9"/>
      <c r="I228" s="8"/>
      <c r="J228" s="47">
        <f>J227+Table23453561213[[#This Row],[AMOUNT]]-Table23453561213[[#This Row],[AMOUNT2]]-Table23453561213[[#This Row],[AMOUNT3]]</f>
        <v>0</v>
      </c>
    </row>
    <row r="229" spans="1:10" x14ac:dyDescent="0.35">
      <c r="A229" s="29"/>
      <c r="B229" s="7"/>
      <c r="C229" s="8"/>
      <c r="D229" s="7"/>
      <c r="E229" s="7"/>
      <c r="F229" s="9"/>
      <c r="G229" s="13"/>
      <c r="H229" s="9"/>
      <c r="I229" s="8"/>
      <c r="J229" s="47">
        <f>J228+Table23453561213[[#This Row],[AMOUNT]]-Table23453561213[[#This Row],[AMOUNT2]]-Table23453561213[[#This Row],[AMOUNT3]]</f>
        <v>0</v>
      </c>
    </row>
    <row r="230" spans="1:10" x14ac:dyDescent="0.35">
      <c r="A230" s="29"/>
      <c r="B230" s="7"/>
      <c r="C230" s="8"/>
      <c r="D230" s="7"/>
      <c r="E230" s="7"/>
      <c r="F230" s="9"/>
      <c r="G230" s="13"/>
      <c r="H230" s="9"/>
      <c r="I230" s="8"/>
      <c r="J230" s="47">
        <f>J229+Table23453561213[[#This Row],[AMOUNT]]-Table23453561213[[#This Row],[AMOUNT2]]-Table23453561213[[#This Row],[AMOUNT3]]</f>
        <v>0</v>
      </c>
    </row>
    <row r="231" spans="1:10" x14ac:dyDescent="0.35">
      <c r="A231" s="29"/>
      <c r="B231" s="7"/>
      <c r="C231" s="8"/>
      <c r="D231" s="7"/>
      <c r="E231" s="7"/>
      <c r="F231" s="9"/>
      <c r="G231" s="13"/>
      <c r="H231" s="9"/>
      <c r="I231" s="8"/>
      <c r="J231" s="47">
        <f>J230+Table23453561213[[#This Row],[AMOUNT]]-Table23453561213[[#This Row],[AMOUNT2]]-Table23453561213[[#This Row],[AMOUNT3]]</f>
        <v>0</v>
      </c>
    </row>
    <row r="232" spans="1:10" x14ac:dyDescent="0.35">
      <c r="A232" s="29"/>
      <c r="B232" s="7"/>
      <c r="C232" s="8"/>
      <c r="D232" s="7"/>
      <c r="E232" s="7"/>
      <c r="F232" s="9"/>
      <c r="G232" s="13"/>
      <c r="H232" s="9"/>
      <c r="I232" s="8"/>
      <c r="J232" s="47">
        <f>J231+Table23453561213[[#This Row],[AMOUNT]]-Table23453561213[[#This Row],[AMOUNT2]]-Table23453561213[[#This Row],[AMOUNT3]]</f>
        <v>0</v>
      </c>
    </row>
    <row r="233" spans="1:10" x14ac:dyDescent="0.35">
      <c r="A233" s="29"/>
      <c r="B233" s="7"/>
      <c r="C233" s="8"/>
      <c r="D233" s="7"/>
      <c r="E233" s="26"/>
      <c r="F233" s="7"/>
      <c r="G233" s="13"/>
      <c r="H233" s="9"/>
      <c r="I233" s="8"/>
      <c r="J233" s="47">
        <f>J232+Table23453561213[[#This Row],[AMOUNT]]-Table23453561213[[#This Row],[AMOUNT2]]-Table23453561213[[#This Row],[AMOUNT3]]</f>
        <v>0</v>
      </c>
    </row>
    <row r="234" spans="1:10" x14ac:dyDescent="0.35">
      <c r="A234" s="29"/>
      <c r="B234" s="7"/>
      <c r="C234" s="8"/>
      <c r="D234" s="7"/>
      <c r="E234" s="7"/>
      <c r="F234" s="33"/>
      <c r="G234" s="13"/>
      <c r="H234" s="9"/>
      <c r="I234" s="8"/>
      <c r="J234" s="47">
        <f>J233+Table23453561213[[#This Row],[AMOUNT]]-Table23453561213[[#This Row],[AMOUNT2]]-Table23453561213[[#This Row],[AMOUNT3]]</f>
        <v>0</v>
      </c>
    </row>
    <row r="235" spans="1:10" x14ac:dyDescent="0.35">
      <c r="A235" s="29"/>
      <c r="B235" s="7"/>
      <c r="C235" s="8"/>
      <c r="D235" s="7"/>
      <c r="E235" s="7"/>
      <c r="F235" s="9"/>
      <c r="G235" s="13"/>
      <c r="H235" s="9"/>
      <c r="I235" s="8"/>
      <c r="J235" s="47">
        <f>J234+Table23453561213[[#This Row],[AMOUNT]]-Table23453561213[[#This Row],[AMOUNT2]]-Table23453561213[[#This Row],[AMOUNT3]]</f>
        <v>0</v>
      </c>
    </row>
    <row r="236" spans="1:10" x14ac:dyDescent="0.35">
      <c r="A236" s="29"/>
      <c r="B236" s="7"/>
      <c r="C236" s="8"/>
      <c r="D236" s="7"/>
      <c r="E236" s="7"/>
      <c r="F236" s="9"/>
      <c r="G236" s="13"/>
      <c r="H236" s="9"/>
      <c r="I236" s="8"/>
      <c r="J236" s="47">
        <f>J235+Table23453561213[[#This Row],[AMOUNT]]-Table23453561213[[#This Row],[AMOUNT2]]-Table23453561213[[#This Row],[AMOUNT3]]</f>
        <v>0</v>
      </c>
    </row>
    <row r="237" spans="1:10" x14ac:dyDescent="0.35">
      <c r="A237" s="29"/>
      <c r="B237" s="7"/>
      <c r="C237" s="8"/>
      <c r="D237" s="7"/>
      <c r="E237" s="7"/>
      <c r="F237" s="9"/>
      <c r="G237" s="13"/>
      <c r="H237" s="9"/>
      <c r="I237" s="8"/>
      <c r="J237" s="47">
        <f>J236+Table23453561213[[#This Row],[AMOUNT]]-Table23453561213[[#This Row],[AMOUNT2]]-Table23453561213[[#This Row],[AMOUNT3]]</f>
        <v>0</v>
      </c>
    </row>
    <row r="238" spans="1:10" x14ac:dyDescent="0.35">
      <c r="A238" s="29"/>
      <c r="B238" s="24"/>
      <c r="C238" s="18"/>
      <c r="D238" s="7"/>
      <c r="E238" s="7"/>
      <c r="F238" s="9"/>
      <c r="G238" s="13"/>
      <c r="H238" s="17"/>
      <c r="I238" s="18"/>
      <c r="J238" s="47">
        <f>J237+Table23453561213[[#This Row],[AMOUNT]]-Table23453561213[[#This Row],[AMOUNT2]]-Table23453561213[[#This Row],[AMOUNT3]]</f>
        <v>0</v>
      </c>
    </row>
    <row r="239" spans="1:10" x14ac:dyDescent="0.35">
      <c r="A239" s="29"/>
      <c r="B239" s="7"/>
      <c r="C239" s="8"/>
      <c r="D239" s="7"/>
      <c r="E239" s="7"/>
      <c r="F239" s="33"/>
      <c r="G239" s="13"/>
      <c r="H239" s="9"/>
      <c r="I239" s="8"/>
      <c r="J239" s="47">
        <f>J238+Table23453561213[[#This Row],[AMOUNT]]-Table23453561213[[#This Row],[AMOUNT2]]-Table23453561213[[#This Row],[AMOUNT3]]</f>
        <v>0</v>
      </c>
    </row>
    <row r="240" spans="1:10" x14ac:dyDescent="0.35">
      <c r="A240" s="29"/>
      <c r="B240" s="7"/>
      <c r="C240" s="8"/>
      <c r="D240" s="7"/>
      <c r="E240" s="26"/>
      <c r="F240" s="7"/>
      <c r="G240" s="13"/>
      <c r="H240" s="9"/>
      <c r="I240" s="8"/>
      <c r="J240" s="47">
        <f>J239+Table23453561213[[#This Row],[AMOUNT]]-Table23453561213[[#This Row],[AMOUNT2]]-Table23453561213[[#This Row],[AMOUNT3]]</f>
        <v>0</v>
      </c>
    </row>
    <row r="241" spans="1:10" x14ac:dyDescent="0.35">
      <c r="A241" s="29"/>
      <c r="B241" s="7"/>
      <c r="C241" s="8"/>
      <c r="D241" s="7"/>
      <c r="E241" s="7"/>
      <c r="F241" s="9"/>
      <c r="G241" s="13"/>
      <c r="H241" s="9"/>
      <c r="I241" s="8"/>
      <c r="J241" s="47">
        <f>J240+Table23453561213[[#This Row],[AMOUNT]]-Table23453561213[[#This Row],[AMOUNT2]]-Table23453561213[[#This Row],[AMOUNT3]]</f>
        <v>0</v>
      </c>
    </row>
    <row r="242" spans="1:10" x14ac:dyDescent="0.35">
      <c r="A242" s="29"/>
      <c r="B242" s="7"/>
      <c r="C242" s="8"/>
      <c r="D242" s="7"/>
      <c r="E242" s="7"/>
      <c r="F242" s="9"/>
      <c r="G242" s="13"/>
      <c r="H242" s="9"/>
      <c r="I242" s="8"/>
      <c r="J242" s="47">
        <f>J241+Table23453561213[[#This Row],[AMOUNT]]-Table23453561213[[#This Row],[AMOUNT2]]-Table23453561213[[#This Row],[AMOUNT3]]</f>
        <v>0</v>
      </c>
    </row>
    <row r="243" spans="1:10" x14ac:dyDescent="0.35">
      <c r="A243" s="29"/>
      <c r="B243" s="7"/>
      <c r="C243" s="8"/>
      <c r="D243" s="7"/>
      <c r="E243" s="7"/>
      <c r="F243" s="33"/>
      <c r="G243" s="13"/>
      <c r="H243" s="9"/>
      <c r="I243" s="8"/>
      <c r="J243" s="47">
        <f>J242+Table23453561213[[#This Row],[AMOUNT]]-Table23453561213[[#This Row],[AMOUNT2]]-Table23453561213[[#This Row],[AMOUNT3]]</f>
        <v>0</v>
      </c>
    </row>
    <row r="244" spans="1:10" x14ac:dyDescent="0.35">
      <c r="A244" s="29"/>
      <c r="B244" s="7"/>
      <c r="C244" s="8"/>
      <c r="D244" s="7"/>
      <c r="E244" s="7"/>
      <c r="F244" s="9"/>
      <c r="G244" s="13"/>
      <c r="H244" s="9"/>
      <c r="I244" s="8"/>
      <c r="J244" s="47">
        <f>J243+Table23453561213[[#This Row],[AMOUNT]]-Table23453561213[[#This Row],[AMOUNT2]]-Table23453561213[[#This Row],[AMOUNT3]]</f>
        <v>0</v>
      </c>
    </row>
    <row r="245" spans="1:10" x14ac:dyDescent="0.35">
      <c r="A245" s="29"/>
      <c r="B245" s="7"/>
      <c r="C245" s="8"/>
      <c r="D245" s="7"/>
      <c r="E245" s="7"/>
      <c r="F245" s="33"/>
      <c r="G245" s="13"/>
      <c r="H245" s="9"/>
      <c r="I245" s="8"/>
      <c r="J245" s="47">
        <f>J244+Table23453561213[[#This Row],[AMOUNT]]-Table23453561213[[#This Row],[AMOUNT2]]-Table23453561213[[#This Row],[AMOUNT3]]</f>
        <v>0</v>
      </c>
    </row>
    <row r="246" spans="1:10" x14ac:dyDescent="0.35">
      <c r="A246" s="29"/>
      <c r="B246" s="7"/>
      <c r="C246" s="8"/>
      <c r="D246" s="7"/>
      <c r="E246" s="7"/>
      <c r="F246" s="9"/>
      <c r="G246" s="13"/>
      <c r="H246" s="9"/>
      <c r="I246" s="8"/>
      <c r="J246" s="47">
        <f>J245+Table23453561213[[#This Row],[AMOUNT]]-Table23453561213[[#This Row],[AMOUNT2]]-Table23453561213[[#This Row],[AMOUNT3]]</f>
        <v>0</v>
      </c>
    </row>
    <row r="247" spans="1:10" x14ac:dyDescent="0.35">
      <c r="A247" s="29"/>
      <c r="B247" s="7"/>
      <c r="C247" s="8"/>
      <c r="D247" s="7"/>
      <c r="E247" s="7"/>
      <c r="F247" s="9"/>
      <c r="G247" s="13"/>
      <c r="H247" s="9"/>
      <c r="I247" s="8"/>
      <c r="J247" s="47">
        <f>J246+Table23453561213[[#This Row],[AMOUNT]]-Table23453561213[[#This Row],[AMOUNT2]]-Table23453561213[[#This Row],[AMOUNT3]]</f>
        <v>0</v>
      </c>
    </row>
    <row r="248" spans="1:10" x14ac:dyDescent="0.35">
      <c r="A248" s="29"/>
      <c r="B248" s="7"/>
      <c r="C248" s="8"/>
      <c r="D248" s="7"/>
      <c r="E248" s="7"/>
      <c r="F248" s="33"/>
      <c r="G248" s="13"/>
      <c r="H248" s="9"/>
      <c r="I248" s="8"/>
      <c r="J248" s="47">
        <f>J247+Table23453561213[[#This Row],[AMOUNT]]-Table23453561213[[#This Row],[AMOUNT2]]-Table23453561213[[#This Row],[AMOUNT3]]</f>
        <v>0</v>
      </c>
    </row>
    <row r="249" spans="1:10" x14ac:dyDescent="0.35">
      <c r="A249" s="29"/>
      <c r="B249" s="7"/>
      <c r="C249" s="8"/>
      <c r="D249" s="7"/>
      <c r="E249" s="7"/>
      <c r="F249" s="9"/>
      <c r="G249" s="13"/>
      <c r="H249" s="9"/>
      <c r="I249" s="8"/>
      <c r="J249" s="47">
        <f>J248+Table23453561213[[#This Row],[AMOUNT]]-Table23453561213[[#This Row],[AMOUNT2]]-Table23453561213[[#This Row],[AMOUNT3]]</f>
        <v>0</v>
      </c>
    </row>
    <row r="250" spans="1:10" x14ac:dyDescent="0.35">
      <c r="A250" s="29"/>
      <c r="B250" s="7"/>
      <c r="C250" s="8"/>
      <c r="D250" s="7"/>
      <c r="E250" s="7"/>
      <c r="F250" s="9"/>
      <c r="G250" s="13"/>
      <c r="H250" s="9"/>
      <c r="I250" s="8"/>
      <c r="J250" s="47">
        <f>J249+Table23453561213[[#This Row],[AMOUNT]]-Table23453561213[[#This Row],[AMOUNT2]]-Table23453561213[[#This Row],[AMOUNT3]]</f>
        <v>0</v>
      </c>
    </row>
    <row r="251" spans="1:10" x14ac:dyDescent="0.35">
      <c r="A251" s="29"/>
      <c r="B251" s="7"/>
      <c r="C251" s="8"/>
      <c r="D251" s="7"/>
      <c r="E251" s="7"/>
      <c r="F251" s="9"/>
      <c r="G251" s="13"/>
      <c r="H251" s="9"/>
      <c r="I251" s="8"/>
      <c r="J251" s="47">
        <f>J250+Table23453561213[[#This Row],[AMOUNT]]-Table23453561213[[#This Row],[AMOUNT2]]-Table23453561213[[#This Row],[AMOUNT3]]</f>
        <v>0</v>
      </c>
    </row>
    <row r="252" spans="1:10" x14ac:dyDescent="0.35">
      <c r="A252" s="29"/>
      <c r="B252" s="7"/>
      <c r="C252" s="8"/>
      <c r="D252" s="7"/>
      <c r="E252" s="7"/>
      <c r="F252" s="9"/>
      <c r="G252" s="13"/>
      <c r="H252" s="9"/>
      <c r="I252" s="8"/>
      <c r="J252" s="47">
        <f>J251+Table23453561213[[#This Row],[AMOUNT]]-Table23453561213[[#This Row],[AMOUNT2]]-Table23453561213[[#This Row],[AMOUNT3]]</f>
        <v>0</v>
      </c>
    </row>
    <row r="253" spans="1:10" x14ac:dyDescent="0.35">
      <c r="A253" s="29"/>
      <c r="B253" s="7"/>
      <c r="C253" s="8"/>
      <c r="D253" s="7"/>
      <c r="E253" s="7"/>
      <c r="F253" s="9"/>
      <c r="G253" s="13"/>
      <c r="H253" s="9"/>
      <c r="I253" s="8"/>
      <c r="J253" s="47">
        <f>J252+Table23453561213[[#This Row],[AMOUNT]]-Table23453561213[[#This Row],[AMOUNT2]]-Table23453561213[[#This Row],[AMOUNT3]]</f>
        <v>0</v>
      </c>
    </row>
    <row r="254" spans="1:10" x14ac:dyDescent="0.35">
      <c r="A254" s="29"/>
      <c r="B254" s="7"/>
      <c r="C254" s="8"/>
      <c r="D254" s="7"/>
      <c r="E254" s="7"/>
      <c r="F254" s="9"/>
      <c r="G254" s="13"/>
      <c r="H254" s="9"/>
      <c r="I254" s="8"/>
      <c r="J254" s="47">
        <f>J253+Table23453561213[[#This Row],[AMOUNT]]-Table23453561213[[#This Row],[AMOUNT2]]-Table23453561213[[#This Row],[AMOUNT3]]</f>
        <v>0</v>
      </c>
    </row>
    <row r="255" spans="1:10" x14ac:dyDescent="0.35">
      <c r="A255" s="29"/>
      <c r="B255" s="7"/>
      <c r="C255" s="8"/>
      <c r="D255" s="7"/>
      <c r="E255" s="26"/>
      <c r="F255" s="7"/>
      <c r="G255" s="13"/>
      <c r="H255" s="9"/>
      <c r="I255" s="8"/>
      <c r="J255" s="47">
        <f>J254+Table23453561213[[#This Row],[AMOUNT]]-Table23453561213[[#This Row],[AMOUNT2]]-Table23453561213[[#This Row],[AMOUNT3]]</f>
        <v>0</v>
      </c>
    </row>
    <row r="256" spans="1:10" x14ac:dyDescent="0.35">
      <c r="A256" s="29"/>
      <c r="B256" s="7"/>
      <c r="C256" s="8"/>
      <c r="D256" s="7"/>
      <c r="E256" s="7"/>
      <c r="F256" s="9"/>
      <c r="G256" s="13"/>
      <c r="H256" s="9"/>
      <c r="I256" s="8"/>
      <c r="J256" s="47">
        <f>J255+Table23453561213[[#This Row],[AMOUNT]]-Table23453561213[[#This Row],[AMOUNT2]]-Table23453561213[[#This Row],[AMOUNT3]]</f>
        <v>0</v>
      </c>
    </row>
    <row r="257" spans="1:10" x14ac:dyDescent="0.35">
      <c r="A257" s="29"/>
      <c r="B257" s="7"/>
      <c r="C257" s="8"/>
      <c r="D257" s="7"/>
      <c r="E257" s="7"/>
      <c r="F257" s="33"/>
      <c r="G257" s="13"/>
      <c r="H257" s="9"/>
      <c r="I257" s="8"/>
      <c r="J257" s="47">
        <f>J256+Table23453561213[[#This Row],[AMOUNT]]-Table23453561213[[#This Row],[AMOUNT2]]-Table23453561213[[#This Row],[AMOUNT3]]</f>
        <v>0</v>
      </c>
    </row>
    <row r="258" spans="1:10" x14ac:dyDescent="0.35">
      <c r="A258" s="29"/>
      <c r="B258" s="7"/>
      <c r="C258" s="8"/>
      <c r="D258" s="7"/>
      <c r="E258" s="7"/>
      <c r="F258" s="9"/>
      <c r="G258" s="13"/>
      <c r="H258" s="9"/>
      <c r="I258" s="8"/>
      <c r="J258" s="47">
        <f>J257+Table23453561213[[#This Row],[AMOUNT]]-Table23453561213[[#This Row],[AMOUNT2]]-Table23453561213[[#This Row],[AMOUNT3]]</f>
        <v>0</v>
      </c>
    </row>
    <row r="259" spans="1:10" x14ac:dyDescent="0.35">
      <c r="A259" s="29"/>
      <c r="B259" s="7"/>
      <c r="C259" s="8"/>
      <c r="D259" s="7"/>
      <c r="E259" s="7"/>
      <c r="F259" s="9"/>
      <c r="G259" s="13"/>
      <c r="H259" s="9"/>
      <c r="I259" s="8"/>
      <c r="J259" s="47">
        <f>J258+Table23453561213[[#This Row],[AMOUNT]]-Table23453561213[[#This Row],[AMOUNT2]]-Table23453561213[[#This Row],[AMOUNT3]]</f>
        <v>0</v>
      </c>
    </row>
    <row r="260" spans="1:10" x14ac:dyDescent="0.35">
      <c r="A260" s="29"/>
      <c r="B260" s="7"/>
      <c r="C260" s="8"/>
      <c r="D260" s="7"/>
      <c r="E260" s="7"/>
      <c r="F260" s="33"/>
      <c r="G260" s="13"/>
      <c r="H260" s="9"/>
      <c r="I260" s="8"/>
      <c r="J260" s="47">
        <f>J259+Table23453561213[[#This Row],[AMOUNT]]-Table23453561213[[#This Row],[AMOUNT2]]-Table23453561213[[#This Row],[AMOUNT3]]</f>
        <v>0</v>
      </c>
    </row>
    <row r="261" spans="1:10" x14ac:dyDescent="0.35">
      <c r="A261" s="29"/>
      <c r="B261" s="7"/>
      <c r="C261" s="8"/>
      <c r="D261" s="7"/>
      <c r="E261" s="7"/>
      <c r="F261" s="33"/>
      <c r="G261" s="13"/>
      <c r="H261" s="9"/>
      <c r="I261" s="8"/>
      <c r="J261" s="47">
        <f>J260+Table23453561213[[#This Row],[AMOUNT]]-Table23453561213[[#This Row],[AMOUNT2]]-Table23453561213[[#This Row],[AMOUNT3]]</f>
        <v>0</v>
      </c>
    </row>
    <row r="262" spans="1:10" x14ac:dyDescent="0.35">
      <c r="A262" s="29"/>
      <c r="B262" s="7"/>
      <c r="C262" s="8"/>
      <c r="D262" s="7"/>
      <c r="E262" s="26"/>
      <c r="F262" s="7"/>
      <c r="G262" s="13"/>
      <c r="H262" s="9"/>
      <c r="I262" s="8"/>
      <c r="J262" s="47">
        <f>J261+Table23453561213[[#This Row],[AMOUNT]]-Table23453561213[[#This Row],[AMOUNT2]]-Table23453561213[[#This Row],[AMOUNT3]]</f>
        <v>0</v>
      </c>
    </row>
    <row r="263" spans="1:10" x14ac:dyDescent="0.35">
      <c r="A263" s="29"/>
      <c r="B263" s="7"/>
      <c r="C263" s="8"/>
      <c r="D263" s="7"/>
      <c r="E263" s="7"/>
      <c r="F263" s="9"/>
      <c r="G263" s="13"/>
      <c r="H263" s="9"/>
      <c r="I263" s="8"/>
      <c r="J263" s="47">
        <f>J262+Table23453561213[[#This Row],[AMOUNT]]-Table23453561213[[#This Row],[AMOUNT2]]-Table23453561213[[#This Row],[AMOUNT3]]</f>
        <v>0</v>
      </c>
    </row>
    <row r="264" spans="1:10" x14ac:dyDescent="0.35">
      <c r="A264" s="29"/>
      <c r="B264" s="7"/>
      <c r="C264" s="8"/>
      <c r="D264" s="7"/>
      <c r="E264" s="7"/>
      <c r="F264" s="9"/>
      <c r="G264" s="13"/>
      <c r="H264" s="9"/>
      <c r="I264" s="8"/>
      <c r="J264" s="47">
        <f>J263+Table23453561213[[#This Row],[AMOUNT]]-Table23453561213[[#This Row],[AMOUNT2]]-Table23453561213[[#This Row],[AMOUNT3]]</f>
        <v>0</v>
      </c>
    </row>
    <row r="265" spans="1:10" x14ac:dyDescent="0.35">
      <c r="A265" s="29"/>
      <c r="B265" s="7"/>
      <c r="C265" s="8"/>
      <c r="D265" s="7"/>
      <c r="E265" s="7"/>
      <c r="F265" s="33"/>
      <c r="G265" s="13"/>
      <c r="H265" s="9"/>
      <c r="I265" s="8"/>
      <c r="J265" s="47">
        <f>J264+Table23453561213[[#This Row],[AMOUNT]]-Table23453561213[[#This Row],[AMOUNT2]]-Table23453561213[[#This Row],[AMOUNT3]]</f>
        <v>0</v>
      </c>
    </row>
    <row r="266" spans="1:10" x14ac:dyDescent="0.35">
      <c r="A266" s="29"/>
      <c r="B266" s="7"/>
      <c r="C266" s="8"/>
      <c r="D266" s="7"/>
      <c r="E266" s="7"/>
      <c r="F266" s="9"/>
      <c r="G266" s="13"/>
      <c r="H266" s="9"/>
      <c r="I266" s="8"/>
      <c r="J266" s="47">
        <f>J265+Table23453561213[[#This Row],[AMOUNT]]-Table23453561213[[#This Row],[AMOUNT2]]-Table23453561213[[#This Row],[AMOUNT3]]</f>
        <v>0</v>
      </c>
    </row>
    <row r="267" spans="1:10" x14ac:dyDescent="0.35">
      <c r="A267" s="29"/>
      <c r="B267" s="7"/>
      <c r="C267" s="8"/>
      <c r="D267" s="7"/>
      <c r="E267" s="26"/>
      <c r="F267" s="7"/>
      <c r="G267" s="13"/>
      <c r="H267" s="9"/>
      <c r="I267" s="8"/>
      <c r="J267" s="47">
        <f>J266+Table23453561213[[#This Row],[AMOUNT]]-Table23453561213[[#This Row],[AMOUNT2]]-Table23453561213[[#This Row],[AMOUNT3]]</f>
        <v>0</v>
      </c>
    </row>
    <row r="268" spans="1:10" x14ac:dyDescent="0.35">
      <c r="A268" s="29"/>
      <c r="B268" s="7"/>
      <c r="C268" s="8"/>
      <c r="D268" s="7"/>
      <c r="E268" s="7"/>
      <c r="F268" s="9"/>
      <c r="G268" s="13"/>
      <c r="H268" s="9"/>
      <c r="I268" s="8"/>
      <c r="J268" s="47">
        <f>J267+Table23453561213[[#This Row],[AMOUNT]]-Table23453561213[[#This Row],[AMOUNT2]]-Table23453561213[[#This Row],[AMOUNT3]]</f>
        <v>0</v>
      </c>
    </row>
    <row r="269" spans="1:10" x14ac:dyDescent="0.35">
      <c r="A269" s="29"/>
      <c r="B269" s="7"/>
      <c r="C269" s="8"/>
      <c r="D269" s="7"/>
      <c r="E269" s="7"/>
      <c r="F269" s="33"/>
      <c r="G269" s="13"/>
      <c r="H269" s="9"/>
      <c r="I269" s="8"/>
      <c r="J269" s="47">
        <f>J268+Table23453561213[[#This Row],[AMOUNT]]-Table23453561213[[#This Row],[AMOUNT2]]-Table23453561213[[#This Row],[AMOUNT3]]</f>
        <v>0</v>
      </c>
    </row>
    <row r="270" spans="1:10" x14ac:dyDescent="0.35">
      <c r="A270" s="29"/>
      <c r="B270" s="7"/>
      <c r="C270" s="8"/>
      <c r="D270" s="7"/>
      <c r="E270" s="7"/>
      <c r="F270" s="9"/>
      <c r="G270" s="13"/>
      <c r="H270" s="9"/>
      <c r="I270" s="8"/>
      <c r="J270" s="47">
        <f>J269+Table23453561213[[#This Row],[AMOUNT]]-Table23453561213[[#This Row],[AMOUNT2]]-Table23453561213[[#This Row],[AMOUNT3]]</f>
        <v>0</v>
      </c>
    </row>
    <row r="271" spans="1:10" x14ac:dyDescent="0.35">
      <c r="A271" s="29"/>
      <c r="B271" s="7"/>
      <c r="C271" s="8"/>
      <c r="D271" s="7"/>
      <c r="E271" s="7"/>
      <c r="F271" s="9"/>
      <c r="G271" s="13"/>
      <c r="H271" s="9"/>
      <c r="I271" s="8"/>
      <c r="J271" s="47">
        <f>J270+Table23453561213[[#This Row],[AMOUNT]]-Table23453561213[[#This Row],[AMOUNT2]]-Table23453561213[[#This Row],[AMOUNT3]]</f>
        <v>0</v>
      </c>
    </row>
    <row r="272" spans="1:10" x14ac:dyDescent="0.35">
      <c r="A272" s="29"/>
      <c r="B272" s="7"/>
      <c r="C272" s="8"/>
      <c r="D272" s="7"/>
      <c r="E272" s="7"/>
      <c r="F272" s="9"/>
      <c r="G272" s="13"/>
      <c r="H272" s="9"/>
      <c r="I272" s="8"/>
      <c r="J272" s="47">
        <f>J271+Table23453561213[[#This Row],[AMOUNT]]-Table23453561213[[#This Row],[AMOUNT2]]-Table23453561213[[#This Row],[AMOUNT3]]</f>
        <v>0</v>
      </c>
    </row>
    <row r="273" spans="1:10" x14ac:dyDescent="0.35">
      <c r="A273" s="29"/>
      <c r="B273" s="7"/>
      <c r="C273" s="8"/>
      <c r="D273" s="7"/>
      <c r="E273" s="7"/>
      <c r="F273" s="9"/>
      <c r="G273" s="13"/>
      <c r="H273" s="9"/>
      <c r="I273" s="8"/>
      <c r="J273" s="47">
        <f>J272+Table23453561213[[#This Row],[AMOUNT]]-Table23453561213[[#This Row],[AMOUNT2]]-Table23453561213[[#This Row],[AMOUNT3]]</f>
        <v>0</v>
      </c>
    </row>
    <row r="274" spans="1:10" x14ac:dyDescent="0.35">
      <c r="A274" s="29"/>
      <c r="B274" s="7"/>
      <c r="C274" s="8"/>
      <c r="D274" s="7"/>
      <c r="E274" s="7"/>
      <c r="F274" s="9"/>
      <c r="G274" s="13"/>
      <c r="H274" s="9"/>
      <c r="I274" s="8"/>
      <c r="J274" s="47">
        <f>J273+Table23453561213[[#This Row],[AMOUNT]]-Table23453561213[[#This Row],[AMOUNT2]]-Table23453561213[[#This Row],[AMOUNT3]]</f>
        <v>0</v>
      </c>
    </row>
    <row r="275" spans="1:10" x14ac:dyDescent="0.35">
      <c r="A275" s="29"/>
      <c r="B275" s="7"/>
      <c r="C275" s="8"/>
      <c r="D275" s="7"/>
      <c r="E275" s="7"/>
      <c r="F275" s="9"/>
      <c r="G275" s="13"/>
      <c r="H275" s="9"/>
      <c r="I275" s="8"/>
      <c r="J275" s="47">
        <f>J274+Table23453561213[[#This Row],[AMOUNT]]-Table23453561213[[#This Row],[AMOUNT2]]-Table23453561213[[#This Row],[AMOUNT3]]</f>
        <v>0</v>
      </c>
    </row>
    <row r="276" spans="1:10" x14ac:dyDescent="0.35">
      <c r="A276" s="29"/>
      <c r="B276" s="7"/>
      <c r="C276" s="8"/>
      <c r="D276" s="7"/>
      <c r="E276" s="7"/>
      <c r="F276" s="9"/>
      <c r="G276" s="13"/>
      <c r="H276" s="9"/>
      <c r="I276" s="8"/>
      <c r="J276" s="47">
        <f>J275+Table23453561213[[#This Row],[AMOUNT]]-Table23453561213[[#This Row],[AMOUNT2]]-Table23453561213[[#This Row],[AMOUNT3]]</f>
        <v>0</v>
      </c>
    </row>
    <row r="277" spans="1:10" x14ac:dyDescent="0.35">
      <c r="A277" s="29"/>
      <c r="B277" s="7"/>
      <c r="C277" s="8"/>
      <c r="D277" s="7"/>
      <c r="E277" s="7"/>
      <c r="F277" s="9"/>
      <c r="G277" s="13"/>
      <c r="H277" s="9"/>
      <c r="I277" s="8"/>
      <c r="J277" s="47">
        <f>J276+Table23453561213[[#This Row],[AMOUNT]]-Table23453561213[[#This Row],[AMOUNT2]]-Table23453561213[[#This Row],[AMOUNT3]]</f>
        <v>0</v>
      </c>
    </row>
    <row r="278" spans="1:10" x14ac:dyDescent="0.35">
      <c r="A278" s="29"/>
      <c r="B278" s="7"/>
      <c r="C278" s="8"/>
      <c r="D278" s="7"/>
      <c r="E278" s="7"/>
      <c r="F278" s="9"/>
      <c r="G278" s="13"/>
      <c r="H278" s="9"/>
      <c r="I278" s="8"/>
      <c r="J278" s="47">
        <f>J277+Table23453561213[[#This Row],[AMOUNT]]-Table23453561213[[#This Row],[AMOUNT2]]-Table23453561213[[#This Row],[AMOUNT3]]</f>
        <v>0</v>
      </c>
    </row>
    <row r="279" spans="1:10" x14ac:dyDescent="0.35">
      <c r="A279" s="29"/>
      <c r="B279" s="7"/>
      <c r="C279" s="8"/>
      <c r="D279" s="7"/>
      <c r="E279" s="26"/>
      <c r="F279" s="7"/>
      <c r="G279" s="13"/>
      <c r="H279" s="9"/>
      <c r="I279" s="8"/>
      <c r="J279" s="47">
        <f>J278+Table23453561213[[#This Row],[AMOUNT]]-Table23453561213[[#This Row],[AMOUNT2]]-Table23453561213[[#This Row],[AMOUNT3]]</f>
        <v>0</v>
      </c>
    </row>
    <row r="280" spans="1:10" x14ac:dyDescent="0.35">
      <c r="A280" s="29"/>
      <c r="B280" s="7"/>
      <c r="C280" s="8"/>
      <c r="D280" s="7"/>
      <c r="E280" s="7"/>
      <c r="F280" s="9"/>
      <c r="G280" s="13"/>
      <c r="H280" s="9"/>
      <c r="I280" s="8"/>
      <c r="J280" s="47">
        <f>J279+Table23453561213[[#This Row],[AMOUNT]]-Table23453561213[[#This Row],[AMOUNT2]]-Table23453561213[[#This Row],[AMOUNT3]]</f>
        <v>0</v>
      </c>
    </row>
    <row r="281" spans="1:10" x14ac:dyDescent="0.35">
      <c r="A281" s="29"/>
      <c r="B281" s="7"/>
      <c r="C281" s="8"/>
      <c r="D281" s="7"/>
      <c r="E281" s="7"/>
      <c r="F281" s="9"/>
      <c r="G281" s="13"/>
      <c r="H281" s="9"/>
      <c r="I281" s="8"/>
      <c r="J281" s="47">
        <f>J280+Table23453561213[[#This Row],[AMOUNT]]-Table23453561213[[#This Row],[AMOUNT2]]-Table23453561213[[#This Row],[AMOUNT3]]</f>
        <v>0</v>
      </c>
    </row>
    <row r="282" spans="1:10" x14ac:dyDescent="0.35">
      <c r="A282" s="29"/>
      <c r="B282" s="7"/>
      <c r="C282" s="8"/>
      <c r="D282" s="7"/>
      <c r="E282" s="7"/>
      <c r="F282" s="9"/>
      <c r="G282" s="13"/>
      <c r="H282" s="9"/>
      <c r="I282" s="8"/>
      <c r="J282" s="47">
        <f>J281+Table23453561213[[#This Row],[AMOUNT]]-Table23453561213[[#This Row],[AMOUNT2]]-Table23453561213[[#This Row],[AMOUNT3]]</f>
        <v>0</v>
      </c>
    </row>
    <row r="283" spans="1:10" x14ac:dyDescent="0.35">
      <c r="A283" s="29"/>
      <c r="B283" s="7"/>
      <c r="C283" s="8"/>
      <c r="D283" s="7"/>
      <c r="E283" s="7"/>
      <c r="F283" s="9"/>
      <c r="G283" s="13"/>
      <c r="H283" s="9"/>
      <c r="I283" s="8"/>
      <c r="J283" s="47">
        <f>J282+Table23453561213[[#This Row],[AMOUNT]]-Table23453561213[[#This Row],[AMOUNT2]]-Table23453561213[[#This Row],[AMOUNT3]]</f>
        <v>0</v>
      </c>
    </row>
    <row r="284" spans="1:10" x14ac:dyDescent="0.35">
      <c r="A284" s="29"/>
      <c r="B284" s="7"/>
      <c r="C284" s="8"/>
      <c r="D284" s="7"/>
      <c r="E284" s="7"/>
      <c r="F284" s="9"/>
      <c r="G284" s="13"/>
      <c r="H284" s="9"/>
      <c r="I284" s="8"/>
      <c r="J284" s="47">
        <f>J283+Table23453561213[[#This Row],[AMOUNT]]-Table23453561213[[#This Row],[AMOUNT2]]-Table23453561213[[#This Row],[AMOUNT3]]</f>
        <v>0</v>
      </c>
    </row>
    <row r="285" spans="1:10" x14ac:dyDescent="0.35">
      <c r="A285" s="29"/>
      <c r="B285" s="7"/>
      <c r="C285" s="8"/>
      <c r="D285" s="7"/>
      <c r="E285" s="7"/>
      <c r="F285" s="9"/>
      <c r="G285" s="13"/>
      <c r="H285" s="9"/>
      <c r="I285" s="8"/>
      <c r="J285" s="47">
        <f>J284+Table23453561213[[#This Row],[AMOUNT]]-Table23453561213[[#This Row],[AMOUNT2]]-Table23453561213[[#This Row],[AMOUNT3]]</f>
        <v>0</v>
      </c>
    </row>
    <row r="286" spans="1:10" x14ac:dyDescent="0.35">
      <c r="A286" s="29"/>
      <c r="B286" s="7"/>
      <c r="C286" s="8"/>
      <c r="D286" s="7"/>
      <c r="E286" s="26"/>
      <c r="F286" s="7"/>
      <c r="G286" s="13"/>
      <c r="H286" s="9"/>
      <c r="I286" s="8"/>
      <c r="J286" s="47">
        <f>J285+Table23453561213[[#This Row],[AMOUNT]]-Table23453561213[[#This Row],[AMOUNT2]]-Table23453561213[[#This Row],[AMOUNT3]]</f>
        <v>0</v>
      </c>
    </row>
    <row r="287" spans="1:10" x14ac:dyDescent="0.35">
      <c r="A287" s="29"/>
      <c r="B287" s="7"/>
      <c r="C287" s="8"/>
      <c r="D287" s="7"/>
      <c r="E287" s="7"/>
      <c r="F287" s="9"/>
      <c r="G287" s="13"/>
      <c r="H287" s="9"/>
      <c r="I287" s="8"/>
      <c r="J287" s="47">
        <f>J286+Table23453561213[[#This Row],[AMOUNT]]-Table23453561213[[#This Row],[AMOUNT2]]-Table23453561213[[#This Row],[AMOUNT3]]</f>
        <v>0</v>
      </c>
    </row>
    <row r="288" spans="1:10" x14ac:dyDescent="0.35">
      <c r="A288" s="29"/>
      <c r="B288" s="7"/>
      <c r="C288" s="8"/>
      <c r="D288" s="7"/>
      <c r="E288" s="7"/>
      <c r="F288" s="9"/>
      <c r="G288" s="13"/>
      <c r="H288" s="9"/>
      <c r="I288" s="8"/>
      <c r="J288" s="47">
        <f>J287+Table23453561213[[#This Row],[AMOUNT]]-Table23453561213[[#This Row],[AMOUNT2]]-Table23453561213[[#This Row],[AMOUNT3]]</f>
        <v>0</v>
      </c>
    </row>
    <row r="289" spans="1:10" x14ac:dyDescent="0.35">
      <c r="A289" s="29"/>
      <c r="B289" s="7"/>
      <c r="C289" s="8"/>
      <c r="D289" s="7"/>
      <c r="E289" s="7"/>
      <c r="F289" s="9"/>
      <c r="G289" s="13"/>
      <c r="H289" s="9"/>
      <c r="I289" s="8"/>
      <c r="J289" s="47">
        <f>J288+Table23453561213[[#This Row],[AMOUNT]]-Table23453561213[[#This Row],[AMOUNT2]]-Table23453561213[[#This Row],[AMOUNT3]]</f>
        <v>0</v>
      </c>
    </row>
    <row r="290" spans="1:10" x14ac:dyDescent="0.35">
      <c r="A290" s="29"/>
      <c r="B290" s="7"/>
      <c r="C290" s="8"/>
      <c r="D290" s="7"/>
      <c r="E290" s="26"/>
      <c r="F290" s="7"/>
      <c r="G290" s="13"/>
      <c r="H290" s="9"/>
      <c r="I290" s="8"/>
      <c r="J290" s="47">
        <f>J289+Table23453561213[[#This Row],[AMOUNT]]-Table23453561213[[#This Row],[AMOUNT2]]-Table23453561213[[#This Row],[AMOUNT3]]</f>
        <v>0</v>
      </c>
    </row>
    <row r="291" spans="1:10" x14ac:dyDescent="0.35">
      <c r="A291" s="29"/>
      <c r="B291" s="7"/>
      <c r="C291" s="8"/>
      <c r="D291" s="7"/>
      <c r="E291" s="7"/>
      <c r="F291" s="9"/>
      <c r="G291" s="13"/>
      <c r="H291" s="9"/>
      <c r="I291" s="8"/>
      <c r="J291" s="47">
        <f>J290+Table23453561213[[#This Row],[AMOUNT]]-Table23453561213[[#This Row],[AMOUNT2]]-Table23453561213[[#This Row],[AMOUNT3]]</f>
        <v>0</v>
      </c>
    </row>
    <row r="292" spans="1:10" x14ac:dyDescent="0.35">
      <c r="A292" s="29"/>
      <c r="B292" s="7"/>
      <c r="C292" s="8"/>
      <c r="D292" s="7"/>
      <c r="E292" s="7"/>
      <c r="F292" s="9"/>
      <c r="G292" s="13"/>
      <c r="H292" s="9"/>
      <c r="I292" s="8"/>
      <c r="J292" s="47">
        <f>J291+Table23453561213[[#This Row],[AMOUNT]]-Table23453561213[[#This Row],[AMOUNT2]]-Table23453561213[[#This Row],[AMOUNT3]]</f>
        <v>0</v>
      </c>
    </row>
    <row r="293" spans="1:10" x14ac:dyDescent="0.35">
      <c r="A293" s="29"/>
      <c r="B293" s="7"/>
      <c r="C293" s="8"/>
      <c r="D293" s="7"/>
      <c r="E293" s="7"/>
      <c r="F293" s="9"/>
      <c r="G293" s="13"/>
      <c r="H293" s="9"/>
      <c r="I293" s="8"/>
      <c r="J293" s="47">
        <f>J292+Table23453561213[[#This Row],[AMOUNT]]-Table23453561213[[#This Row],[AMOUNT2]]-Table23453561213[[#This Row],[AMOUNT3]]</f>
        <v>0</v>
      </c>
    </row>
    <row r="294" spans="1:10" x14ac:dyDescent="0.35">
      <c r="A294" s="29"/>
      <c r="B294" s="7"/>
      <c r="C294" s="8"/>
      <c r="D294" s="7"/>
      <c r="E294" s="7"/>
      <c r="F294" s="9"/>
      <c r="G294" s="13"/>
      <c r="H294" s="9"/>
      <c r="I294" s="8"/>
      <c r="J294" s="47">
        <f>J293+Table23453561213[[#This Row],[AMOUNT]]-Table23453561213[[#This Row],[AMOUNT2]]-Table23453561213[[#This Row],[AMOUNT3]]</f>
        <v>0</v>
      </c>
    </row>
    <row r="295" spans="1:10" x14ac:dyDescent="0.35">
      <c r="A295" s="29"/>
      <c r="B295" s="7"/>
      <c r="C295" s="8"/>
      <c r="D295" s="7"/>
      <c r="E295" s="26"/>
      <c r="F295" s="7"/>
      <c r="G295" s="13"/>
      <c r="H295" s="9"/>
      <c r="I295" s="8"/>
      <c r="J295" s="47">
        <f>J294+Table23453561213[[#This Row],[AMOUNT]]-Table23453561213[[#This Row],[AMOUNT2]]-Table23453561213[[#This Row],[AMOUNT3]]</f>
        <v>0</v>
      </c>
    </row>
    <row r="296" spans="1:10" x14ac:dyDescent="0.35">
      <c r="A296" s="29"/>
      <c r="B296" s="7"/>
      <c r="C296" s="8"/>
      <c r="D296" s="7"/>
      <c r="E296" s="7"/>
      <c r="F296" s="9"/>
      <c r="G296" s="13"/>
      <c r="H296" s="9"/>
      <c r="I296" s="8"/>
      <c r="J296" s="47">
        <f>J295+Table23453561213[[#This Row],[AMOUNT]]-Table23453561213[[#This Row],[AMOUNT2]]-Table23453561213[[#This Row],[AMOUNT3]]</f>
        <v>0</v>
      </c>
    </row>
    <row r="297" spans="1:10" x14ac:dyDescent="0.35">
      <c r="A297" s="29"/>
      <c r="B297" s="7"/>
      <c r="C297" s="8"/>
      <c r="D297" s="7"/>
      <c r="E297" s="7"/>
      <c r="F297" s="9"/>
      <c r="G297" s="13"/>
      <c r="H297" s="9"/>
      <c r="I297" s="8"/>
      <c r="J297" s="47">
        <f>J296+Table23453561213[[#This Row],[AMOUNT]]-Table23453561213[[#This Row],[AMOUNT2]]-Table23453561213[[#This Row],[AMOUNT3]]</f>
        <v>0</v>
      </c>
    </row>
    <row r="298" spans="1:10" x14ac:dyDescent="0.35">
      <c r="A298" s="29"/>
      <c r="B298" s="7"/>
      <c r="C298" s="8"/>
      <c r="D298" s="7"/>
      <c r="E298" s="26"/>
      <c r="F298" s="7"/>
      <c r="G298" s="13"/>
      <c r="H298" s="9"/>
      <c r="I298" s="8"/>
      <c r="J298" s="47">
        <f>J297+Table23453561213[[#This Row],[AMOUNT]]-Table23453561213[[#This Row],[AMOUNT2]]-Table23453561213[[#This Row],[AMOUNT3]]</f>
        <v>0</v>
      </c>
    </row>
    <row r="299" spans="1:10" x14ac:dyDescent="0.35">
      <c r="A299" s="29"/>
      <c r="B299" s="7"/>
      <c r="C299" s="8"/>
      <c r="D299" s="7"/>
      <c r="E299" s="7"/>
      <c r="F299" s="9"/>
      <c r="G299" s="13"/>
      <c r="H299" s="9"/>
      <c r="I299" s="8"/>
      <c r="J299" s="47">
        <f>J298+Table23453561213[[#This Row],[AMOUNT]]-Table23453561213[[#This Row],[AMOUNT2]]-Table23453561213[[#This Row],[AMOUNT3]]</f>
        <v>0</v>
      </c>
    </row>
    <row r="300" spans="1:10" x14ac:dyDescent="0.35">
      <c r="A300" s="29"/>
      <c r="B300" s="7"/>
      <c r="C300" s="8"/>
      <c r="D300" s="7"/>
      <c r="E300" s="7"/>
      <c r="F300" s="9"/>
      <c r="G300" s="13"/>
      <c r="H300" s="9"/>
      <c r="I300" s="8"/>
      <c r="J300" s="47">
        <f>J299+Table23453561213[[#This Row],[AMOUNT]]-Table23453561213[[#This Row],[AMOUNT2]]-Table23453561213[[#This Row],[AMOUNT3]]</f>
        <v>0</v>
      </c>
    </row>
    <row r="301" spans="1:10" x14ac:dyDescent="0.35">
      <c r="A301" s="29"/>
      <c r="B301" s="7"/>
      <c r="C301" s="8"/>
      <c r="D301" s="7"/>
      <c r="E301" s="26"/>
      <c r="F301" s="9"/>
      <c r="G301" s="13"/>
      <c r="H301" s="9"/>
      <c r="I301" s="8"/>
      <c r="J301" s="47">
        <f>J300+Table23453561213[[#This Row],[AMOUNT]]-Table23453561213[[#This Row],[AMOUNT2]]-Table23453561213[[#This Row],[AMOUNT3]]</f>
        <v>0</v>
      </c>
    </row>
    <row r="302" spans="1:10" x14ac:dyDescent="0.35">
      <c r="A302" s="29"/>
      <c r="B302" s="7"/>
      <c r="C302" s="8"/>
      <c r="D302" s="7"/>
      <c r="E302" s="7"/>
      <c r="F302" s="9"/>
      <c r="G302" s="13"/>
      <c r="H302" s="9"/>
      <c r="I302" s="8"/>
      <c r="J302" s="47">
        <f>J301+Table23453561213[[#This Row],[AMOUNT]]-Table23453561213[[#This Row],[AMOUNT2]]-Table23453561213[[#This Row],[AMOUNT3]]</f>
        <v>0</v>
      </c>
    </row>
    <row r="303" spans="1:10" x14ac:dyDescent="0.35">
      <c r="A303" s="29"/>
      <c r="B303" s="7"/>
      <c r="C303" s="8"/>
      <c r="D303" s="7"/>
      <c r="E303" s="7"/>
      <c r="F303" s="9"/>
      <c r="G303" s="13"/>
      <c r="H303" s="9"/>
      <c r="I303" s="8"/>
      <c r="J303" s="47">
        <f>J302+Table23453561213[[#This Row],[AMOUNT]]-Table23453561213[[#This Row],[AMOUNT2]]-Table23453561213[[#This Row],[AMOUNT3]]</f>
        <v>0</v>
      </c>
    </row>
    <row r="304" spans="1:10" x14ac:dyDescent="0.35">
      <c r="A304" s="29"/>
      <c r="B304" s="7"/>
      <c r="C304" s="8"/>
      <c r="D304" s="7"/>
      <c r="E304" s="7"/>
      <c r="F304" s="9"/>
      <c r="G304" s="13"/>
      <c r="H304" s="9"/>
      <c r="I304" s="8"/>
      <c r="J304" s="47">
        <f>J303+Table23453561213[[#This Row],[AMOUNT]]-Table23453561213[[#This Row],[AMOUNT2]]-Table23453561213[[#This Row],[AMOUNT3]]</f>
        <v>0</v>
      </c>
    </row>
    <row r="305" spans="1:10" x14ac:dyDescent="0.35">
      <c r="A305" s="29"/>
      <c r="B305" s="7"/>
      <c r="C305" s="8"/>
      <c r="D305" s="7"/>
      <c r="E305" s="7"/>
      <c r="F305" s="9"/>
      <c r="G305" s="13"/>
      <c r="H305" s="9"/>
      <c r="I305" s="8"/>
      <c r="J305" s="47">
        <f>J304+Table23453561213[[#This Row],[AMOUNT]]-Table23453561213[[#This Row],[AMOUNT2]]-Table23453561213[[#This Row],[AMOUNT3]]</f>
        <v>0</v>
      </c>
    </row>
    <row r="306" spans="1:10" x14ac:dyDescent="0.35">
      <c r="A306" s="29"/>
      <c r="B306" s="7"/>
      <c r="C306" s="8"/>
      <c r="D306" s="7"/>
      <c r="E306" s="7"/>
      <c r="F306" s="9"/>
      <c r="G306" s="13"/>
      <c r="H306" s="9"/>
      <c r="I306" s="8"/>
      <c r="J306" s="47">
        <f>J305+Table23453561213[[#This Row],[AMOUNT]]-Table23453561213[[#This Row],[AMOUNT2]]-Table23453561213[[#This Row],[AMOUNT3]]</f>
        <v>0</v>
      </c>
    </row>
    <row r="307" spans="1:10" x14ac:dyDescent="0.35">
      <c r="A307" s="29"/>
      <c r="B307" s="7"/>
      <c r="C307" s="8"/>
      <c r="D307" s="7"/>
      <c r="E307" s="26"/>
      <c r="F307" s="7"/>
      <c r="G307" s="13"/>
      <c r="H307" s="9"/>
      <c r="I307" s="8"/>
      <c r="J307" s="47">
        <f>J306+Table23453561213[[#This Row],[AMOUNT]]-Table23453561213[[#This Row],[AMOUNT2]]-Table23453561213[[#This Row],[AMOUNT3]]</f>
        <v>0</v>
      </c>
    </row>
    <row r="308" spans="1:10" x14ac:dyDescent="0.35">
      <c r="A308" s="29"/>
      <c r="B308" s="7"/>
      <c r="C308" s="8"/>
      <c r="D308" s="7"/>
      <c r="E308" s="26"/>
      <c r="F308" s="7"/>
      <c r="G308" s="13"/>
      <c r="H308" s="9"/>
      <c r="I308" s="8"/>
      <c r="J308" s="47">
        <f>J307+Table23453561213[[#This Row],[AMOUNT]]-Table23453561213[[#This Row],[AMOUNT2]]-Table23453561213[[#This Row],[AMOUNT3]]</f>
        <v>0</v>
      </c>
    </row>
    <row r="309" spans="1:10" x14ac:dyDescent="0.35">
      <c r="A309" s="29"/>
      <c r="B309" s="7"/>
      <c r="C309" s="8"/>
      <c r="D309" s="7"/>
      <c r="E309" s="7"/>
      <c r="F309" s="9"/>
      <c r="G309" s="13"/>
      <c r="H309" s="9"/>
      <c r="I309" s="8"/>
      <c r="J309" s="47">
        <f>J308+Table23453561213[[#This Row],[AMOUNT]]-Table23453561213[[#This Row],[AMOUNT2]]-Table23453561213[[#This Row],[AMOUNT3]]</f>
        <v>0</v>
      </c>
    </row>
    <row r="310" spans="1:10" x14ac:dyDescent="0.35">
      <c r="A310" s="29"/>
      <c r="B310" s="7"/>
      <c r="C310" s="8"/>
      <c r="D310" s="7"/>
      <c r="E310" s="7"/>
      <c r="F310" s="9"/>
      <c r="G310" s="13"/>
      <c r="H310" s="9"/>
      <c r="I310" s="8"/>
      <c r="J310" s="47">
        <f>J309+Table23453561213[[#This Row],[AMOUNT]]-Table23453561213[[#This Row],[AMOUNT2]]-Table23453561213[[#This Row],[AMOUNT3]]</f>
        <v>0</v>
      </c>
    </row>
    <row r="311" spans="1:10" x14ac:dyDescent="0.35">
      <c r="A311" s="29"/>
      <c r="B311" s="7"/>
      <c r="C311" s="8"/>
      <c r="D311" s="7"/>
      <c r="E311" s="7"/>
      <c r="F311" s="9"/>
      <c r="G311" s="13"/>
      <c r="H311" s="9"/>
      <c r="I311" s="8"/>
      <c r="J311" s="47">
        <f>J310+Table23453561213[[#This Row],[AMOUNT]]-Table23453561213[[#This Row],[AMOUNT2]]-Table23453561213[[#This Row],[AMOUNT3]]</f>
        <v>0</v>
      </c>
    </row>
    <row r="312" spans="1:10" x14ac:dyDescent="0.35">
      <c r="A312" s="29"/>
      <c r="B312" s="7"/>
      <c r="C312" s="8"/>
      <c r="D312" s="7"/>
      <c r="E312" s="7"/>
      <c r="F312" s="9"/>
      <c r="G312" s="13"/>
      <c r="H312" s="9"/>
      <c r="I312" s="8"/>
      <c r="J312" s="47">
        <f>J311+Table23453561213[[#This Row],[AMOUNT]]-Table23453561213[[#This Row],[AMOUNT2]]-Table23453561213[[#This Row],[AMOUNT3]]</f>
        <v>0</v>
      </c>
    </row>
    <row r="313" spans="1:10" x14ac:dyDescent="0.35">
      <c r="A313" s="29"/>
      <c r="B313" s="7"/>
      <c r="C313" s="8"/>
      <c r="D313" s="7"/>
      <c r="E313" s="7"/>
      <c r="F313" s="9"/>
      <c r="G313" s="13"/>
      <c r="H313" s="9"/>
      <c r="I313" s="8"/>
      <c r="J313" s="47">
        <f>J312+Table23453561213[[#This Row],[AMOUNT]]-Table23453561213[[#This Row],[AMOUNT2]]-Table23453561213[[#This Row],[AMOUNT3]]</f>
        <v>0</v>
      </c>
    </row>
    <row r="314" spans="1:10" x14ac:dyDescent="0.35">
      <c r="A314" s="29"/>
      <c r="B314" s="7"/>
      <c r="C314" s="8"/>
      <c r="D314" s="7"/>
      <c r="E314" s="26"/>
      <c r="F314" s="7"/>
      <c r="G314" s="13"/>
      <c r="H314" s="9"/>
      <c r="I314" s="8"/>
      <c r="J314" s="47">
        <f>J313+Table23453561213[[#This Row],[AMOUNT]]-Table23453561213[[#This Row],[AMOUNT2]]-Table23453561213[[#This Row],[AMOUNT3]]</f>
        <v>0</v>
      </c>
    </row>
    <row r="315" spans="1:10" x14ac:dyDescent="0.35">
      <c r="A315" s="29"/>
      <c r="B315" s="7"/>
      <c r="C315" s="8"/>
      <c r="D315" s="7"/>
      <c r="E315" s="26"/>
      <c r="F315" s="7"/>
      <c r="G315" s="13"/>
      <c r="H315" s="9"/>
      <c r="I315" s="8"/>
      <c r="J315" s="47">
        <f>J314+Table23453561213[[#This Row],[AMOUNT]]-Table23453561213[[#This Row],[AMOUNT2]]-Table23453561213[[#This Row],[AMOUNT3]]</f>
        <v>0</v>
      </c>
    </row>
    <row r="316" spans="1:10" x14ac:dyDescent="0.35">
      <c r="A316" s="29"/>
      <c r="B316" s="7"/>
      <c r="C316" s="8"/>
      <c r="D316" s="7"/>
      <c r="E316" s="7"/>
      <c r="F316" s="9"/>
      <c r="G316" s="13"/>
      <c r="H316" s="9"/>
      <c r="I316" s="8"/>
      <c r="J316" s="47">
        <f>J315+Table23453561213[[#This Row],[AMOUNT]]-Table23453561213[[#This Row],[AMOUNT2]]-Table23453561213[[#This Row],[AMOUNT3]]</f>
        <v>0</v>
      </c>
    </row>
    <row r="317" spans="1:10" x14ac:dyDescent="0.35">
      <c r="A317" s="29"/>
      <c r="B317" s="7"/>
      <c r="C317" s="8"/>
      <c r="D317" s="7"/>
      <c r="E317" s="7"/>
      <c r="F317" s="9"/>
      <c r="G317" s="13"/>
      <c r="H317" s="9"/>
      <c r="I317" s="8"/>
      <c r="J317" s="47">
        <f>J316+Table23453561213[[#This Row],[AMOUNT]]-Table23453561213[[#This Row],[AMOUNT2]]-Table23453561213[[#This Row],[AMOUNT3]]</f>
        <v>0</v>
      </c>
    </row>
    <row r="318" spans="1:10" x14ac:dyDescent="0.35">
      <c r="A318" s="29"/>
      <c r="B318" s="7"/>
      <c r="C318" s="8"/>
      <c r="D318" s="7"/>
      <c r="E318" s="7"/>
      <c r="F318" s="9"/>
      <c r="G318" s="13"/>
      <c r="H318" s="9"/>
      <c r="I318" s="8"/>
      <c r="J318" s="47">
        <f>J317+Table23453561213[[#This Row],[AMOUNT]]-Table23453561213[[#This Row],[AMOUNT2]]-Table23453561213[[#This Row],[AMOUNT3]]</f>
        <v>0</v>
      </c>
    </row>
    <row r="319" spans="1:10" x14ac:dyDescent="0.35">
      <c r="A319" s="29"/>
      <c r="B319" s="7"/>
      <c r="C319" s="8"/>
      <c r="D319" s="7"/>
      <c r="E319" s="7"/>
      <c r="F319" s="9"/>
      <c r="G319" s="13"/>
      <c r="H319" s="9"/>
      <c r="I319" s="8"/>
      <c r="J319" s="47">
        <f>J318+Table23453561213[[#This Row],[AMOUNT]]-Table23453561213[[#This Row],[AMOUNT2]]-Table23453561213[[#This Row],[AMOUNT3]]</f>
        <v>0</v>
      </c>
    </row>
    <row r="320" spans="1:10" x14ac:dyDescent="0.35">
      <c r="A320" s="29"/>
      <c r="B320" s="7"/>
      <c r="C320" s="8"/>
      <c r="D320" s="7"/>
      <c r="E320" s="7"/>
      <c r="F320" s="9"/>
      <c r="G320" s="13"/>
      <c r="H320" s="9"/>
      <c r="I320" s="8"/>
      <c r="J320" s="47">
        <f>J319+Table23453561213[[#This Row],[AMOUNT]]-Table23453561213[[#This Row],[AMOUNT2]]-Table23453561213[[#This Row],[AMOUNT3]]</f>
        <v>0</v>
      </c>
    </row>
    <row r="321" spans="1:10" x14ac:dyDescent="0.35">
      <c r="A321" s="29"/>
      <c r="B321" s="7"/>
      <c r="C321" s="8"/>
      <c r="D321" s="7"/>
      <c r="E321" s="7"/>
      <c r="F321" s="9"/>
      <c r="G321" s="13"/>
      <c r="H321" s="9"/>
      <c r="I321" s="8"/>
      <c r="J321" s="47">
        <f>J320+Table23453561213[[#This Row],[AMOUNT]]-Table23453561213[[#This Row],[AMOUNT2]]-Table23453561213[[#This Row],[AMOUNT3]]</f>
        <v>0</v>
      </c>
    </row>
    <row r="322" spans="1:10" x14ac:dyDescent="0.35">
      <c r="A322" s="29"/>
      <c r="B322" s="7"/>
      <c r="C322" s="8"/>
      <c r="D322" s="7"/>
      <c r="E322" s="7"/>
      <c r="F322" s="9"/>
      <c r="G322" s="13"/>
      <c r="H322" s="9"/>
      <c r="I322" s="8"/>
      <c r="J322" s="47">
        <f>J321+Table23453561213[[#This Row],[AMOUNT]]-Table23453561213[[#This Row],[AMOUNT2]]-Table23453561213[[#This Row],[AMOUNT3]]</f>
        <v>0</v>
      </c>
    </row>
    <row r="323" spans="1:10" x14ac:dyDescent="0.35">
      <c r="A323" s="29"/>
      <c r="B323" s="7"/>
      <c r="C323" s="8"/>
      <c r="D323" s="7"/>
      <c r="E323" s="7"/>
      <c r="F323" s="9"/>
      <c r="G323" s="13"/>
      <c r="H323" s="9"/>
      <c r="I323" s="8"/>
      <c r="J323" s="47">
        <f>J322+Table23453561213[[#This Row],[AMOUNT]]-Table23453561213[[#This Row],[AMOUNT2]]-Table23453561213[[#This Row],[AMOUNT3]]</f>
        <v>0</v>
      </c>
    </row>
    <row r="324" spans="1:10" x14ac:dyDescent="0.35">
      <c r="A324" s="29"/>
      <c r="B324" s="7"/>
      <c r="C324" s="8"/>
      <c r="D324" s="7"/>
      <c r="E324" s="7"/>
      <c r="F324" s="9"/>
      <c r="G324" s="13"/>
      <c r="H324" s="9"/>
      <c r="I324" s="8"/>
      <c r="J324" s="47">
        <f>J323+Table23453561213[[#This Row],[AMOUNT]]-Table23453561213[[#This Row],[AMOUNT2]]-Table23453561213[[#This Row],[AMOUNT3]]</f>
        <v>0</v>
      </c>
    </row>
    <row r="325" spans="1:10" x14ac:dyDescent="0.35">
      <c r="A325" s="29"/>
      <c r="B325" s="7"/>
      <c r="C325" s="8"/>
      <c r="D325" s="7"/>
      <c r="E325" s="26"/>
      <c r="F325" s="7"/>
      <c r="G325" s="13"/>
      <c r="H325" s="9"/>
      <c r="I325" s="8"/>
      <c r="J325" s="47">
        <f>J324+Table23453561213[[#This Row],[AMOUNT]]-Table23453561213[[#This Row],[AMOUNT2]]-Table23453561213[[#This Row],[AMOUNT3]]</f>
        <v>0</v>
      </c>
    </row>
    <row r="326" spans="1:10" x14ac:dyDescent="0.35">
      <c r="A326" s="29"/>
      <c r="B326" s="7"/>
      <c r="C326" s="8"/>
      <c r="D326" s="7"/>
      <c r="E326" s="26"/>
      <c r="F326" s="9"/>
      <c r="G326" s="13"/>
      <c r="H326" s="9"/>
      <c r="I326" s="8"/>
      <c r="J326" s="47">
        <f>J325+Table23453561213[[#This Row],[AMOUNT]]-Table23453561213[[#This Row],[AMOUNT2]]-Table23453561213[[#This Row],[AMOUNT3]]</f>
        <v>0</v>
      </c>
    </row>
    <row r="327" spans="1:10" x14ac:dyDescent="0.35">
      <c r="A327" s="29"/>
      <c r="B327" s="7"/>
      <c r="C327" s="8"/>
      <c r="D327" s="7"/>
      <c r="E327" s="7"/>
      <c r="F327" s="9"/>
      <c r="G327" s="13"/>
      <c r="H327" s="9"/>
      <c r="I327" s="8"/>
      <c r="J327" s="47">
        <f>J326+Table23453561213[[#This Row],[AMOUNT]]-Table23453561213[[#This Row],[AMOUNT2]]-Table23453561213[[#This Row],[AMOUNT3]]</f>
        <v>0</v>
      </c>
    </row>
    <row r="328" spans="1:10" x14ac:dyDescent="0.35">
      <c r="A328" s="29"/>
      <c r="B328" s="7"/>
      <c r="C328" s="8"/>
      <c r="D328" s="7"/>
      <c r="E328" s="7"/>
      <c r="F328" s="9"/>
      <c r="G328" s="13"/>
      <c r="H328" s="9"/>
      <c r="I328" s="8"/>
      <c r="J328" s="47">
        <f>J327+Table23453561213[[#This Row],[AMOUNT]]-Table23453561213[[#This Row],[AMOUNT2]]-Table23453561213[[#This Row],[AMOUNT3]]</f>
        <v>0</v>
      </c>
    </row>
    <row r="329" spans="1:10" x14ac:dyDescent="0.35">
      <c r="A329" s="29"/>
      <c r="B329" s="7"/>
      <c r="C329" s="8"/>
      <c r="D329" s="7"/>
      <c r="E329" s="7"/>
      <c r="F329" s="9"/>
      <c r="G329" s="13"/>
      <c r="H329" s="9"/>
      <c r="I329" s="8"/>
      <c r="J329" s="47">
        <f>J328+Table23453561213[[#This Row],[AMOUNT]]-Table23453561213[[#This Row],[AMOUNT2]]-Table23453561213[[#This Row],[AMOUNT3]]</f>
        <v>0</v>
      </c>
    </row>
    <row r="330" spans="1:10" x14ac:dyDescent="0.35">
      <c r="A330" s="29"/>
      <c r="B330" s="7"/>
      <c r="C330" s="8"/>
      <c r="D330" s="7"/>
      <c r="E330" s="7"/>
      <c r="F330" s="9"/>
      <c r="G330" s="13"/>
      <c r="H330" s="9"/>
      <c r="I330" s="8"/>
      <c r="J330" s="9">
        <f>J329+Table23453561213[[#This Row],[AMOUNT]]-Table23453561213[[#This Row],[AMOUNT2]]-Table23453561213[[#This Row],[AMOUNT3]]</f>
        <v>0</v>
      </c>
    </row>
    <row r="331" spans="1:10" x14ac:dyDescent="0.35">
      <c r="A331" s="29"/>
      <c r="B331" s="7"/>
      <c r="C331" s="8"/>
      <c r="D331" s="7"/>
      <c r="E331" s="7"/>
      <c r="F331" s="9"/>
      <c r="G331" s="13"/>
      <c r="H331" s="9"/>
      <c r="I331" s="8"/>
      <c r="J331" s="9">
        <f>J330+Table23453561213[[#This Row],[AMOUNT]]-Table23453561213[[#This Row],[AMOUNT2]]-Table23453561213[[#This Row],[AMOUNT3]]</f>
        <v>0</v>
      </c>
    </row>
    <row r="332" spans="1:10" x14ac:dyDescent="0.35">
      <c r="A332" s="29"/>
      <c r="B332" s="7"/>
      <c r="C332" s="8"/>
      <c r="D332" s="7"/>
      <c r="E332" s="7"/>
      <c r="F332" s="7"/>
      <c r="G332" s="13"/>
      <c r="H332" s="9"/>
      <c r="I332" s="8"/>
      <c r="J332" s="9">
        <f>J331+Table23453561213[[#This Row],[AMOUNT]]-Table23453561213[[#This Row],[AMOUNT2]]-Table23453561213[[#This Row],[AMOUNT3]]</f>
        <v>0</v>
      </c>
    </row>
    <row r="333" spans="1:10" x14ac:dyDescent="0.35">
      <c r="A333" s="29"/>
      <c r="B333" s="7"/>
      <c r="C333" s="8"/>
      <c r="D333" s="7"/>
      <c r="E333" s="7"/>
      <c r="F333" s="9"/>
      <c r="G333" s="13"/>
      <c r="H333" s="9"/>
      <c r="I333" s="8"/>
      <c r="J333" s="9">
        <f>J332+Table23453561213[[#This Row],[AMOUNT]]-Table23453561213[[#This Row],[AMOUNT2]]-Table23453561213[[#This Row],[AMOUNT3]]</f>
        <v>0</v>
      </c>
    </row>
    <row r="334" spans="1:10" x14ac:dyDescent="0.35">
      <c r="A334" s="29"/>
      <c r="B334" s="7"/>
      <c r="C334" s="8"/>
      <c r="D334" s="7"/>
      <c r="E334" s="7"/>
      <c r="F334" s="7"/>
      <c r="G334" s="13"/>
      <c r="H334" s="9"/>
      <c r="I334" s="8"/>
      <c r="J334" s="9">
        <f>J333+Table23453561213[[#This Row],[AMOUNT]]-Table23453561213[[#This Row],[AMOUNT2]]-Table23453561213[[#This Row],[AMOUNT3]]</f>
        <v>0</v>
      </c>
    </row>
    <row r="335" spans="1:10" x14ac:dyDescent="0.35">
      <c r="A335" s="29"/>
      <c r="B335" s="7"/>
      <c r="C335" s="8"/>
      <c r="D335" s="7"/>
      <c r="E335" s="7"/>
      <c r="F335" s="7"/>
      <c r="G335" s="13"/>
      <c r="H335" s="9"/>
      <c r="I335" s="8"/>
      <c r="J335" s="9">
        <f>J334+Table23453561213[[#This Row],[AMOUNT]]-Table23453561213[[#This Row],[AMOUNT2]]-Table23453561213[[#This Row],[AMOUNT3]]</f>
        <v>0</v>
      </c>
    </row>
    <row r="336" spans="1:10" x14ac:dyDescent="0.35">
      <c r="A336" s="29"/>
      <c r="B336" s="7"/>
      <c r="C336" s="8"/>
      <c r="D336" s="7"/>
      <c r="E336" s="7"/>
      <c r="F336" s="9"/>
      <c r="G336" s="13"/>
      <c r="H336" s="9"/>
      <c r="I336" s="8"/>
      <c r="J336" s="9">
        <f>J335+Table23453561213[[#This Row],[AMOUNT]]-Table23453561213[[#This Row],[AMOUNT2]]-Table23453561213[[#This Row],[AMOUNT3]]</f>
        <v>0</v>
      </c>
    </row>
    <row r="337" spans="1:10" x14ac:dyDescent="0.35">
      <c r="A337" s="29"/>
      <c r="B337" s="7"/>
      <c r="C337" s="8"/>
      <c r="D337" s="7"/>
      <c r="E337" s="7"/>
      <c r="F337" s="9"/>
      <c r="G337" s="13"/>
      <c r="H337" s="9"/>
      <c r="I337" s="8"/>
      <c r="J337" s="9">
        <f>J336+Table23453561213[[#This Row],[AMOUNT]]-Table23453561213[[#This Row],[AMOUNT2]]-Table23453561213[[#This Row],[AMOUNT3]]</f>
        <v>0</v>
      </c>
    </row>
    <row r="338" spans="1:10" x14ac:dyDescent="0.35">
      <c r="A338" s="29"/>
      <c r="B338" s="7"/>
      <c r="C338" s="8"/>
      <c r="D338" s="7"/>
      <c r="E338" s="7"/>
      <c r="F338" s="9"/>
      <c r="G338" s="13"/>
      <c r="H338" s="9"/>
      <c r="I338" s="8"/>
      <c r="J338" s="9">
        <f>J337+Table23453561213[[#This Row],[AMOUNT]]-Table23453561213[[#This Row],[AMOUNT2]]-Table23453561213[[#This Row],[AMOUNT3]]</f>
        <v>0</v>
      </c>
    </row>
    <row r="339" spans="1:10" x14ac:dyDescent="0.35">
      <c r="A339" s="29"/>
      <c r="B339" s="7"/>
      <c r="C339" s="8"/>
      <c r="D339" s="7"/>
      <c r="E339" s="7"/>
      <c r="F339" s="9"/>
      <c r="G339" s="13"/>
      <c r="H339" s="9"/>
      <c r="I339" s="8"/>
      <c r="J339" s="9">
        <f>J338+Table23453561213[[#This Row],[AMOUNT]]-Table23453561213[[#This Row],[AMOUNT2]]-Table23453561213[[#This Row],[AMOUNT3]]</f>
        <v>0</v>
      </c>
    </row>
    <row r="340" spans="1:10" x14ac:dyDescent="0.35">
      <c r="A340" s="29"/>
      <c r="B340" s="7"/>
      <c r="C340" s="8"/>
      <c r="D340" s="7"/>
      <c r="E340" s="7"/>
      <c r="F340" s="9"/>
      <c r="G340" s="13"/>
      <c r="H340" s="9"/>
      <c r="I340" s="8"/>
      <c r="J340" s="9">
        <f>J339+Table23453561213[[#This Row],[AMOUNT]]-Table23453561213[[#This Row],[AMOUNT2]]-Table23453561213[[#This Row],[AMOUNT3]]</f>
        <v>0</v>
      </c>
    </row>
    <row r="341" spans="1:10" x14ac:dyDescent="0.35">
      <c r="A341" s="29"/>
      <c r="B341" s="7"/>
      <c r="C341" s="8"/>
      <c r="D341" s="7"/>
      <c r="E341" s="7"/>
      <c r="F341" s="9"/>
      <c r="G341" s="13"/>
      <c r="H341" s="9"/>
      <c r="I341" s="8"/>
      <c r="J341" s="9">
        <f>J340+Table23453561213[[#This Row],[AMOUNT]]-Table23453561213[[#This Row],[AMOUNT2]]-Table23453561213[[#This Row],[AMOUNT3]]</f>
        <v>0</v>
      </c>
    </row>
    <row r="342" spans="1:10" x14ac:dyDescent="0.35">
      <c r="A342" s="29"/>
      <c r="B342" s="7"/>
      <c r="C342" s="8"/>
      <c r="D342" s="7"/>
      <c r="E342" s="7"/>
      <c r="F342" s="9"/>
      <c r="G342" s="13"/>
      <c r="H342" s="9"/>
      <c r="I342" s="8"/>
      <c r="J342" s="9">
        <f>J341+Table23453561213[[#This Row],[AMOUNT]]-Table23453561213[[#This Row],[AMOUNT2]]-Table23453561213[[#This Row],[AMOUNT3]]</f>
        <v>0</v>
      </c>
    </row>
    <row r="343" spans="1:10" x14ac:dyDescent="0.35">
      <c r="A343" s="29"/>
      <c r="B343" s="7"/>
      <c r="C343" s="8"/>
      <c r="D343" s="7"/>
      <c r="E343" s="7"/>
      <c r="F343" s="9"/>
      <c r="G343" s="13"/>
      <c r="H343" s="9"/>
      <c r="I343" s="8"/>
      <c r="J343" s="9">
        <f>J342+Table23453561213[[#This Row],[AMOUNT]]-Table23453561213[[#This Row],[AMOUNT2]]-Table23453561213[[#This Row],[AMOUNT3]]</f>
        <v>0</v>
      </c>
    </row>
    <row r="344" spans="1:10" x14ac:dyDescent="0.35">
      <c r="A344" s="29"/>
      <c r="B344" s="7"/>
      <c r="C344" s="8"/>
      <c r="D344" s="7"/>
      <c r="E344" s="7"/>
      <c r="F344" s="9"/>
      <c r="G344" s="13"/>
      <c r="H344" s="9"/>
      <c r="I344" s="8"/>
      <c r="J344" s="9">
        <f>J343+Table23453561213[[#This Row],[AMOUNT]]-Table23453561213[[#This Row],[AMOUNT2]]-Table23453561213[[#This Row],[AMOUNT3]]</f>
        <v>0</v>
      </c>
    </row>
    <row r="345" spans="1:10" x14ac:dyDescent="0.35">
      <c r="A345" s="29"/>
      <c r="B345" s="7"/>
      <c r="C345" s="8"/>
      <c r="D345" s="7"/>
      <c r="E345" s="7"/>
      <c r="F345" s="9"/>
      <c r="G345" s="13"/>
      <c r="H345" s="9"/>
      <c r="I345" s="8"/>
      <c r="J345" s="9">
        <f>J344+Table23453561213[[#This Row],[AMOUNT]]-Table23453561213[[#This Row],[AMOUNT2]]-Table23453561213[[#This Row],[AMOUNT3]]</f>
        <v>0</v>
      </c>
    </row>
    <row r="346" spans="1:10" x14ac:dyDescent="0.35">
      <c r="A346" s="29"/>
      <c r="B346" s="7"/>
      <c r="C346" s="8"/>
      <c r="D346" s="7"/>
      <c r="E346" s="7"/>
      <c r="F346" s="9"/>
      <c r="G346" s="13"/>
      <c r="H346" s="9"/>
      <c r="I346" s="8"/>
      <c r="J346" s="9">
        <f>J345+Table23453561213[[#This Row],[AMOUNT]]-Table23453561213[[#This Row],[AMOUNT2]]-Table23453561213[[#This Row],[AMOUNT3]]</f>
        <v>0</v>
      </c>
    </row>
    <row r="347" spans="1:10" x14ac:dyDescent="0.35">
      <c r="A347" s="29"/>
      <c r="B347" s="7"/>
      <c r="C347" s="8"/>
      <c r="D347" s="7"/>
      <c r="E347" s="7"/>
      <c r="F347" s="9"/>
      <c r="G347" s="13"/>
      <c r="H347" s="9"/>
      <c r="I347" s="8"/>
      <c r="J347" s="9">
        <f>J346+Table23453561213[[#This Row],[AMOUNT]]-Table23453561213[[#This Row],[AMOUNT2]]-Table23453561213[[#This Row],[AMOUNT3]]</f>
        <v>0</v>
      </c>
    </row>
    <row r="348" spans="1:10" x14ac:dyDescent="0.35">
      <c r="A348" s="29"/>
      <c r="B348" s="7"/>
      <c r="C348" s="8"/>
      <c r="D348" s="7"/>
      <c r="E348" s="7"/>
      <c r="F348" s="9"/>
      <c r="G348" s="13"/>
      <c r="H348" s="9"/>
      <c r="I348" s="8"/>
      <c r="J348" s="9">
        <f>J347+Table23453561213[[#This Row],[AMOUNT]]-Table23453561213[[#This Row],[AMOUNT2]]-Table23453561213[[#This Row],[AMOUNT3]]</f>
        <v>0</v>
      </c>
    </row>
    <row r="349" spans="1:10" x14ac:dyDescent="0.35">
      <c r="A349" s="29"/>
      <c r="B349" s="7"/>
      <c r="C349" s="8"/>
      <c r="D349" s="7"/>
      <c r="E349" s="7"/>
      <c r="F349" s="7"/>
      <c r="G349" s="13"/>
      <c r="H349" s="9"/>
      <c r="I349" s="8"/>
      <c r="J349" s="9">
        <f>J348+Table23453561213[[#This Row],[AMOUNT]]-Table23453561213[[#This Row],[AMOUNT2]]-Table23453561213[[#This Row],[AMOUNT3]]</f>
        <v>0</v>
      </c>
    </row>
    <row r="350" spans="1:10" x14ac:dyDescent="0.35">
      <c r="A350" s="29"/>
      <c r="B350" s="7"/>
      <c r="C350" s="8"/>
      <c r="D350" s="7"/>
      <c r="E350" s="7"/>
      <c r="F350" s="9"/>
      <c r="G350" s="13"/>
      <c r="H350" s="9"/>
      <c r="I350" s="8"/>
      <c r="J350" s="9">
        <f>J349+Table23453561213[[#This Row],[AMOUNT]]-Table23453561213[[#This Row],[AMOUNT2]]-Table23453561213[[#This Row],[AMOUNT3]]</f>
        <v>0</v>
      </c>
    </row>
    <row r="351" spans="1:10" x14ac:dyDescent="0.35">
      <c r="A351" s="29"/>
      <c r="B351" s="7"/>
      <c r="C351" s="8"/>
      <c r="D351" s="7"/>
      <c r="E351" s="7"/>
      <c r="F351" s="7"/>
      <c r="G351" s="13"/>
      <c r="H351" s="9"/>
      <c r="I351" s="8"/>
      <c r="J351" s="9">
        <f>J350+Table23453561213[[#This Row],[AMOUNT]]-Table23453561213[[#This Row],[AMOUNT2]]-Table23453561213[[#This Row],[AMOUNT3]]</f>
        <v>0</v>
      </c>
    </row>
    <row r="352" spans="1:10" x14ac:dyDescent="0.35">
      <c r="A352" s="29"/>
      <c r="B352" s="7"/>
      <c r="C352" s="8"/>
      <c r="D352" s="7"/>
      <c r="E352" s="7"/>
      <c r="F352" s="9"/>
      <c r="G352" s="13"/>
      <c r="H352" s="9"/>
      <c r="I352" s="8"/>
      <c r="J352" s="9">
        <f>J351+Table23453561213[[#This Row],[AMOUNT]]-Table23453561213[[#This Row],[AMOUNT2]]-Table23453561213[[#This Row],[AMOUNT3]]</f>
        <v>0</v>
      </c>
    </row>
    <row r="353" spans="1:10" x14ac:dyDescent="0.35">
      <c r="A353" s="29"/>
      <c r="B353" s="7"/>
      <c r="C353" s="8"/>
      <c r="D353" s="7"/>
      <c r="E353" s="7"/>
      <c r="F353" s="7"/>
      <c r="G353" s="13"/>
      <c r="H353" s="9"/>
      <c r="I353" s="8"/>
      <c r="J353" s="9">
        <f>J352+Table23453561213[[#This Row],[AMOUNT]]-Table23453561213[[#This Row],[AMOUNT2]]-Table23453561213[[#This Row],[AMOUNT3]]</f>
        <v>0</v>
      </c>
    </row>
    <row r="354" spans="1:10" x14ac:dyDescent="0.35">
      <c r="A354" s="29"/>
      <c r="B354" s="7"/>
      <c r="C354" s="8"/>
      <c r="D354" s="7"/>
      <c r="E354" s="7"/>
      <c r="F354" s="9"/>
      <c r="G354" s="13"/>
      <c r="H354" s="9"/>
      <c r="I354" s="8"/>
      <c r="J354" s="9">
        <f>J353+Table23453561213[[#This Row],[AMOUNT]]-Table23453561213[[#This Row],[AMOUNT2]]-Table23453561213[[#This Row],[AMOUNT3]]</f>
        <v>0</v>
      </c>
    </row>
    <row r="355" spans="1:10" x14ac:dyDescent="0.35">
      <c r="A355" s="29"/>
      <c r="B355" s="7"/>
      <c r="C355" s="8"/>
      <c r="D355" s="7"/>
      <c r="E355" s="7"/>
      <c r="F355" s="9"/>
      <c r="G355" s="13"/>
      <c r="H355" s="9"/>
      <c r="I355" s="8"/>
      <c r="J355" s="9">
        <f>J354+Table23453561213[[#This Row],[AMOUNT]]-Table23453561213[[#This Row],[AMOUNT2]]-Table23453561213[[#This Row],[AMOUNT3]]</f>
        <v>0</v>
      </c>
    </row>
    <row r="356" spans="1:10" x14ac:dyDescent="0.35">
      <c r="A356" s="29"/>
      <c r="B356" s="7"/>
      <c r="C356" s="8"/>
      <c r="D356" s="7"/>
      <c r="E356" s="7"/>
      <c r="F356" s="9"/>
      <c r="G356" s="13"/>
      <c r="H356" s="9"/>
      <c r="I356" s="8"/>
      <c r="J356" s="9">
        <f>J355+Table23453561213[[#This Row],[AMOUNT]]-Table23453561213[[#This Row],[AMOUNT2]]-Table23453561213[[#This Row],[AMOUNT3]]</f>
        <v>0</v>
      </c>
    </row>
    <row r="357" spans="1:10" x14ac:dyDescent="0.35">
      <c r="A357" s="29"/>
      <c r="B357" s="7"/>
      <c r="C357" s="8"/>
      <c r="D357" s="7"/>
      <c r="E357" s="7"/>
      <c r="F357" s="9"/>
      <c r="G357" s="13"/>
      <c r="H357" s="9"/>
      <c r="I357" s="8"/>
      <c r="J357" s="9">
        <f>J356+Table23453561213[[#This Row],[AMOUNT]]-Table23453561213[[#This Row],[AMOUNT2]]-Table23453561213[[#This Row],[AMOUNT3]]</f>
        <v>0</v>
      </c>
    </row>
    <row r="358" spans="1:10" x14ac:dyDescent="0.35">
      <c r="A358" s="29"/>
      <c r="B358" s="7"/>
      <c r="C358" s="8"/>
      <c r="D358" s="7"/>
      <c r="E358" s="7"/>
      <c r="F358" s="9"/>
      <c r="G358" s="13"/>
      <c r="H358" s="9"/>
      <c r="I358" s="8"/>
      <c r="J358" s="9">
        <f>J357+Table23453561213[[#This Row],[AMOUNT]]-Table23453561213[[#This Row],[AMOUNT2]]-Table23453561213[[#This Row],[AMOUNT3]]</f>
        <v>0</v>
      </c>
    </row>
    <row r="359" spans="1:10" x14ac:dyDescent="0.35">
      <c r="A359" s="29"/>
      <c r="B359" s="7"/>
      <c r="C359" s="8"/>
      <c r="D359" s="7"/>
      <c r="E359" s="7"/>
      <c r="F359" s="9"/>
      <c r="G359" s="13"/>
      <c r="H359" s="9"/>
      <c r="I359" s="8"/>
      <c r="J359" s="9">
        <f>J358+Table23453561213[[#This Row],[AMOUNT]]-Table23453561213[[#This Row],[AMOUNT2]]-Table23453561213[[#This Row],[AMOUNT3]]</f>
        <v>0</v>
      </c>
    </row>
    <row r="360" spans="1:10" x14ac:dyDescent="0.35">
      <c r="A360" s="29"/>
      <c r="B360" s="7"/>
      <c r="C360" s="8"/>
      <c r="D360" s="7"/>
      <c r="E360" s="7"/>
      <c r="F360" s="7"/>
      <c r="G360" s="13"/>
      <c r="H360" s="9"/>
      <c r="I360" s="8"/>
      <c r="J360" s="9">
        <f>J359+Table23453561213[[#This Row],[AMOUNT]]-Table23453561213[[#This Row],[AMOUNT2]]-Table23453561213[[#This Row],[AMOUNT3]]</f>
        <v>0</v>
      </c>
    </row>
    <row r="361" spans="1:10" x14ac:dyDescent="0.35">
      <c r="A361" s="29"/>
      <c r="B361" s="7"/>
      <c r="C361" s="8"/>
      <c r="D361" s="7"/>
      <c r="E361" s="7"/>
      <c r="F361" s="9"/>
      <c r="G361" s="13"/>
      <c r="H361" s="9"/>
      <c r="I361" s="8"/>
      <c r="J361" s="9">
        <f>J360+Table23453561213[[#This Row],[AMOUNT]]-Table23453561213[[#This Row],[AMOUNT2]]-Table23453561213[[#This Row],[AMOUNT3]]</f>
        <v>0</v>
      </c>
    </row>
    <row r="362" spans="1:10" x14ac:dyDescent="0.35">
      <c r="A362" s="29"/>
      <c r="B362" s="7"/>
      <c r="C362" s="8"/>
      <c r="D362" s="7"/>
      <c r="E362" s="7"/>
      <c r="F362" s="9"/>
      <c r="G362" s="13"/>
      <c r="H362" s="9"/>
      <c r="I362" s="8"/>
      <c r="J362" s="9">
        <f>J361+Table23453561213[[#This Row],[AMOUNT]]-Table23453561213[[#This Row],[AMOUNT2]]-Table23453561213[[#This Row],[AMOUNT3]]</f>
        <v>0</v>
      </c>
    </row>
    <row r="363" spans="1:10" x14ac:dyDescent="0.35">
      <c r="A363" s="29"/>
      <c r="B363" s="7"/>
      <c r="C363" s="8"/>
      <c r="D363" s="7"/>
      <c r="E363" s="7"/>
      <c r="F363" s="9"/>
      <c r="G363" s="13"/>
      <c r="H363" s="9"/>
      <c r="I363" s="8"/>
      <c r="J363" s="9">
        <f>J362+Table23453561213[[#This Row],[AMOUNT]]-Table23453561213[[#This Row],[AMOUNT2]]-Table23453561213[[#This Row],[AMOUNT3]]</f>
        <v>0</v>
      </c>
    </row>
    <row r="364" spans="1:10" x14ac:dyDescent="0.35">
      <c r="A364" s="29"/>
      <c r="B364" s="7"/>
      <c r="C364" s="8"/>
      <c r="D364" s="7"/>
      <c r="E364" s="7"/>
      <c r="F364" s="9"/>
      <c r="G364" s="13"/>
      <c r="H364" s="9"/>
      <c r="I364" s="8"/>
      <c r="J364" s="9">
        <f>J363+Table23453561213[[#This Row],[AMOUNT]]-Table23453561213[[#This Row],[AMOUNT2]]-Table23453561213[[#This Row],[AMOUNT3]]</f>
        <v>0</v>
      </c>
    </row>
    <row r="365" spans="1:10" x14ac:dyDescent="0.35">
      <c r="A365" s="29"/>
      <c r="B365" s="7"/>
      <c r="C365" s="8"/>
      <c r="D365" s="7"/>
      <c r="E365" s="7"/>
      <c r="F365" s="9"/>
      <c r="G365" s="13"/>
      <c r="H365" s="9"/>
      <c r="I365" s="8"/>
      <c r="J365" s="9">
        <f>J364+Table23453561213[[#This Row],[AMOUNT]]-Table23453561213[[#This Row],[AMOUNT2]]-Table23453561213[[#This Row],[AMOUNT3]]</f>
        <v>0</v>
      </c>
    </row>
    <row r="366" spans="1:10" x14ac:dyDescent="0.35">
      <c r="A366" s="29"/>
      <c r="B366" s="7"/>
      <c r="C366" s="8"/>
      <c r="D366" s="7"/>
      <c r="E366" s="7"/>
      <c r="F366" s="9"/>
      <c r="G366" s="13"/>
      <c r="H366" s="9"/>
      <c r="I366" s="8"/>
      <c r="J366" s="9">
        <f>J365+Table23453561213[[#This Row],[AMOUNT]]-Table23453561213[[#This Row],[AMOUNT2]]-Table23453561213[[#This Row],[AMOUNT3]]</f>
        <v>0</v>
      </c>
    </row>
    <row r="367" spans="1:10" x14ac:dyDescent="0.35">
      <c r="A367" s="29"/>
      <c r="B367" s="7"/>
      <c r="C367" s="8"/>
      <c r="D367" s="7"/>
      <c r="E367" s="7"/>
      <c r="F367" s="9"/>
      <c r="G367" s="13"/>
      <c r="H367" s="9"/>
      <c r="I367" s="8"/>
      <c r="J367" s="9">
        <f>J366+Table23453561213[[#This Row],[AMOUNT]]-Table23453561213[[#This Row],[AMOUNT2]]-Table23453561213[[#This Row],[AMOUNT3]]</f>
        <v>0</v>
      </c>
    </row>
    <row r="368" spans="1:10" x14ac:dyDescent="0.35">
      <c r="A368" s="29"/>
      <c r="B368" s="7"/>
      <c r="C368" s="8"/>
      <c r="D368" s="7"/>
      <c r="E368" s="7"/>
      <c r="F368" s="9"/>
      <c r="G368" s="13"/>
      <c r="H368" s="9"/>
      <c r="I368" s="8"/>
      <c r="J368" s="9">
        <f>J367+Table23453561213[[#This Row],[AMOUNT]]-Table23453561213[[#This Row],[AMOUNT2]]-Table23453561213[[#This Row],[AMOUNT3]]</f>
        <v>0</v>
      </c>
    </row>
    <row r="369" spans="1:10" x14ac:dyDescent="0.35">
      <c r="A369" s="29"/>
      <c r="B369" s="7"/>
      <c r="C369" s="8"/>
      <c r="D369" s="7"/>
      <c r="E369" s="7"/>
      <c r="F369" s="9"/>
      <c r="G369" s="13"/>
      <c r="H369" s="9"/>
      <c r="I369" s="8"/>
      <c r="J369" s="9">
        <f>J368+Table23453561213[[#This Row],[AMOUNT]]-Table23453561213[[#This Row],[AMOUNT2]]-Table23453561213[[#This Row],[AMOUNT3]]</f>
        <v>0</v>
      </c>
    </row>
    <row r="370" spans="1:10" x14ac:dyDescent="0.35">
      <c r="A370" s="29"/>
      <c r="B370" s="7"/>
      <c r="C370" s="8"/>
      <c r="D370" s="7"/>
      <c r="E370" s="7"/>
      <c r="F370" s="9"/>
      <c r="G370" s="13"/>
      <c r="H370" s="9"/>
      <c r="I370" s="8"/>
      <c r="J370" s="9">
        <f>J369+Table23453561213[[#This Row],[AMOUNT]]-Table23453561213[[#This Row],[AMOUNT2]]-Table23453561213[[#This Row],[AMOUNT3]]</f>
        <v>0</v>
      </c>
    </row>
    <row r="371" spans="1:10" x14ac:dyDescent="0.35">
      <c r="A371" s="29"/>
      <c r="B371" s="7"/>
      <c r="C371" s="8"/>
      <c r="D371" s="7"/>
      <c r="E371" s="7"/>
      <c r="F371" s="7"/>
      <c r="G371" s="13"/>
      <c r="H371" s="9"/>
      <c r="I371" s="8"/>
      <c r="J371" s="9">
        <f>J370+Table23453561213[[#This Row],[AMOUNT]]-Table23453561213[[#This Row],[AMOUNT2]]-Table23453561213[[#This Row],[AMOUNT3]]</f>
        <v>0</v>
      </c>
    </row>
    <row r="372" spans="1:10" x14ac:dyDescent="0.35">
      <c r="A372" s="29"/>
      <c r="B372" s="7"/>
      <c r="C372" s="8"/>
      <c r="D372" s="7"/>
      <c r="E372" s="7"/>
      <c r="F372" s="9"/>
      <c r="G372" s="13"/>
      <c r="H372" s="9"/>
      <c r="I372" s="8"/>
      <c r="J372" s="9">
        <f>J371+Table23453561213[[#This Row],[AMOUNT]]-Table23453561213[[#This Row],[AMOUNT2]]-Table23453561213[[#This Row],[AMOUNT3]]</f>
        <v>0</v>
      </c>
    </row>
    <row r="373" spans="1:10" x14ac:dyDescent="0.35">
      <c r="A373" s="29"/>
      <c r="B373" s="7"/>
      <c r="C373" s="8"/>
      <c r="D373" s="7"/>
      <c r="E373" s="7"/>
      <c r="F373" s="9"/>
      <c r="G373" s="13"/>
      <c r="H373" s="9"/>
      <c r="I373" s="8"/>
      <c r="J373" s="9">
        <f>J372+Table23453561213[[#This Row],[AMOUNT]]-Table23453561213[[#This Row],[AMOUNT2]]-Table23453561213[[#This Row],[AMOUNT3]]</f>
        <v>0</v>
      </c>
    </row>
    <row r="374" spans="1:10" x14ac:dyDescent="0.35">
      <c r="A374" s="29"/>
      <c r="B374" s="7"/>
      <c r="C374" s="8"/>
      <c r="D374" s="7"/>
      <c r="E374" s="7"/>
      <c r="F374" s="7"/>
      <c r="G374" s="13"/>
      <c r="H374" s="9"/>
      <c r="I374" s="8"/>
      <c r="J374" s="9">
        <f>J373+Table23453561213[[#This Row],[AMOUNT]]-Table23453561213[[#This Row],[AMOUNT2]]-Table23453561213[[#This Row],[AMOUNT3]]</f>
        <v>0</v>
      </c>
    </row>
    <row r="375" spans="1:10" x14ac:dyDescent="0.35">
      <c r="A375" s="29"/>
      <c r="B375" s="7"/>
      <c r="C375" s="8"/>
      <c r="D375" s="7"/>
      <c r="E375" s="7"/>
      <c r="F375" s="9"/>
      <c r="G375" s="13"/>
      <c r="H375" s="9"/>
      <c r="I375" s="8"/>
      <c r="J375" s="9">
        <f>J374+Table23453561213[[#This Row],[AMOUNT]]-Table23453561213[[#This Row],[AMOUNT2]]-Table23453561213[[#This Row],[AMOUNT3]]</f>
        <v>0</v>
      </c>
    </row>
    <row r="376" spans="1:10" x14ac:dyDescent="0.35">
      <c r="A376" s="29"/>
      <c r="B376" s="7"/>
      <c r="C376" s="8"/>
      <c r="D376" s="7"/>
      <c r="E376" s="7"/>
      <c r="F376" s="9"/>
      <c r="G376" s="13"/>
      <c r="H376" s="9"/>
      <c r="I376" s="8"/>
      <c r="J376" s="9">
        <f>J375+Table23453561213[[#This Row],[AMOUNT]]-Table23453561213[[#This Row],[AMOUNT2]]-Table23453561213[[#This Row],[AMOUNT3]]</f>
        <v>0</v>
      </c>
    </row>
    <row r="377" spans="1:10" x14ac:dyDescent="0.35">
      <c r="A377" s="29"/>
      <c r="B377" s="7"/>
      <c r="C377" s="8"/>
      <c r="D377" s="7"/>
      <c r="E377" s="7"/>
      <c r="F377" s="9"/>
      <c r="G377" s="13"/>
      <c r="H377" s="9"/>
      <c r="I377" s="8"/>
      <c r="J377" s="9">
        <f>J376+Table23453561213[[#This Row],[AMOUNT]]-Table23453561213[[#This Row],[AMOUNT2]]-Table23453561213[[#This Row],[AMOUNT3]]</f>
        <v>0</v>
      </c>
    </row>
    <row r="378" spans="1:10" x14ac:dyDescent="0.35">
      <c r="A378" s="29"/>
      <c r="B378" s="7"/>
      <c r="C378" s="8"/>
      <c r="D378" s="7"/>
      <c r="E378" s="7"/>
      <c r="F378" s="9"/>
      <c r="G378" s="13"/>
      <c r="H378" s="9"/>
      <c r="I378" s="8"/>
      <c r="J378" s="9">
        <f>J377+Table23453561213[[#This Row],[AMOUNT]]-Table23453561213[[#This Row],[AMOUNT2]]-Table23453561213[[#This Row],[AMOUNT3]]</f>
        <v>0</v>
      </c>
    </row>
    <row r="379" spans="1:10" x14ac:dyDescent="0.35">
      <c r="A379" s="29"/>
      <c r="B379" s="7"/>
      <c r="C379" s="8"/>
      <c r="D379" s="7"/>
      <c r="E379" s="7"/>
      <c r="F379" s="9"/>
      <c r="G379" s="13"/>
      <c r="H379" s="9"/>
      <c r="I379" s="8"/>
      <c r="J379" s="9">
        <f>J378+Table23453561213[[#This Row],[AMOUNT]]-Table23453561213[[#This Row],[AMOUNT2]]-Table23453561213[[#This Row],[AMOUNT3]]</f>
        <v>0</v>
      </c>
    </row>
    <row r="380" spans="1:10" x14ac:dyDescent="0.35">
      <c r="A380" s="29"/>
      <c r="B380" s="7"/>
      <c r="C380" s="8"/>
      <c r="D380" s="7"/>
      <c r="E380" s="7"/>
      <c r="F380" s="7"/>
      <c r="G380" s="13"/>
      <c r="H380" s="9"/>
      <c r="I380" s="8"/>
      <c r="J380" s="9">
        <f>J379+Table23453561213[[#This Row],[AMOUNT]]-Table23453561213[[#This Row],[AMOUNT2]]-Table23453561213[[#This Row],[AMOUNT3]]</f>
        <v>0</v>
      </c>
    </row>
    <row r="381" spans="1:10" x14ac:dyDescent="0.35">
      <c r="A381" s="29"/>
      <c r="B381" s="7"/>
      <c r="C381" s="8"/>
      <c r="D381" s="7"/>
      <c r="E381" s="7"/>
      <c r="F381" s="9"/>
      <c r="G381" s="13"/>
      <c r="H381" s="9"/>
      <c r="I381" s="8"/>
      <c r="J381" s="9">
        <f>J380+Table23453561213[[#This Row],[AMOUNT]]-Table23453561213[[#This Row],[AMOUNT2]]-Table23453561213[[#This Row],[AMOUNT3]]</f>
        <v>0</v>
      </c>
    </row>
    <row r="382" spans="1:10" x14ac:dyDescent="0.35">
      <c r="A382" s="29"/>
      <c r="B382" s="7"/>
      <c r="C382" s="8"/>
      <c r="D382" s="7"/>
      <c r="E382" s="7"/>
      <c r="F382" s="9"/>
      <c r="G382" s="13"/>
      <c r="H382" s="9"/>
      <c r="I382" s="8"/>
      <c r="J382" s="9">
        <f>J381+Table23453561213[[#This Row],[AMOUNT]]-Table23453561213[[#This Row],[AMOUNT2]]-Table23453561213[[#This Row],[AMOUNT3]]</f>
        <v>0</v>
      </c>
    </row>
    <row r="383" spans="1:10" x14ac:dyDescent="0.35">
      <c r="A383" s="29"/>
      <c r="B383" s="7"/>
      <c r="C383" s="8"/>
      <c r="D383" s="7"/>
      <c r="E383" s="7"/>
      <c r="F383" s="9"/>
      <c r="G383" s="13"/>
      <c r="H383" s="9"/>
      <c r="I383" s="8"/>
      <c r="J383" s="9">
        <f>J382+Table23453561213[[#This Row],[AMOUNT]]-Table23453561213[[#This Row],[AMOUNT2]]-Table23453561213[[#This Row],[AMOUNT3]]</f>
        <v>0</v>
      </c>
    </row>
    <row r="384" spans="1:10" x14ac:dyDescent="0.35">
      <c r="A384" s="29"/>
      <c r="B384" s="7"/>
      <c r="C384" s="8"/>
      <c r="D384" s="7"/>
      <c r="E384" s="7"/>
      <c r="F384" s="7"/>
      <c r="G384" s="13"/>
      <c r="H384" s="9"/>
      <c r="I384" s="8"/>
      <c r="J384" s="9">
        <f>J383+Table23453561213[[#This Row],[AMOUNT]]-Table23453561213[[#This Row],[AMOUNT2]]-Table23453561213[[#This Row],[AMOUNT3]]</f>
        <v>0</v>
      </c>
    </row>
    <row r="385" spans="1:10" x14ac:dyDescent="0.35">
      <c r="A385" s="29"/>
      <c r="B385" s="7"/>
      <c r="C385" s="8"/>
      <c r="D385" s="7"/>
      <c r="E385" s="7"/>
      <c r="F385" s="9"/>
      <c r="G385" s="13"/>
      <c r="H385" s="9"/>
      <c r="I385" s="8"/>
      <c r="J385" s="9">
        <f>J384+Table23453561213[[#This Row],[AMOUNT]]-Table23453561213[[#This Row],[AMOUNT2]]-Table23453561213[[#This Row],[AMOUNT3]]</f>
        <v>0</v>
      </c>
    </row>
    <row r="386" spans="1:10" x14ac:dyDescent="0.35">
      <c r="A386" s="29"/>
      <c r="B386" s="7"/>
      <c r="C386" s="8"/>
      <c r="D386" s="7"/>
      <c r="E386" s="7"/>
      <c r="F386" s="9"/>
      <c r="G386" s="13"/>
      <c r="H386" s="9"/>
      <c r="I386" s="8"/>
      <c r="J386" s="9">
        <f>J385+Table23453561213[[#This Row],[AMOUNT]]-Table23453561213[[#This Row],[AMOUNT2]]-Table23453561213[[#This Row],[AMOUNT3]]</f>
        <v>0</v>
      </c>
    </row>
    <row r="387" spans="1:10" x14ac:dyDescent="0.35">
      <c r="A387" s="29"/>
      <c r="B387" s="7"/>
      <c r="C387" s="8"/>
      <c r="D387" s="7"/>
      <c r="E387" s="7"/>
      <c r="F387" s="9"/>
      <c r="G387" s="13"/>
      <c r="H387" s="9"/>
      <c r="I387" s="8"/>
      <c r="J387" s="9">
        <f>J386+Table23453561213[[#This Row],[AMOUNT]]-Table23453561213[[#This Row],[AMOUNT2]]-Table23453561213[[#This Row],[AMOUNT3]]</f>
        <v>0</v>
      </c>
    </row>
    <row r="388" spans="1:10" x14ac:dyDescent="0.35">
      <c r="A388" s="29"/>
      <c r="B388" s="7"/>
      <c r="C388" s="8"/>
      <c r="D388" s="7"/>
      <c r="E388" s="7"/>
      <c r="F388" s="9"/>
      <c r="G388" s="13"/>
      <c r="H388" s="9"/>
      <c r="I388" s="8"/>
      <c r="J388" s="9">
        <f>J387+Table23453561213[[#This Row],[AMOUNT]]-Table23453561213[[#This Row],[AMOUNT2]]-Table23453561213[[#This Row],[AMOUNT3]]</f>
        <v>0</v>
      </c>
    </row>
    <row r="389" spans="1:10" x14ac:dyDescent="0.35">
      <c r="A389" s="29"/>
      <c r="B389" s="7"/>
      <c r="C389" s="8"/>
      <c r="D389" s="7"/>
      <c r="E389" s="7"/>
      <c r="F389" s="9"/>
      <c r="G389" s="13"/>
      <c r="H389" s="9"/>
      <c r="I389" s="8"/>
      <c r="J389" s="9">
        <f>J388+Table23453561213[[#This Row],[AMOUNT]]-Table23453561213[[#This Row],[AMOUNT2]]-Table23453561213[[#This Row],[AMOUNT3]]</f>
        <v>0</v>
      </c>
    </row>
    <row r="390" spans="1:10" x14ac:dyDescent="0.35">
      <c r="A390" s="29"/>
      <c r="B390" s="7"/>
      <c r="C390" s="8"/>
      <c r="D390" s="7"/>
      <c r="E390" s="7"/>
      <c r="F390" s="9"/>
      <c r="G390" s="13"/>
      <c r="H390" s="9"/>
      <c r="I390" s="8"/>
      <c r="J390" s="9">
        <f>J389+Table23453561213[[#This Row],[AMOUNT]]-Table23453561213[[#This Row],[AMOUNT2]]-Table23453561213[[#This Row],[AMOUNT3]]</f>
        <v>0</v>
      </c>
    </row>
    <row r="391" spans="1:10" x14ac:dyDescent="0.35">
      <c r="A391" s="29"/>
      <c r="B391" s="7"/>
      <c r="C391" s="8"/>
      <c r="D391" s="7"/>
      <c r="E391" s="7"/>
      <c r="F391" s="9"/>
      <c r="G391" s="13"/>
      <c r="H391" s="9"/>
      <c r="I391" s="8"/>
      <c r="J391" s="9">
        <f>J390+Table23453561213[[#This Row],[AMOUNT]]-Table23453561213[[#This Row],[AMOUNT2]]-Table23453561213[[#This Row],[AMOUNT3]]</f>
        <v>0</v>
      </c>
    </row>
    <row r="392" spans="1:10" x14ac:dyDescent="0.35">
      <c r="A392" s="29"/>
      <c r="B392" s="7"/>
      <c r="C392" s="8"/>
      <c r="D392" s="7"/>
      <c r="E392" s="7"/>
      <c r="F392" s="9"/>
      <c r="G392" s="13"/>
      <c r="H392" s="9"/>
      <c r="I392" s="8"/>
      <c r="J392" s="9">
        <f>J391+Table23453561213[[#This Row],[AMOUNT]]-Table23453561213[[#This Row],[AMOUNT2]]-Table23453561213[[#This Row],[AMOUNT3]]</f>
        <v>0</v>
      </c>
    </row>
    <row r="393" spans="1:10" x14ac:dyDescent="0.35">
      <c r="A393" s="29"/>
      <c r="B393" s="7"/>
      <c r="C393" s="8"/>
      <c r="D393" s="7"/>
      <c r="E393" s="7"/>
      <c r="F393" s="9"/>
      <c r="G393" s="13"/>
      <c r="H393" s="9"/>
      <c r="I393" s="8"/>
      <c r="J393" s="9">
        <f>J392+Table23453561213[[#This Row],[AMOUNT]]-Table23453561213[[#This Row],[AMOUNT2]]-Table23453561213[[#This Row],[AMOUNT3]]</f>
        <v>0</v>
      </c>
    </row>
    <row r="394" spans="1:10" x14ac:dyDescent="0.35">
      <c r="A394" s="29"/>
      <c r="B394" s="7"/>
      <c r="C394" s="8"/>
      <c r="D394" s="7"/>
      <c r="E394" s="7"/>
      <c r="F394" s="9"/>
      <c r="G394" s="13"/>
      <c r="H394" s="9"/>
      <c r="I394" s="8"/>
      <c r="J394" s="9">
        <f>J393+Table23453561213[[#This Row],[AMOUNT]]-Table23453561213[[#This Row],[AMOUNT2]]-Table23453561213[[#This Row],[AMOUNT3]]</f>
        <v>0</v>
      </c>
    </row>
    <row r="395" spans="1:10" x14ac:dyDescent="0.35">
      <c r="A395" s="29"/>
      <c r="B395" s="7"/>
      <c r="C395" s="8"/>
      <c r="D395" s="7"/>
      <c r="E395" s="7"/>
      <c r="F395" s="9"/>
      <c r="G395" s="13"/>
      <c r="H395" s="9"/>
      <c r="I395" s="8"/>
      <c r="J395" s="9">
        <f>J394+Table23453561213[[#This Row],[AMOUNT]]-Table23453561213[[#This Row],[AMOUNT2]]-Table23453561213[[#This Row],[AMOUNT3]]</f>
        <v>0</v>
      </c>
    </row>
    <row r="396" spans="1:10" x14ac:dyDescent="0.35">
      <c r="A396" s="29"/>
      <c r="B396" s="7"/>
      <c r="C396" s="8"/>
      <c r="D396" s="7"/>
      <c r="E396" s="7"/>
      <c r="F396" s="9"/>
      <c r="G396" s="13"/>
      <c r="H396" s="9"/>
      <c r="I396" s="8"/>
      <c r="J396" s="9">
        <f>J395+Table23453561213[[#This Row],[AMOUNT]]-Table23453561213[[#This Row],[AMOUNT2]]-Table23453561213[[#This Row],[AMOUNT3]]</f>
        <v>0</v>
      </c>
    </row>
    <row r="397" spans="1:10" x14ac:dyDescent="0.35">
      <c r="A397" s="29"/>
      <c r="B397" s="7"/>
      <c r="C397" s="8"/>
      <c r="D397" s="7"/>
      <c r="E397" s="7"/>
      <c r="F397" s="9"/>
      <c r="G397" s="13"/>
      <c r="H397" s="9"/>
      <c r="I397" s="8"/>
      <c r="J397" s="9">
        <f>J396+Table23453561213[[#This Row],[AMOUNT]]-Table23453561213[[#This Row],[AMOUNT2]]-Table23453561213[[#This Row],[AMOUNT3]]</f>
        <v>0</v>
      </c>
    </row>
    <row r="398" spans="1:10" x14ac:dyDescent="0.35">
      <c r="A398" s="29"/>
      <c r="B398" s="7"/>
      <c r="C398" s="8"/>
      <c r="D398" s="7"/>
      <c r="E398" s="7"/>
      <c r="F398" s="7"/>
      <c r="G398" s="13"/>
      <c r="H398" s="9"/>
      <c r="I398" s="8"/>
      <c r="J398" s="9">
        <f>J397+Table23453561213[[#This Row],[AMOUNT]]-Table23453561213[[#This Row],[AMOUNT2]]-Table23453561213[[#This Row],[AMOUNT3]]</f>
        <v>0</v>
      </c>
    </row>
    <row r="399" spans="1:10" x14ac:dyDescent="0.35">
      <c r="A399" s="29"/>
      <c r="B399" s="7"/>
      <c r="C399" s="8"/>
      <c r="D399" s="7"/>
      <c r="E399" s="7"/>
      <c r="F399" s="9"/>
      <c r="G399" s="13"/>
      <c r="H399" s="9"/>
      <c r="I399" s="8"/>
      <c r="J399" s="9">
        <f>J398+Table23453561213[[#This Row],[AMOUNT]]-Table23453561213[[#This Row],[AMOUNT2]]-Table23453561213[[#This Row],[AMOUNT3]]</f>
        <v>0</v>
      </c>
    </row>
    <row r="400" spans="1:10" x14ac:dyDescent="0.35">
      <c r="A400" s="29"/>
      <c r="B400" s="7"/>
      <c r="C400" s="8"/>
      <c r="D400" s="7"/>
      <c r="E400" s="7"/>
      <c r="F400" s="9"/>
      <c r="G400" s="13"/>
      <c r="H400" s="9"/>
      <c r="I400" s="8"/>
      <c r="J400" s="9">
        <f>J399+Table23453561213[[#This Row],[AMOUNT]]-Table23453561213[[#This Row],[AMOUNT2]]-Table23453561213[[#This Row],[AMOUNT3]]</f>
        <v>0</v>
      </c>
    </row>
    <row r="401" spans="1:10" x14ac:dyDescent="0.35">
      <c r="A401" s="29"/>
      <c r="B401" s="7"/>
      <c r="C401" s="8"/>
      <c r="D401" s="7"/>
      <c r="E401" s="7"/>
      <c r="F401" s="7"/>
      <c r="G401" s="13"/>
      <c r="H401" s="9"/>
      <c r="I401" s="8"/>
      <c r="J401" s="9">
        <f>J400+Table23453561213[[#This Row],[AMOUNT]]-Table23453561213[[#This Row],[AMOUNT2]]-Table23453561213[[#This Row],[AMOUNT3]]</f>
        <v>0</v>
      </c>
    </row>
    <row r="402" spans="1:10" x14ac:dyDescent="0.35">
      <c r="A402" s="29"/>
      <c r="B402" s="7"/>
      <c r="C402" s="8"/>
      <c r="D402" s="7"/>
      <c r="E402" s="7"/>
      <c r="F402" s="9"/>
      <c r="G402" s="13"/>
      <c r="H402" s="9"/>
      <c r="I402" s="8"/>
      <c r="J402" s="9">
        <f>J401+Table23453561213[[#This Row],[AMOUNT]]-Table23453561213[[#This Row],[AMOUNT2]]-Table23453561213[[#This Row],[AMOUNT3]]</f>
        <v>0</v>
      </c>
    </row>
    <row r="403" spans="1:10" x14ac:dyDescent="0.35">
      <c r="A403" s="29"/>
      <c r="B403" s="7"/>
      <c r="C403" s="8"/>
      <c r="D403" s="7"/>
      <c r="E403" s="7"/>
      <c r="F403" s="9"/>
      <c r="G403" s="13"/>
      <c r="H403" s="9"/>
      <c r="I403" s="8"/>
      <c r="J403" s="9">
        <f>J402+Table23453561213[[#This Row],[AMOUNT]]-Table23453561213[[#This Row],[AMOUNT2]]-Table23453561213[[#This Row],[AMOUNT3]]</f>
        <v>0</v>
      </c>
    </row>
    <row r="404" spans="1:10" x14ac:dyDescent="0.35">
      <c r="A404" s="29"/>
      <c r="B404" s="7"/>
      <c r="C404" s="8"/>
      <c r="D404" s="7"/>
      <c r="E404" s="7"/>
      <c r="F404" s="9"/>
      <c r="G404" s="13"/>
      <c r="H404" s="9"/>
      <c r="I404" s="8"/>
      <c r="J404" s="9">
        <f>J403+Table23453561213[[#This Row],[AMOUNT]]-Table23453561213[[#This Row],[AMOUNT2]]-Table23453561213[[#This Row],[AMOUNT3]]</f>
        <v>0</v>
      </c>
    </row>
    <row r="405" spans="1:10" x14ac:dyDescent="0.35">
      <c r="A405" s="29"/>
      <c r="B405" s="7"/>
      <c r="C405" s="8"/>
      <c r="D405" s="7"/>
      <c r="E405" s="7"/>
      <c r="F405" s="9"/>
      <c r="G405" s="13"/>
      <c r="H405" s="9"/>
      <c r="I405" s="8"/>
      <c r="J405" s="9">
        <f>J404+Table23453561213[[#This Row],[AMOUNT]]-Table23453561213[[#This Row],[AMOUNT2]]-Table23453561213[[#This Row],[AMOUNT3]]</f>
        <v>0</v>
      </c>
    </row>
    <row r="406" spans="1:10" x14ac:dyDescent="0.35">
      <c r="A406" s="29"/>
      <c r="B406" s="7"/>
      <c r="C406" s="8"/>
      <c r="D406" s="7"/>
      <c r="E406" s="7"/>
      <c r="F406" s="9"/>
      <c r="G406" s="13"/>
      <c r="H406" s="9"/>
      <c r="I406" s="8"/>
      <c r="J406" s="9">
        <f>J405+Table23453561213[[#This Row],[AMOUNT]]-Table23453561213[[#This Row],[AMOUNT2]]-Table23453561213[[#This Row],[AMOUNT3]]</f>
        <v>0</v>
      </c>
    </row>
    <row r="407" spans="1:10" x14ac:dyDescent="0.35">
      <c r="A407" s="29"/>
      <c r="B407" s="7"/>
      <c r="C407" s="8"/>
      <c r="D407" s="7"/>
      <c r="E407" s="7"/>
      <c r="F407" s="7"/>
      <c r="G407" s="13"/>
      <c r="H407" s="9"/>
      <c r="I407" s="8"/>
      <c r="J407" s="9">
        <f>J406+Table23453561213[[#This Row],[AMOUNT]]-Table23453561213[[#This Row],[AMOUNT2]]-Table23453561213[[#This Row],[AMOUNT3]]</f>
        <v>0</v>
      </c>
    </row>
    <row r="408" spans="1:10" x14ac:dyDescent="0.35">
      <c r="A408" s="29"/>
      <c r="B408" s="7"/>
      <c r="C408" s="8"/>
      <c r="D408" s="7"/>
      <c r="E408" s="7"/>
      <c r="F408" s="9"/>
      <c r="G408" s="13"/>
      <c r="H408" s="9"/>
      <c r="I408" s="8"/>
      <c r="J408" s="9">
        <f>J407+Table23453561213[[#This Row],[AMOUNT]]-Table23453561213[[#This Row],[AMOUNT2]]-Table23453561213[[#This Row],[AMOUNT3]]</f>
        <v>0</v>
      </c>
    </row>
    <row r="409" spans="1:10" x14ac:dyDescent="0.35">
      <c r="A409" s="29"/>
      <c r="B409" s="7"/>
      <c r="C409" s="8"/>
      <c r="D409" s="7"/>
      <c r="E409" s="7"/>
      <c r="F409" s="9"/>
      <c r="G409" s="13"/>
      <c r="H409" s="9"/>
      <c r="I409" s="8"/>
      <c r="J409" s="9">
        <f>J408+Table23453561213[[#This Row],[AMOUNT]]-Table23453561213[[#This Row],[AMOUNT2]]-Table23453561213[[#This Row],[AMOUNT3]]</f>
        <v>0</v>
      </c>
    </row>
    <row r="410" spans="1:10" x14ac:dyDescent="0.35">
      <c r="A410" s="29"/>
      <c r="B410" s="7"/>
      <c r="C410" s="8"/>
      <c r="D410" s="7"/>
      <c r="E410" s="7"/>
      <c r="F410" s="9"/>
      <c r="G410" s="13"/>
      <c r="H410" s="9"/>
      <c r="I410" s="8"/>
      <c r="J410" s="9">
        <f>J409+Table23453561213[[#This Row],[AMOUNT]]-Table23453561213[[#This Row],[AMOUNT2]]-Table23453561213[[#This Row],[AMOUNT3]]</f>
        <v>0</v>
      </c>
    </row>
    <row r="411" spans="1:10" x14ac:dyDescent="0.35">
      <c r="A411" s="29"/>
      <c r="B411" s="7"/>
      <c r="C411" s="8"/>
      <c r="D411" s="7"/>
      <c r="E411" s="7"/>
      <c r="F411" s="9"/>
      <c r="G411" s="13"/>
      <c r="H411" s="9"/>
      <c r="I411" s="8"/>
      <c r="J411" s="9">
        <f>J410+Table23453561213[[#This Row],[AMOUNT]]-Table23453561213[[#This Row],[AMOUNT2]]-Table23453561213[[#This Row],[AMOUNT3]]</f>
        <v>0</v>
      </c>
    </row>
    <row r="412" spans="1:10" x14ac:dyDescent="0.35">
      <c r="A412" s="29"/>
      <c r="B412" s="7"/>
      <c r="C412" s="8"/>
      <c r="D412" s="7"/>
      <c r="E412" s="7"/>
      <c r="F412" s="9"/>
      <c r="G412" s="13"/>
      <c r="H412" s="9"/>
      <c r="I412" s="8"/>
      <c r="J412" s="9">
        <f>J411+Table23453561213[[#This Row],[AMOUNT]]-Table23453561213[[#This Row],[AMOUNT2]]-Table23453561213[[#This Row],[AMOUNT3]]</f>
        <v>0</v>
      </c>
    </row>
    <row r="413" spans="1:10" x14ac:dyDescent="0.35">
      <c r="A413" s="29"/>
      <c r="B413" s="7"/>
      <c r="C413" s="8"/>
      <c r="D413" s="7"/>
      <c r="E413" s="7"/>
      <c r="F413" s="9"/>
      <c r="G413" s="13"/>
      <c r="H413" s="9"/>
      <c r="I413" s="8"/>
      <c r="J413" s="9">
        <f>J412+Table23453561213[[#This Row],[AMOUNT]]-Table23453561213[[#This Row],[AMOUNT2]]-Table23453561213[[#This Row],[AMOUNT3]]</f>
        <v>0</v>
      </c>
    </row>
    <row r="414" spans="1:10" x14ac:dyDescent="0.35">
      <c r="A414" s="29"/>
      <c r="B414" s="7"/>
      <c r="C414" s="8"/>
      <c r="D414" s="7"/>
      <c r="E414" s="7"/>
      <c r="F414" s="9"/>
      <c r="G414" s="13"/>
      <c r="H414" s="9"/>
      <c r="I414" s="8"/>
      <c r="J414" s="9">
        <f>J413+Table23453561213[[#This Row],[AMOUNT]]-Table23453561213[[#This Row],[AMOUNT2]]-Table23453561213[[#This Row],[AMOUNT3]]</f>
        <v>0</v>
      </c>
    </row>
    <row r="415" spans="1:10" x14ac:dyDescent="0.35">
      <c r="A415" s="29"/>
      <c r="B415" s="7"/>
      <c r="C415" s="8"/>
      <c r="D415" s="7"/>
      <c r="E415" s="7"/>
      <c r="F415" s="9"/>
      <c r="G415" s="13"/>
      <c r="H415" s="9"/>
      <c r="I415" s="8"/>
      <c r="J415" s="9">
        <f>J414+Table23453561213[[#This Row],[AMOUNT]]-Table23453561213[[#This Row],[AMOUNT2]]-Table23453561213[[#This Row],[AMOUNT3]]</f>
        <v>0</v>
      </c>
    </row>
    <row r="416" spans="1:10" x14ac:dyDescent="0.35">
      <c r="A416" s="29"/>
      <c r="B416" s="7"/>
      <c r="C416" s="8"/>
      <c r="D416" s="7"/>
      <c r="E416" s="7"/>
      <c r="F416" s="9"/>
      <c r="G416" s="13"/>
      <c r="H416" s="9"/>
      <c r="I416" s="8"/>
      <c r="J416" s="9">
        <f>J415+Table23453561213[[#This Row],[AMOUNT]]-Table23453561213[[#This Row],[AMOUNT2]]-Table23453561213[[#This Row],[AMOUNT3]]</f>
        <v>0</v>
      </c>
    </row>
    <row r="417" spans="1:10" x14ac:dyDescent="0.35">
      <c r="A417" s="29"/>
      <c r="B417" s="7"/>
      <c r="C417" s="8"/>
      <c r="D417" s="7"/>
      <c r="E417" s="7"/>
      <c r="F417" s="7"/>
      <c r="G417" s="13"/>
      <c r="H417" s="9"/>
      <c r="I417" s="8"/>
      <c r="J417" s="9">
        <f>J416+Table23453561213[[#This Row],[AMOUNT]]-Table23453561213[[#This Row],[AMOUNT2]]-Table23453561213[[#This Row],[AMOUNT3]]</f>
        <v>0</v>
      </c>
    </row>
    <row r="418" spans="1:10" x14ac:dyDescent="0.35">
      <c r="A418" s="29"/>
      <c r="B418" s="7"/>
      <c r="C418" s="8"/>
      <c r="D418" s="7"/>
      <c r="E418" s="7"/>
      <c r="F418" s="9"/>
      <c r="G418" s="13"/>
      <c r="H418" s="9"/>
      <c r="I418" s="8"/>
      <c r="J418" s="9">
        <f>J417+Table23453561213[[#This Row],[AMOUNT]]-Table23453561213[[#This Row],[AMOUNT2]]-Table23453561213[[#This Row],[AMOUNT3]]</f>
        <v>0</v>
      </c>
    </row>
    <row r="419" spans="1:10" x14ac:dyDescent="0.35">
      <c r="A419" s="29"/>
      <c r="B419" s="7"/>
      <c r="C419" s="8"/>
      <c r="D419" s="7"/>
      <c r="E419" s="7"/>
      <c r="F419" s="9"/>
      <c r="G419" s="13"/>
      <c r="H419" s="9"/>
      <c r="I419" s="8"/>
      <c r="J419" s="9">
        <f>J418+Table23453561213[[#This Row],[AMOUNT]]-Table23453561213[[#This Row],[AMOUNT2]]-Table23453561213[[#This Row],[AMOUNT3]]</f>
        <v>0</v>
      </c>
    </row>
    <row r="420" spans="1:10" x14ac:dyDescent="0.35">
      <c r="A420" s="29"/>
      <c r="B420" s="7"/>
      <c r="C420" s="8"/>
      <c r="D420" s="7"/>
      <c r="E420" s="7"/>
      <c r="F420" s="7"/>
      <c r="G420" s="13"/>
      <c r="H420" s="9"/>
      <c r="I420" s="8"/>
      <c r="J420" s="9">
        <f>J419+Table23453561213[[#This Row],[AMOUNT]]-Table23453561213[[#This Row],[AMOUNT2]]-Table23453561213[[#This Row],[AMOUNT3]]</f>
        <v>0</v>
      </c>
    </row>
    <row r="421" spans="1:10" x14ac:dyDescent="0.35">
      <c r="A421" s="29"/>
      <c r="B421" s="7"/>
      <c r="C421" s="8"/>
      <c r="D421" s="7"/>
      <c r="E421" s="7"/>
      <c r="F421" s="9"/>
      <c r="G421" s="13"/>
      <c r="H421" s="9"/>
      <c r="I421" s="8"/>
      <c r="J421" s="9">
        <f>J420+Table23453561213[[#This Row],[AMOUNT]]-Table23453561213[[#This Row],[AMOUNT2]]-Table23453561213[[#This Row],[AMOUNT3]]</f>
        <v>0</v>
      </c>
    </row>
    <row r="422" spans="1:10" x14ac:dyDescent="0.35">
      <c r="A422" s="29"/>
      <c r="B422" s="7"/>
      <c r="C422" s="8"/>
      <c r="D422" s="7"/>
      <c r="E422" s="7"/>
      <c r="F422" s="9"/>
      <c r="G422" s="13"/>
      <c r="H422" s="9"/>
      <c r="I422" s="8"/>
      <c r="J422" s="9">
        <f>J421+Table23453561213[[#This Row],[AMOUNT]]-Table23453561213[[#This Row],[AMOUNT2]]-Table23453561213[[#This Row],[AMOUNT3]]</f>
        <v>0</v>
      </c>
    </row>
    <row r="423" spans="1:10" x14ac:dyDescent="0.35">
      <c r="A423" s="29"/>
      <c r="B423" s="7"/>
      <c r="C423" s="8"/>
      <c r="D423" s="7"/>
      <c r="E423" s="7"/>
      <c r="F423" s="9"/>
      <c r="G423" s="13"/>
      <c r="H423" s="9"/>
      <c r="I423" s="8"/>
      <c r="J423" s="9">
        <f>J422+Table23453561213[[#This Row],[AMOUNT]]-Table23453561213[[#This Row],[AMOUNT2]]-Table23453561213[[#This Row],[AMOUNT3]]</f>
        <v>0</v>
      </c>
    </row>
    <row r="424" spans="1:10" x14ac:dyDescent="0.35">
      <c r="A424" s="29"/>
      <c r="B424" s="7"/>
      <c r="C424" s="8"/>
      <c r="D424" s="7"/>
      <c r="E424" s="7"/>
      <c r="F424" s="9"/>
      <c r="G424" s="13"/>
      <c r="H424" s="9"/>
      <c r="I424" s="8"/>
      <c r="J424" s="9">
        <f>J423+Table23453561213[[#This Row],[AMOUNT]]-Table23453561213[[#This Row],[AMOUNT2]]-Table23453561213[[#This Row],[AMOUNT3]]</f>
        <v>0</v>
      </c>
    </row>
    <row r="425" spans="1:10" x14ac:dyDescent="0.35">
      <c r="A425" s="29"/>
      <c r="B425" s="7"/>
      <c r="C425" s="8"/>
      <c r="D425" s="7"/>
      <c r="E425" s="7"/>
      <c r="F425" s="9"/>
      <c r="G425" s="13"/>
      <c r="H425" s="9"/>
      <c r="I425" s="8"/>
      <c r="J425" s="9">
        <f>J424+Table23453561213[[#This Row],[AMOUNT]]-Table23453561213[[#This Row],[AMOUNT2]]-Table23453561213[[#This Row],[AMOUNT3]]</f>
        <v>0</v>
      </c>
    </row>
    <row r="426" spans="1:10" x14ac:dyDescent="0.35">
      <c r="A426" s="29"/>
      <c r="B426" s="7"/>
      <c r="C426" s="8"/>
      <c r="D426" s="7"/>
      <c r="E426" s="7"/>
      <c r="F426" s="7"/>
      <c r="G426" s="13"/>
      <c r="H426" s="9"/>
      <c r="I426" s="8"/>
      <c r="J426" s="9">
        <f>J425+Table23453561213[[#This Row],[AMOUNT]]-Table23453561213[[#This Row],[AMOUNT2]]-Table23453561213[[#This Row],[AMOUNT3]]</f>
        <v>0</v>
      </c>
    </row>
    <row r="427" spans="1:10" x14ac:dyDescent="0.35">
      <c r="A427" s="29"/>
      <c r="B427" s="7"/>
      <c r="C427" s="8"/>
      <c r="D427" s="7"/>
      <c r="E427" s="7"/>
      <c r="F427" s="9"/>
      <c r="G427" s="13"/>
      <c r="H427" s="9"/>
      <c r="I427" s="8"/>
      <c r="J427" s="9">
        <f>J426+Table23453561213[[#This Row],[AMOUNT]]-Table23453561213[[#This Row],[AMOUNT2]]-Table23453561213[[#This Row],[AMOUNT3]]</f>
        <v>0</v>
      </c>
    </row>
    <row r="428" spans="1:10" x14ac:dyDescent="0.35">
      <c r="A428" s="29"/>
      <c r="B428" s="7"/>
      <c r="C428" s="8"/>
      <c r="D428" s="7"/>
      <c r="E428" s="7"/>
      <c r="F428" s="7"/>
      <c r="G428" s="13"/>
      <c r="H428" s="9"/>
      <c r="I428" s="8"/>
      <c r="J428" s="9">
        <f>J427+Table23453561213[[#This Row],[AMOUNT]]-Table23453561213[[#This Row],[AMOUNT2]]-Table23453561213[[#This Row],[AMOUNT3]]</f>
        <v>0</v>
      </c>
    </row>
    <row r="429" spans="1:10" x14ac:dyDescent="0.35">
      <c r="A429" s="29"/>
      <c r="B429" s="7"/>
      <c r="C429" s="8"/>
      <c r="D429" s="7"/>
      <c r="E429" s="7"/>
      <c r="F429" s="7"/>
      <c r="G429" s="13"/>
      <c r="H429" s="9"/>
      <c r="I429" s="8"/>
      <c r="J429" s="9">
        <f>J428+Table23453561213[[#This Row],[AMOUNT]]-Table23453561213[[#This Row],[AMOUNT2]]-Table23453561213[[#This Row],[AMOUNT3]]</f>
        <v>0</v>
      </c>
    </row>
    <row r="430" spans="1:10" x14ac:dyDescent="0.35">
      <c r="A430" s="29"/>
      <c r="B430" s="7"/>
      <c r="C430" s="8"/>
      <c r="D430" s="7"/>
      <c r="E430" s="7"/>
      <c r="F430" s="9"/>
      <c r="G430" s="13"/>
      <c r="H430" s="9"/>
      <c r="I430" s="8"/>
      <c r="J430" s="9">
        <f>J429+Table23453561213[[#This Row],[AMOUNT]]-Table23453561213[[#This Row],[AMOUNT2]]-Table23453561213[[#This Row],[AMOUNT3]]</f>
        <v>0</v>
      </c>
    </row>
    <row r="431" spans="1:10" x14ac:dyDescent="0.35">
      <c r="A431" s="29"/>
      <c r="B431" s="7"/>
      <c r="C431" s="8"/>
      <c r="D431" s="7"/>
      <c r="E431" s="7"/>
      <c r="F431" s="9"/>
      <c r="G431" s="13"/>
      <c r="H431" s="9"/>
      <c r="I431" s="8"/>
      <c r="J431" s="9">
        <f>J430+Table23453561213[[#This Row],[AMOUNT]]-Table23453561213[[#This Row],[AMOUNT2]]-Table23453561213[[#This Row],[AMOUNT3]]</f>
        <v>0</v>
      </c>
    </row>
    <row r="432" spans="1:10" x14ac:dyDescent="0.35">
      <c r="A432" s="29"/>
      <c r="B432" s="7"/>
      <c r="C432" s="8"/>
      <c r="D432" s="7"/>
      <c r="E432" s="7"/>
      <c r="F432" s="9"/>
      <c r="G432" s="13"/>
      <c r="H432" s="9"/>
      <c r="I432" s="8"/>
      <c r="J432" s="9">
        <f>J431+Table23453561213[[#This Row],[AMOUNT]]-Table23453561213[[#This Row],[AMOUNT2]]-Table23453561213[[#This Row],[AMOUNT3]]</f>
        <v>0</v>
      </c>
    </row>
    <row r="433" spans="1:10" x14ac:dyDescent="0.35">
      <c r="A433" s="29"/>
      <c r="B433" s="7"/>
      <c r="C433" s="8"/>
      <c r="D433" s="7"/>
      <c r="E433" s="7"/>
      <c r="F433" s="9"/>
      <c r="G433" s="13"/>
      <c r="H433" s="9"/>
      <c r="I433" s="8"/>
      <c r="J433" s="9">
        <f>J432+Table23453561213[[#This Row],[AMOUNT]]-Table23453561213[[#This Row],[AMOUNT2]]-Table23453561213[[#This Row],[AMOUNT3]]</f>
        <v>0</v>
      </c>
    </row>
    <row r="434" spans="1:10" x14ac:dyDescent="0.35">
      <c r="A434" s="29"/>
      <c r="B434" s="7"/>
      <c r="C434" s="8"/>
      <c r="D434" s="7"/>
      <c r="E434" s="7"/>
      <c r="F434" s="9"/>
      <c r="G434" s="13"/>
      <c r="H434" s="9"/>
      <c r="I434" s="8"/>
      <c r="J434" s="9">
        <f>J433+Table23453561213[[#This Row],[AMOUNT]]-Table23453561213[[#This Row],[AMOUNT2]]-Table23453561213[[#This Row],[AMOUNT3]]</f>
        <v>0</v>
      </c>
    </row>
    <row r="435" spans="1:10" x14ac:dyDescent="0.35">
      <c r="A435" s="29"/>
      <c r="B435" s="7"/>
      <c r="C435" s="8"/>
      <c r="D435" s="7"/>
      <c r="E435" s="7"/>
      <c r="F435" s="9"/>
      <c r="G435" s="13"/>
      <c r="H435" s="9"/>
      <c r="I435" s="8"/>
      <c r="J435" s="9">
        <f>J434+Table23453561213[[#This Row],[AMOUNT]]-Table23453561213[[#This Row],[AMOUNT2]]-Table23453561213[[#This Row],[AMOUNT3]]</f>
        <v>0</v>
      </c>
    </row>
    <row r="436" spans="1:10" x14ac:dyDescent="0.35">
      <c r="A436" s="29"/>
      <c r="B436" s="7"/>
      <c r="C436" s="8"/>
      <c r="D436" s="7"/>
      <c r="E436" s="7"/>
      <c r="F436" s="7"/>
      <c r="G436" s="13"/>
      <c r="H436" s="9"/>
      <c r="I436" s="8"/>
      <c r="J436" s="9">
        <f>J435+Table23453561213[[#This Row],[AMOUNT]]-Table23453561213[[#This Row],[AMOUNT2]]-Table23453561213[[#This Row],[AMOUNT3]]</f>
        <v>0</v>
      </c>
    </row>
    <row r="437" spans="1:10" x14ac:dyDescent="0.35">
      <c r="A437" s="29"/>
      <c r="B437" s="7"/>
      <c r="C437" s="8"/>
      <c r="D437" s="7"/>
      <c r="E437" s="7"/>
      <c r="F437" s="9"/>
      <c r="G437" s="13"/>
      <c r="H437" s="9"/>
      <c r="I437" s="8"/>
      <c r="J437" s="9">
        <f>J436+Table23453561213[[#This Row],[AMOUNT]]-Table23453561213[[#This Row],[AMOUNT2]]-Table23453561213[[#This Row],[AMOUNT3]]</f>
        <v>0</v>
      </c>
    </row>
    <row r="438" spans="1:10" x14ac:dyDescent="0.35">
      <c r="A438" s="29"/>
      <c r="B438" s="7"/>
      <c r="C438" s="8"/>
      <c r="D438" s="7"/>
      <c r="E438" s="7"/>
      <c r="F438" s="9"/>
      <c r="G438" s="13"/>
      <c r="H438" s="9"/>
      <c r="I438" s="8"/>
      <c r="J438" s="9">
        <f>J437+Table23453561213[[#This Row],[AMOUNT]]-Table23453561213[[#This Row],[AMOUNT2]]-Table23453561213[[#This Row],[AMOUNT3]]</f>
        <v>0</v>
      </c>
    </row>
    <row r="439" spans="1:10" x14ac:dyDescent="0.35">
      <c r="A439" s="29"/>
      <c r="B439" s="7"/>
      <c r="C439" s="8"/>
      <c r="D439" s="7"/>
      <c r="E439" s="7"/>
      <c r="F439" s="7"/>
      <c r="G439" s="13"/>
      <c r="H439" s="9"/>
      <c r="I439" s="8"/>
      <c r="J439" s="9">
        <f>J438+Table23453561213[[#This Row],[AMOUNT]]-Table23453561213[[#This Row],[AMOUNT2]]-Table23453561213[[#This Row],[AMOUNT3]]</f>
        <v>0</v>
      </c>
    </row>
    <row r="440" spans="1:10" x14ac:dyDescent="0.35">
      <c r="A440" s="29"/>
      <c r="B440" s="7"/>
      <c r="C440" s="8"/>
      <c r="D440" s="7"/>
      <c r="E440" s="7"/>
      <c r="F440" s="9"/>
      <c r="G440" s="13"/>
      <c r="H440" s="9"/>
      <c r="I440" s="8"/>
      <c r="J440" s="9">
        <f>J439+Table23453561213[[#This Row],[AMOUNT]]-Table23453561213[[#This Row],[AMOUNT2]]-Table23453561213[[#This Row],[AMOUNT3]]</f>
        <v>0</v>
      </c>
    </row>
    <row r="441" spans="1:10" x14ac:dyDescent="0.35">
      <c r="A441" s="29"/>
      <c r="B441" s="7"/>
      <c r="C441" s="8"/>
      <c r="D441" s="7"/>
      <c r="E441" s="7"/>
      <c r="F441" s="9"/>
      <c r="G441" s="13"/>
      <c r="H441" s="9"/>
      <c r="I441" s="8"/>
      <c r="J441" s="9">
        <f>J440+Table23453561213[[#This Row],[AMOUNT]]-Table23453561213[[#This Row],[AMOUNT2]]-Table23453561213[[#This Row],[AMOUNT3]]</f>
        <v>0</v>
      </c>
    </row>
    <row r="442" spans="1:10" x14ac:dyDescent="0.35">
      <c r="A442" s="29"/>
      <c r="B442" s="7"/>
      <c r="C442" s="8"/>
      <c r="D442" s="7"/>
      <c r="E442" s="7"/>
      <c r="F442" s="9"/>
      <c r="G442" s="13"/>
      <c r="H442" s="9"/>
      <c r="I442" s="8"/>
      <c r="J442" s="9">
        <f>J441+Table23453561213[[#This Row],[AMOUNT]]-Table23453561213[[#This Row],[AMOUNT2]]-Table23453561213[[#This Row],[AMOUNT3]]</f>
        <v>0</v>
      </c>
    </row>
    <row r="443" spans="1:10" x14ac:dyDescent="0.35">
      <c r="A443" s="29"/>
      <c r="B443" s="7"/>
      <c r="C443" s="8"/>
      <c r="D443" s="7"/>
      <c r="E443" s="7"/>
      <c r="F443" s="9"/>
      <c r="G443" s="13"/>
      <c r="H443" s="9"/>
      <c r="I443" s="8"/>
      <c r="J443" s="9">
        <f>J442+Table23453561213[[#This Row],[AMOUNT]]-Table23453561213[[#This Row],[AMOUNT2]]-Table23453561213[[#This Row],[AMOUNT3]]</f>
        <v>0</v>
      </c>
    </row>
    <row r="444" spans="1:10" x14ac:dyDescent="0.35">
      <c r="A444" s="29"/>
      <c r="B444" s="7"/>
      <c r="C444" s="8"/>
      <c r="D444" s="7"/>
      <c r="E444" s="7"/>
      <c r="F444" s="9"/>
      <c r="G444" s="13"/>
      <c r="H444" s="9"/>
      <c r="I444" s="8"/>
      <c r="J444" s="9">
        <f>J443+Table23453561213[[#This Row],[AMOUNT]]-Table23453561213[[#This Row],[AMOUNT2]]-Table23453561213[[#This Row],[AMOUNT3]]</f>
        <v>0</v>
      </c>
    </row>
    <row r="445" spans="1:10" x14ac:dyDescent="0.35">
      <c r="A445" s="29"/>
      <c r="B445" s="7"/>
      <c r="C445" s="8"/>
      <c r="D445" s="7"/>
      <c r="E445" s="7"/>
      <c r="F445" s="9"/>
      <c r="G445" s="13"/>
      <c r="H445" s="9"/>
      <c r="I445" s="8"/>
      <c r="J445" s="9">
        <f>J444+Table23453561213[[#This Row],[AMOUNT]]-Table23453561213[[#This Row],[AMOUNT2]]-Table23453561213[[#This Row],[AMOUNT3]]</f>
        <v>0</v>
      </c>
    </row>
    <row r="446" spans="1:10" x14ac:dyDescent="0.35">
      <c r="A446" s="29"/>
      <c r="B446" s="7"/>
      <c r="C446" s="8"/>
      <c r="D446" s="7"/>
      <c r="E446" s="7"/>
      <c r="F446" s="9"/>
      <c r="G446" s="13"/>
      <c r="H446" s="9"/>
      <c r="I446" s="8"/>
      <c r="J446" s="9">
        <f>J445+Table23453561213[[#This Row],[AMOUNT]]-Table23453561213[[#This Row],[AMOUNT2]]-Table23453561213[[#This Row],[AMOUNT3]]</f>
        <v>0</v>
      </c>
    </row>
    <row r="447" spans="1:10" x14ac:dyDescent="0.35">
      <c r="A447" s="29"/>
      <c r="B447" s="7"/>
      <c r="C447" s="8"/>
      <c r="D447" s="7"/>
      <c r="E447" s="7"/>
      <c r="F447" s="9"/>
      <c r="G447" s="13"/>
      <c r="H447" s="9"/>
      <c r="I447" s="8"/>
      <c r="J447" s="9">
        <f>J446+Table23453561213[[#This Row],[AMOUNT]]-Table23453561213[[#This Row],[AMOUNT2]]-Table23453561213[[#This Row],[AMOUNT3]]</f>
        <v>0</v>
      </c>
    </row>
    <row r="448" spans="1:10" x14ac:dyDescent="0.35">
      <c r="A448" s="29"/>
      <c r="B448" s="7"/>
      <c r="C448" s="8"/>
      <c r="D448" s="7"/>
      <c r="E448" s="7"/>
      <c r="F448" s="9"/>
      <c r="G448" s="13"/>
      <c r="H448" s="9"/>
      <c r="I448" s="8"/>
      <c r="J448" s="9">
        <f>J447+Table23453561213[[#This Row],[AMOUNT]]-Table23453561213[[#This Row],[AMOUNT2]]-Table23453561213[[#This Row],[AMOUNT3]]</f>
        <v>0</v>
      </c>
    </row>
    <row r="449" spans="1:10" x14ac:dyDescent="0.35">
      <c r="A449" s="29"/>
      <c r="B449" s="7"/>
      <c r="C449" s="8"/>
      <c r="D449" s="7"/>
      <c r="E449" s="7"/>
      <c r="F449" s="9"/>
      <c r="G449" s="13"/>
      <c r="H449" s="9"/>
      <c r="I449" s="8"/>
      <c r="J449" s="9">
        <f>J448+Table23453561213[[#This Row],[AMOUNT]]-Table23453561213[[#This Row],[AMOUNT2]]-Table23453561213[[#This Row],[AMOUNT3]]</f>
        <v>0</v>
      </c>
    </row>
    <row r="450" spans="1:10" x14ac:dyDescent="0.35">
      <c r="A450" s="29"/>
      <c r="B450" s="7"/>
      <c r="C450" s="8"/>
      <c r="D450" s="7"/>
      <c r="E450" s="7"/>
      <c r="F450" s="9"/>
      <c r="G450" s="13"/>
      <c r="H450" s="9"/>
      <c r="I450" s="8"/>
      <c r="J450" s="9">
        <f>J449+Table23453561213[[#This Row],[AMOUNT]]-Table23453561213[[#This Row],[AMOUNT2]]-Table23453561213[[#This Row],[AMOUNT3]]</f>
        <v>0</v>
      </c>
    </row>
    <row r="451" spans="1:10" x14ac:dyDescent="0.35">
      <c r="A451" s="29"/>
      <c r="B451" s="7"/>
      <c r="C451" s="8"/>
      <c r="D451" s="7"/>
      <c r="E451" s="7"/>
      <c r="F451" s="9"/>
      <c r="G451" s="13"/>
      <c r="H451" s="9"/>
      <c r="I451" s="8"/>
      <c r="J451" s="9">
        <f>J450+Table23453561213[[#This Row],[AMOUNT]]-Table23453561213[[#This Row],[AMOUNT2]]-Table23453561213[[#This Row],[AMOUNT3]]</f>
        <v>0</v>
      </c>
    </row>
    <row r="452" spans="1:10" x14ac:dyDescent="0.35">
      <c r="A452" s="29"/>
      <c r="B452" s="7"/>
      <c r="C452" s="8"/>
      <c r="D452" s="7"/>
      <c r="E452" s="7"/>
      <c r="F452" s="9"/>
      <c r="G452" s="13"/>
      <c r="H452" s="9"/>
      <c r="I452" s="8"/>
      <c r="J452" s="9">
        <f>J451+Table23453561213[[#This Row],[AMOUNT]]-Table23453561213[[#This Row],[AMOUNT2]]-Table23453561213[[#This Row],[AMOUNT3]]</f>
        <v>0</v>
      </c>
    </row>
    <row r="453" spans="1:10" x14ac:dyDescent="0.35">
      <c r="A453" s="29"/>
      <c r="B453" s="7"/>
      <c r="C453" s="8"/>
      <c r="D453" s="7"/>
      <c r="E453" s="7"/>
      <c r="F453" s="9"/>
      <c r="G453" s="13"/>
      <c r="H453" s="9"/>
      <c r="I453" s="8"/>
      <c r="J453" s="9">
        <f>J452+Table23453561213[[#This Row],[AMOUNT]]-Table23453561213[[#This Row],[AMOUNT2]]-Table23453561213[[#This Row],[AMOUNT3]]</f>
        <v>0</v>
      </c>
    </row>
    <row r="454" spans="1:10" x14ac:dyDescent="0.35">
      <c r="A454" s="29"/>
      <c r="B454" s="7"/>
      <c r="C454" s="8"/>
      <c r="D454" s="7"/>
      <c r="E454" s="7"/>
      <c r="F454" s="7"/>
      <c r="G454" s="13"/>
      <c r="H454" s="9"/>
      <c r="I454" s="8"/>
      <c r="J454" s="9">
        <f>J453+Table23453561213[[#This Row],[AMOUNT]]-Table23453561213[[#This Row],[AMOUNT2]]-Table23453561213[[#This Row],[AMOUNT3]]</f>
        <v>0</v>
      </c>
    </row>
    <row r="455" spans="1:10" x14ac:dyDescent="0.35">
      <c r="A455" s="29"/>
      <c r="B455" s="7"/>
      <c r="C455" s="8"/>
      <c r="D455" s="7"/>
      <c r="E455" s="7"/>
      <c r="F455" s="9"/>
      <c r="G455" s="13"/>
      <c r="H455" s="9"/>
      <c r="I455" s="8"/>
      <c r="J455" s="9">
        <f>J454+Table23453561213[[#This Row],[AMOUNT]]-Table23453561213[[#This Row],[AMOUNT2]]-Table23453561213[[#This Row],[AMOUNT3]]</f>
        <v>0</v>
      </c>
    </row>
    <row r="456" spans="1:10" x14ac:dyDescent="0.35">
      <c r="A456" s="29"/>
      <c r="B456" s="7"/>
      <c r="C456" s="8"/>
      <c r="D456" s="7"/>
      <c r="E456" s="7"/>
      <c r="F456" s="9"/>
      <c r="G456" s="13"/>
      <c r="H456" s="9"/>
      <c r="I456" s="8"/>
      <c r="J456" s="9">
        <f>J455+Table23453561213[[#This Row],[AMOUNT]]-Table23453561213[[#This Row],[AMOUNT2]]-Table23453561213[[#This Row],[AMOUNT3]]</f>
        <v>0</v>
      </c>
    </row>
    <row r="457" spans="1:10" x14ac:dyDescent="0.35">
      <c r="A457" s="29"/>
      <c r="B457" s="7"/>
      <c r="C457" s="8"/>
      <c r="D457" s="7"/>
      <c r="E457" s="7"/>
      <c r="F457" s="9"/>
      <c r="G457" s="13"/>
      <c r="H457" s="9"/>
      <c r="I457" s="8"/>
      <c r="J457" s="9">
        <f>J456+Table23453561213[[#This Row],[AMOUNT]]-Table23453561213[[#This Row],[AMOUNT2]]-Table23453561213[[#This Row],[AMOUNT3]]</f>
        <v>0</v>
      </c>
    </row>
    <row r="458" spans="1:10" x14ac:dyDescent="0.35">
      <c r="A458" s="29"/>
      <c r="B458" s="7"/>
      <c r="C458" s="8"/>
      <c r="D458" s="7"/>
      <c r="E458" s="7"/>
      <c r="F458" s="9"/>
      <c r="G458" s="13"/>
      <c r="H458" s="9"/>
      <c r="I458" s="8"/>
      <c r="J458" s="9">
        <f>J457+Table23453561213[[#This Row],[AMOUNT]]-Table23453561213[[#This Row],[AMOUNT2]]-Table23453561213[[#This Row],[AMOUNT3]]</f>
        <v>0</v>
      </c>
    </row>
    <row r="459" spans="1:10" x14ac:dyDescent="0.35">
      <c r="A459" s="29"/>
      <c r="B459" s="7"/>
      <c r="C459" s="8"/>
      <c r="D459" s="7"/>
      <c r="E459" s="7"/>
      <c r="F459" s="9"/>
      <c r="G459" s="13"/>
      <c r="H459" s="9"/>
      <c r="I459" s="8"/>
      <c r="J459" s="9">
        <f>J458+Table23453561213[[#This Row],[AMOUNT]]-Table23453561213[[#This Row],[AMOUNT2]]-Table23453561213[[#This Row],[AMOUNT3]]</f>
        <v>0</v>
      </c>
    </row>
    <row r="460" spans="1:10" x14ac:dyDescent="0.35">
      <c r="A460" s="29"/>
      <c r="B460" s="7"/>
      <c r="C460" s="8"/>
      <c r="D460" s="7"/>
      <c r="E460" s="7"/>
      <c r="F460" s="7"/>
      <c r="G460" s="13"/>
      <c r="H460" s="9"/>
      <c r="I460" s="8"/>
      <c r="J460" s="9">
        <f>J459+Table23453561213[[#This Row],[AMOUNT]]-Table23453561213[[#This Row],[AMOUNT2]]-Table23453561213[[#This Row],[AMOUNT3]]</f>
        <v>0</v>
      </c>
    </row>
    <row r="461" spans="1:10" x14ac:dyDescent="0.35">
      <c r="A461" s="29"/>
      <c r="B461" s="7"/>
      <c r="C461" s="8"/>
      <c r="D461" s="7"/>
      <c r="E461" s="7"/>
      <c r="F461" s="9"/>
      <c r="G461" s="13"/>
      <c r="H461" s="9"/>
      <c r="I461" s="8"/>
      <c r="J461" s="9">
        <f>J460+Table23453561213[[#This Row],[AMOUNT]]-Table23453561213[[#This Row],[AMOUNT2]]-Table23453561213[[#This Row],[AMOUNT3]]</f>
        <v>0</v>
      </c>
    </row>
    <row r="462" spans="1:10" x14ac:dyDescent="0.35">
      <c r="A462" s="29"/>
      <c r="B462" s="7"/>
      <c r="C462" s="8"/>
      <c r="D462" s="7"/>
      <c r="E462" s="7"/>
      <c r="F462" s="9"/>
      <c r="G462" s="13"/>
      <c r="H462" s="9"/>
      <c r="I462" s="8"/>
      <c r="J462" s="9">
        <f>J461+Table23453561213[[#This Row],[AMOUNT]]-Table23453561213[[#This Row],[AMOUNT2]]-Table23453561213[[#This Row],[AMOUNT3]]</f>
        <v>0</v>
      </c>
    </row>
    <row r="463" spans="1:10" x14ac:dyDescent="0.35">
      <c r="A463" s="29"/>
      <c r="B463" s="7"/>
      <c r="C463" s="8"/>
      <c r="D463" s="7"/>
      <c r="E463" s="7"/>
      <c r="F463" s="9"/>
      <c r="G463" s="13"/>
      <c r="H463" s="9"/>
      <c r="I463" s="8"/>
      <c r="J463" s="9">
        <f>J462+Table23453561213[[#This Row],[AMOUNT]]-Table23453561213[[#This Row],[AMOUNT2]]-Table23453561213[[#This Row],[AMOUNT3]]</f>
        <v>0</v>
      </c>
    </row>
    <row r="464" spans="1:10" x14ac:dyDescent="0.35">
      <c r="A464" s="29"/>
      <c r="B464" s="7"/>
      <c r="C464" s="8"/>
      <c r="D464" s="7"/>
      <c r="E464" s="7"/>
      <c r="F464" s="9"/>
      <c r="G464" s="13"/>
      <c r="H464" s="9"/>
      <c r="I464" s="8"/>
      <c r="J464" s="9">
        <f>J463+Table23453561213[[#This Row],[AMOUNT]]-Table23453561213[[#This Row],[AMOUNT2]]-Table23453561213[[#This Row],[AMOUNT3]]</f>
        <v>0</v>
      </c>
    </row>
    <row r="465" spans="1:10" x14ac:dyDescent="0.35">
      <c r="A465" s="29"/>
      <c r="B465" s="7"/>
      <c r="C465" s="8"/>
      <c r="D465" s="7"/>
      <c r="E465" s="7"/>
      <c r="F465" s="9"/>
      <c r="G465" s="13"/>
      <c r="H465" s="9"/>
      <c r="I465" s="8"/>
      <c r="J465" s="9">
        <f>J464+Table23453561213[[#This Row],[AMOUNT]]-Table23453561213[[#This Row],[AMOUNT2]]-Table23453561213[[#This Row],[AMOUNT3]]</f>
        <v>0</v>
      </c>
    </row>
    <row r="466" spans="1:10" x14ac:dyDescent="0.35">
      <c r="A466" s="29"/>
      <c r="B466" s="7"/>
      <c r="C466" s="8"/>
      <c r="D466" s="7"/>
      <c r="E466" s="7"/>
      <c r="F466" s="9"/>
      <c r="G466" s="13"/>
      <c r="H466" s="9"/>
      <c r="I466" s="8"/>
      <c r="J466" s="9">
        <f>J465+Table23453561213[[#This Row],[AMOUNT]]-Table23453561213[[#This Row],[AMOUNT2]]-Table23453561213[[#This Row],[AMOUNT3]]</f>
        <v>0</v>
      </c>
    </row>
    <row r="467" spans="1:10" x14ac:dyDescent="0.35">
      <c r="A467" s="29"/>
      <c r="B467" s="7"/>
      <c r="C467" s="8"/>
      <c r="D467" s="7"/>
      <c r="E467" s="7"/>
      <c r="F467" s="9"/>
      <c r="G467" s="13"/>
      <c r="H467" s="9"/>
      <c r="I467" s="8"/>
      <c r="J467" s="9">
        <f>J466+Table23453561213[[#This Row],[AMOUNT]]-Table23453561213[[#This Row],[AMOUNT2]]-Table23453561213[[#This Row],[AMOUNT3]]</f>
        <v>0</v>
      </c>
    </row>
    <row r="468" spans="1:10" x14ac:dyDescent="0.35">
      <c r="A468" s="29"/>
      <c r="B468" s="7"/>
      <c r="C468" s="8"/>
      <c r="D468" s="7"/>
      <c r="E468" s="7"/>
      <c r="F468" s="9"/>
      <c r="G468" s="13"/>
      <c r="H468" s="9"/>
      <c r="I468" s="8"/>
      <c r="J468" s="9">
        <f>J467+Table23453561213[[#This Row],[AMOUNT]]-Table23453561213[[#This Row],[AMOUNT2]]-Table23453561213[[#This Row],[AMOUNT3]]</f>
        <v>0</v>
      </c>
    </row>
    <row r="469" spans="1:10" x14ac:dyDescent="0.35">
      <c r="A469" s="29"/>
      <c r="B469" s="7"/>
      <c r="C469" s="8"/>
      <c r="D469" s="7"/>
      <c r="E469" s="7"/>
      <c r="F469" s="7"/>
      <c r="G469" s="13"/>
      <c r="H469" s="9"/>
      <c r="I469" s="8"/>
      <c r="J469" s="9">
        <f>J468+Table23453561213[[#This Row],[AMOUNT]]-Table23453561213[[#This Row],[AMOUNT2]]-Table23453561213[[#This Row],[AMOUNT3]]</f>
        <v>0</v>
      </c>
    </row>
    <row r="470" spans="1:10" x14ac:dyDescent="0.35">
      <c r="A470" s="29"/>
      <c r="B470" s="7"/>
      <c r="C470" s="8"/>
      <c r="D470" s="7"/>
      <c r="E470" s="7"/>
      <c r="F470" s="9"/>
      <c r="G470" s="13"/>
      <c r="H470" s="9"/>
      <c r="I470" s="8"/>
      <c r="J470" s="9">
        <f>J469+Table23453561213[[#This Row],[AMOUNT]]-Table23453561213[[#This Row],[AMOUNT2]]-Table23453561213[[#This Row],[AMOUNT3]]</f>
        <v>0</v>
      </c>
    </row>
    <row r="471" spans="1:10" x14ac:dyDescent="0.35">
      <c r="A471" s="29"/>
      <c r="B471" s="7"/>
      <c r="C471" s="8"/>
      <c r="D471" s="7"/>
      <c r="E471" s="7"/>
      <c r="F471" s="7"/>
      <c r="G471" s="13"/>
      <c r="H471" s="9"/>
      <c r="I471" s="8"/>
      <c r="J471" s="9">
        <f>J470+Table23453561213[[#This Row],[AMOUNT]]-Table23453561213[[#This Row],[AMOUNT2]]-Table23453561213[[#This Row],[AMOUNT3]]</f>
        <v>0</v>
      </c>
    </row>
    <row r="472" spans="1:10" x14ac:dyDescent="0.35">
      <c r="A472" s="29"/>
      <c r="B472" s="7"/>
      <c r="C472" s="8"/>
      <c r="D472" s="7"/>
      <c r="E472" s="7"/>
      <c r="F472" s="9"/>
      <c r="G472" s="13"/>
      <c r="H472" s="9"/>
      <c r="I472" s="8"/>
      <c r="J472" s="9">
        <f>J471+Table23453561213[[#This Row],[AMOUNT]]-Table23453561213[[#This Row],[AMOUNT2]]-Table23453561213[[#This Row],[AMOUNT3]]</f>
        <v>0</v>
      </c>
    </row>
    <row r="473" spans="1:10" x14ac:dyDescent="0.35">
      <c r="A473" s="29"/>
      <c r="B473" s="7"/>
      <c r="C473" s="8"/>
      <c r="D473" s="7"/>
      <c r="E473" s="7"/>
      <c r="F473" s="9"/>
      <c r="G473" s="13"/>
      <c r="H473" s="9"/>
      <c r="I473" s="8"/>
      <c r="J473" s="9">
        <f>J472+Table23453561213[[#This Row],[AMOUNT]]-Table23453561213[[#This Row],[AMOUNT2]]-Table23453561213[[#This Row],[AMOUNT3]]</f>
        <v>0</v>
      </c>
    </row>
    <row r="474" spans="1:10" x14ac:dyDescent="0.35">
      <c r="A474" s="29"/>
      <c r="B474" s="36"/>
      <c r="C474" s="37"/>
      <c r="D474" s="7"/>
      <c r="E474" s="7"/>
      <c r="F474" s="9"/>
      <c r="G474" s="13"/>
      <c r="H474" s="9"/>
      <c r="I474" s="8"/>
      <c r="J474" s="9">
        <f>J473+Table23453561213[[#This Row],[AMOUNT]]-Table23453561213[[#This Row],[AMOUNT2]]-Table23453561213[[#This Row],[AMOUNT3]]</f>
        <v>0</v>
      </c>
    </row>
    <row r="475" spans="1:10" x14ac:dyDescent="0.35">
      <c r="A475" s="29"/>
      <c r="B475" s="7"/>
      <c r="C475" s="8"/>
      <c r="D475" s="7"/>
      <c r="E475" s="7"/>
      <c r="F475" s="7"/>
      <c r="G475" s="13"/>
      <c r="H475" s="9"/>
      <c r="I475" s="8"/>
      <c r="J475" s="9">
        <f>J474+Table23453561213[[#This Row],[AMOUNT]]-Table23453561213[[#This Row],[AMOUNT2]]-Table23453561213[[#This Row],[AMOUNT3]]</f>
        <v>0</v>
      </c>
    </row>
    <row r="476" spans="1:10" x14ac:dyDescent="0.35">
      <c r="A476" s="38"/>
      <c r="B476" s="7"/>
      <c r="C476" s="8"/>
      <c r="D476" s="7"/>
      <c r="E476" s="7"/>
      <c r="F476" s="34"/>
      <c r="G476" s="13"/>
      <c r="H476" s="9"/>
      <c r="I476" s="8"/>
      <c r="J476" s="9">
        <f>J475+Table23453561213[[#This Row],[AMOUNT]]-Table23453561213[[#This Row],[AMOUNT2]]-Table23453561213[[#This Row],[AMOUNT3]]</f>
        <v>0</v>
      </c>
    </row>
    <row r="477" spans="1:10" x14ac:dyDescent="0.35">
      <c r="A477" s="43"/>
      <c r="B477" s="7"/>
      <c r="C477" s="8"/>
      <c r="D477" s="7"/>
      <c r="E477" s="7"/>
      <c r="F477" s="9"/>
      <c r="G477" s="13"/>
      <c r="H477" s="9"/>
      <c r="I477" s="8"/>
      <c r="J477" s="9">
        <f>J476+Table23453561213[[#This Row],[AMOUNT]]-Table23453561213[[#This Row],[AMOUNT2]]-Table23453561213[[#This Row],[AMOUNT3]]</f>
        <v>0</v>
      </c>
    </row>
    <row r="478" spans="1:10" x14ac:dyDescent="0.35">
      <c r="A478" s="43"/>
      <c r="B478" s="44"/>
      <c r="C478" s="8"/>
      <c r="D478" s="7"/>
      <c r="E478" s="7"/>
      <c r="F478" s="7"/>
      <c r="G478" s="13"/>
      <c r="H478" s="9"/>
      <c r="I478" s="8"/>
      <c r="J478" s="9">
        <f>J477+Table23453561213[[#This Row],[AMOUNT]]-Table23453561213[[#This Row],[AMOUNT2]]-Table23453561213[[#This Row],[AMOUNT3]]</f>
        <v>0</v>
      </c>
    </row>
    <row r="479" spans="1:10" x14ac:dyDescent="0.35">
      <c r="A479" s="43"/>
      <c r="B479" s="7"/>
      <c r="C479" s="8"/>
      <c r="D479" s="7"/>
      <c r="E479" s="7"/>
      <c r="F479" s="7"/>
      <c r="G479" s="13"/>
      <c r="H479" s="9"/>
      <c r="I479" s="8"/>
      <c r="J479" s="9">
        <f>J478+Table23453561213[[#This Row],[AMOUNT]]-Table23453561213[[#This Row],[AMOUNT2]]-Table23453561213[[#This Row],[AMOUNT3]]</f>
        <v>0</v>
      </c>
    </row>
    <row r="480" spans="1:10" x14ac:dyDescent="0.35">
      <c r="A480" s="43"/>
      <c r="B480" s="44"/>
      <c r="C480" s="8"/>
      <c r="D480" s="7"/>
      <c r="E480" s="7"/>
      <c r="F480" s="7"/>
      <c r="G480" s="13"/>
      <c r="H480" s="9"/>
      <c r="I480" s="8"/>
      <c r="J480" s="9">
        <f>J479+Table23453561213[[#This Row],[AMOUNT]]-Table23453561213[[#This Row],[AMOUNT2]]-Table23453561213[[#This Row],[AMOUNT3]]</f>
        <v>0</v>
      </c>
    </row>
    <row r="481" spans="1:10" x14ac:dyDescent="0.35">
      <c r="A481" s="43"/>
      <c r="B481" s="44"/>
      <c r="C481" s="8"/>
      <c r="D481" s="7"/>
      <c r="E481" s="7"/>
      <c r="F481" s="7"/>
      <c r="G481" s="13"/>
      <c r="H481" s="9"/>
      <c r="I481" s="8"/>
      <c r="J481" s="9">
        <f>J480+Table23453561213[[#This Row],[AMOUNT]]-Table23453561213[[#This Row],[AMOUNT2]]-Table23453561213[[#This Row],[AMOUNT3]]</f>
        <v>0</v>
      </c>
    </row>
    <row r="482" spans="1:10" x14ac:dyDescent="0.35">
      <c r="A482" s="43"/>
      <c r="B482" s="44"/>
      <c r="C482" s="8"/>
      <c r="D482" s="7"/>
      <c r="E482" s="7"/>
      <c r="F482" s="7"/>
      <c r="G482" s="13"/>
      <c r="H482" s="9"/>
      <c r="I482" s="8"/>
      <c r="J482" s="9">
        <f>J481+Table23453561213[[#This Row],[AMOUNT]]-Table23453561213[[#This Row],[AMOUNT2]]-Table23453561213[[#This Row],[AMOUNT3]]</f>
        <v>0</v>
      </c>
    </row>
    <row r="483" spans="1:10" x14ac:dyDescent="0.35">
      <c r="A483" s="43"/>
      <c r="B483" s="7"/>
      <c r="C483" s="37"/>
      <c r="D483" s="7"/>
      <c r="E483" s="7"/>
      <c r="F483" s="9"/>
      <c r="G483" s="13"/>
      <c r="H483" s="9"/>
      <c r="I483" s="8"/>
      <c r="J483" s="9">
        <f>J482+Table23453561213[[#This Row],[AMOUNT]]-Table23453561213[[#This Row],[AMOUNT2]]-Table23453561213[[#This Row],[AMOUNT3]]</f>
        <v>0</v>
      </c>
    </row>
    <row r="484" spans="1:10" x14ac:dyDescent="0.35">
      <c r="A484" s="43"/>
      <c r="B484" s="7"/>
      <c r="C484" s="8"/>
      <c r="D484" s="7"/>
      <c r="E484" s="26"/>
      <c r="F484" s="9"/>
      <c r="G484" s="13"/>
      <c r="H484" s="9"/>
      <c r="I484" s="8"/>
      <c r="J484" s="9">
        <f>J483+Table23453561213[[#This Row],[AMOUNT]]-Table23453561213[[#This Row],[AMOUNT2]]-Table23453561213[[#This Row],[AMOUNT3]]</f>
        <v>0</v>
      </c>
    </row>
    <row r="485" spans="1:10" x14ac:dyDescent="0.35">
      <c r="A485" s="43"/>
      <c r="B485" s="7"/>
      <c r="C485" s="8"/>
      <c r="D485" s="7"/>
      <c r="E485" s="7"/>
      <c r="F485" s="9"/>
      <c r="G485" s="13"/>
      <c r="H485" s="9"/>
      <c r="I485" s="8"/>
      <c r="J485" s="9">
        <f>J484+Table23453561213[[#This Row],[AMOUNT]]-Table23453561213[[#This Row],[AMOUNT2]]-Table23453561213[[#This Row],[AMOUNT3]]</f>
        <v>0</v>
      </c>
    </row>
    <row r="486" spans="1:10" x14ac:dyDescent="0.35">
      <c r="A486" s="43"/>
      <c r="B486" s="7"/>
      <c r="C486" s="8"/>
      <c r="D486" s="26"/>
      <c r="E486" s="7"/>
      <c r="F486" s="9"/>
      <c r="G486" s="13"/>
      <c r="H486" s="9"/>
      <c r="I486" s="8"/>
      <c r="J486" s="9">
        <f>J485+Table23453561213[[#This Row],[AMOUNT]]-Table23453561213[[#This Row],[AMOUNT2]]-Table23453561213[[#This Row],[AMOUNT3]]</f>
        <v>0</v>
      </c>
    </row>
    <row r="487" spans="1:10" x14ac:dyDescent="0.35">
      <c r="A487" s="43"/>
      <c r="B487" s="7"/>
      <c r="C487" s="8"/>
      <c r="D487" s="7"/>
      <c r="E487" s="7"/>
      <c r="F487" s="9"/>
      <c r="G487" s="13"/>
      <c r="H487" s="9"/>
      <c r="I487" s="8"/>
      <c r="J487" s="9">
        <f>J486+Table23453561213[[#This Row],[AMOUNT]]-Table23453561213[[#This Row],[AMOUNT2]]-Table23453561213[[#This Row],[AMOUNT3]]</f>
        <v>0</v>
      </c>
    </row>
    <row r="488" spans="1:10" x14ac:dyDescent="0.35">
      <c r="A488" s="44"/>
      <c r="B488" s="7"/>
      <c r="C488" s="8"/>
      <c r="D488" s="7"/>
      <c r="E488" s="7"/>
      <c r="F488" s="9"/>
      <c r="G488" s="13"/>
      <c r="H488" s="9"/>
      <c r="I488" s="8"/>
      <c r="J488" s="9">
        <f>J487+Table23453561213[[#This Row],[AMOUNT]]-Table23453561213[[#This Row],[AMOUNT2]]-Table23453561213[[#This Row],[AMOUNT3]]</f>
        <v>0</v>
      </c>
    </row>
    <row r="489" spans="1:10" x14ac:dyDescent="0.35">
      <c r="A489" s="44"/>
      <c r="B489" s="7"/>
      <c r="C489" s="8"/>
      <c r="D489" s="7"/>
      <c r="E489" s="7"/>
      <c r="F489" s="9"/>
      <c r="G489" s="13"/>
      <c r="H489" s="9"/>
      <c r="I489" s="8"/>
      <c r="J489" s="9">
        <f>J488+Table23453561213[[#This Row],[AMOUNT]]-Table23453561213[[#This Row],[AMOUNT2]]-Table23453561213[[#This Row],[AMOUNT3]]</f>
        <v>0</v>
      </c>
    </row>
    <row r="490" spans="1:10" x14ac:dyDescent="0.35">
      <c r="A490" s="44"/>
      <c r="B490" s="7"/>
      <c r="C490" s="8"/>
      <c r="D490" s="7"/>
      <c r="E490" s="26"/>
      <c r="F490" s="9"/>
      <c r="G490" s="13"/>
      <c r="H490" s="9"/>
      <c r="I490" s="8"/>
      <c r="J490" s="9">
        <f>J489+Table23453561213[[#This Row],[AMOUNT]]-Table23453561213[[#This Row],[AMOUNT2]]-Table23453561213[[#This Row],[AMOUNT3]]</f>
        <v>0</v>
      </c>
    </row>
    <row r="491" spans="1:10" x14ac:dyDescent="0.35">
      <c r="A491" s="44"/>
      <c r="B491" s="7"/>
      <c r="C491" s="8"/>
      <c r="D491" s="7"/>
      <c r="E491" s="7"/>
      <c r="F491" s="9"/>
      <c r="G491" s="13"/>
      <c r="H491" s="9"/>
      <c r="I491" s="8"/>
      <c r="J491" s="9">
        <f>J490+Table23453561213[[#This Row],[AMOUNT]]-Table23453561213[[#This Row],[AMOUNT2]]-Table23453561213[[#This Row],[AMOUNT3]]</f>
        <v>0</v>
      </c>
    </row>
    <row r="492" spans="1:10" x14ac:dyDescent="0.35">
      <c r="A492" s="44"/>
      <c r="B492" s="7"/>
      <c r="C492" s="8"/>
      <c r="D492" s="7"/>
      <c r="E492" s="7"/>
      <c r="F492" s="9"/>
      <c r="G492" s="13"/>
      <c r="H492" s="9"/>
      <c r="I492" s="8"/>
      <c r="J492" s="9">
        <f>J491+Table23453561213[[#This Row],[AMOUNT]]-Table23453561213[[#This Row],[AMOUNT2]]-Table23453561213[[#This Row],[AMOUNT3]]</f>
        <v>0</v>
      </c>
    </row>
    <row r="493" spans="1:10" x14ac:dyDescent="0.35">
      <c r="A493" s="44"/>
      <c r="B493" s="7"/>
      <c r="C493" s="8"/>
      <c r="D493" s="7"/>
      <c r="E493" s="26"/>
      <c r="F493" s="9"/>
      <c r="G493" s="13"/>
      <c r="H493" s="9"/>
      <c r="I493" s="8"/>
      <c r="J493" s="9">
        <f>J492+Table23453561213[[#This Row],[AMOUNT]]-Table23453561213[[#This Row],[AMOUNT2]]-Table23453561213[[#This Row],[AMOUNT3]]</f>
        <v>0</v>
      </c>
    </row>
    <row r="494" spans="1:10" x14ac:dyDescent="0.35">
      <c r="A494" s="44"/>
      <c r="B494" s="7"/>
      <c r="C494" s="8"/>
      <c r="D494" s="7"/>
      <c r="E494" s="26"/>
      <c r="F494" s="9"/>
      <c r="G494" s="13"/>
      <c r="H494" s="9"/>
      <c r="I494" s="8"/>
      <c r="J494" s="9">
        <f>J493+Table23453561213[[#This Row],[AMOUNT]]-Table23453561213[[#This Row],[AMOUNT2]]-Table23453561213[[#This Row],[AMOUNT3]]</f>
        <v>0</v>
      </c>
    </row>
    <row r="495" spans="1:10" x14ac:dyDescent="0.35">
      <c r="A495" s="44"/>
      <c r="B495" s="7"/>
      <c r="C495" s="8"/>
      <c r="D495" s="7"/>
      <c r="E495" s="7"/>
      <c r="F495" s="9"/>
      <c r="G495" s="13"/>
      <c r="H495" s="9"/>
      <c r="I495" s="8"/>
      <c r="J495" s="9">
        <f>J494+Table23453561213[[#This Row],[AMOUNT]]-Table23453561213[[#This Row],[AMOUNT2]]-Table23453561213[[#This Row],[AMOUNT3]]</f>
        <v>0</v>
      </c>
    </row>
    <row r="496" spans="1:10" x14ac:dyDescent="0.35">
      <c r="A496" s="44"/>
      <c r="B496" s="7"/>
      <c r="C496" s="8"/>
      <c r="D496" s="7"/>
      <c r="E496" s="26"/>
      <c r="F496" s="9"/>
      <c r="G496" s="13"/>
      <c r="H496" s="9"/>
      <c r="I496" s="8"/>
      <c r="J496" s="9">
        <f>J495+Table23453561213[[#This Row],[AMOUNT]]-Table23453561213[[#This Row],[AMOUNT2]]-Table23453561213[[#This Row],[AMOUNT3]]</f>
        <v>0</v>
      </c>
    </row>
    <row r="497" spans="1:10" x14ac:dyDescent="0.35">
      <c r="A497" s="44"/>
      <c r="B497" s="7"/>
      <c r="C497" s="8"/>
      <c r="D497" s="7"/>
      <c r="E497" s="7"/>
      <c r="F497" s="9"/>
      <c r="G497" s="13"/>
      <c r="H497" s="9"/>
      <c r="I497" s="8"/>
      <c r="J497" s="9">
        <f>J496+Table23453561213[[#This Row],[AMOUNT]]-Table23453561213[[#This Row],[AMOUNT2]]-Table23453561213[[#This Row],[AMOUNT3]]</f>
        <v>0</v>
      </c>
    </row>
    <row r="498" spans="1:10" x14ac:dyDescent="0.35">
      <c r="A498" s="44"/>
      <c r="B498" s="7"/>
      <c r="C498" s="8"/>
      <c r="D498" s="7"/>
      <c r="E498" s="7"/>
      <c r="F498" s="9"/>
      <c r="G498" s="13"/>
      <c r="H498" s="9"/>
      <c r="I498" s="8"/>
      <c r="J498" s="9">
        <f>J497+Table23453561213[[#This Row],[AMOUNT]]-Table23453561213[[#This Row],[AMOUNT2]]-Table23453561213[[#This Row],[AMOUNT3]]</f>
        <v>0</v>
      </c>
    </row>
    <row r="499" spans="1:10" x14ac:dyDescent="0.35">
      <c r="A499" s="44"/>
      <c r="B499" s="7"/>
      <c r="C499" s="8"/>
      <c r="D499" s="7"/>
      <c r="E499" s="26"/>
      <c r="F499" s="9"/>
      <c r="G499" s="13"/>
      <c r="H499" s="9"/>
      <c r="I499" s="8"/>
      <c r="J499" s="9">
        <f>J498+Table23453561213[[#This Row],[AMOUNT]]-Table23453561213[[#This Row],[AMOUNT2]]-Table23453561213[[#This Row],[AMOUNT3]]</f>
        <v>0</v>
      </c>
    </row>
    <row r="500" spans="1:10" x14ac:dyDescent="0.35">
      <c r="A500" s="44"/>
      <c r="B500" s="7"/>
      <c r="C500" s="8"/>
      <c r="D500" s="7"/>
      <c r="E500" s="7"/>
      <c r="F500" s="9"/>
      <c r="G500" s="13"/>
      <c r="H500" s="9"/>
      <c r="I500" s="8"/>
      <c r="J500" s="9">
        <f>J499+Table23453561213[[#This Row],[AMOUNT]]-Table23453561213[[#This Row],[AMOUNT2]]-Table23453561213[[#This Row],[AMOUNT3]]</f>
        <v>0</v>
      </c>
    </row>
    <row r="501" spans="1:10" x14ac:dyDescent="0.35">
      <c r="A501" s="44"/>
      <c r="B501" s="7"/>
      <c r="C501" s="8"/>
      <c r="D501" s="7"/>
      <c r="E501" s="7"/>
      <c r="F501" s="9"/>
      <c r="G501" s="13"/>
      <c r="H501" s="9"/>
      <c r="I501" s="8"/>
      <c r="J501" s="9">
        <f>J500+Table23453561213[[#This Row],[AMOUNT]]-Table23453561213[[#This Row],[AMOUNT2]]-Table23453561213[[#This Row],[AMOUNT3]]</f>
        <v>0</v>
      </c>
    </row>
    <row r="502" spans="1:10" x14ac:dyDescent="0.35">
      <c r="A502" s="44"/>
      <c r="B502" s="7"/>
      <c r="C502" s="8"/>
      <c r="D502" s="7"/>
      <c r="E502" s="7"/>
      <c r="F502" s="9"/>
      <c r="G502" s="13"/>
      <c r="H502" s="9"/>
      <c r="I502" s="8"/>
      <c r="J502" s="9">
        <f>J501+Table23453561213[[#This Row],[AMOUNT]]-Table23453561213[[#This Row],[AMOUNT2]]-Table23453561213[[#This Row],[AMOUNT3]]</f>
        <v>0</v>
      </c>
    </row>
    <row r="503" spans="1:10" x14ac:dyDescent="0.35">
      <c r="A503" s="44"/>
      <c r="B503" s="7"/>
      <c r="C503" s="8"/>
      <c r="D503" s="7"/>
      <c r="E503" s="7"/>
      <c r="F503" s="9"/>
      <c r="G503" s="13"/>
      <c r="H503" s="9"/>
      <c r="I503" s="8"/>
      <c r="J503" s="9">
        <f>J502+Table23453561213[[#This Row],[AMOUNT]]-Table23453561213[[#This Row],[AMOUNT2]]-Table23453561213[[#This Row],[AMOUNT3]]</f>
        <v>0</v>
      </c>
    </row>
    <row r="504" spans="1:10" x14ac:dyDescent="0.35">
      <c r="A504" s="44"/>
      <c r="B504" s="7"/>
      <c r="C504" s="8"/>
      <c r="D504" s="7"/>
      <c r="E504" s="7"/>
      <c r="F504" s="9"/>
      <c r="G504" s="13"/>
      <c r="H504" s="9"/>
      <c r="I504" s="8"/>
      <c r="J504" s="9">
        <f>J503+Table23453561213[[#This Row],[AMOUNT]]-Table23453561213[[#This Row],[AMOUNT2]]-Table23453561213[[#This Row],[AMOUNT3]]</f>
        <v>0</v>
      </c>
    </row>
    <row r="505" spans="1:10" x14ac:dyDescent="0.35">
      <c r="A505" s="44"/>
      <c r="B505" s="7"/>
      <c r="C505" s="8"/>
      <c r="D505" s="7"/>
      <c r="E505" s="7"/>
      <c r="F505" s="9"/>
      <c r="G505" s="13"/>
      <c r="H505" s="9"/>
      <c r="I505" s="8"/>
      <c r="J505" s="9">
        <f>J504+Table23453561213[[#This Row],[AMOUNT]]-Table23453561213[[#This Row],[AMOUNT2]]-Table23453561213[[#This Row],[AMOUNT3]]</f>
        <v>0</v>
      </c>
    </row>
    <row r="506" spans="1:10" x14ac:dyDescent="0.35">
      <c r="A506" s="44"/>
      <c r="B506" s="7"/>
      <c r="C506" s="8"/>
      <c r="D506" s="7"/>
      <c r="E506" s="26"/>
      <c r="F506" s="9"/>
      <c r="G506" s="13"/>
      <c r="H506" s="9"/>
      <c r="I506" s="8"/>
      <c r="J506" s="9">
        <f>J505+Table23453561213[[#This Row],[AMOUNT]]-Table23453561213[[#This Row],[AMOUNT2]]-Table23453561213[[#This Row],[AMOUNT3]]</f>
        <v>0</v>
      </c>
    </row>
    <row r="507" spans="1:10" x14ac:dyDescent="0.35">
      <c r="A507" s="44"/>
      <c r="B507" s="7"/>
      <c r="C507" s="8"/>
      <c r="D507" s="26"/>
      <c r="E507" s="7"/>
      <c r="F507" s="9"/>
      <c r="G507" s="13"/>
      <c r="H507" s="9"/>
      <c r="I507" s="8"/>
      <c r="J507" s="9">
        <f>J506+Table23453561213[[#This Row],[AMOUNT]]-Table23453561213[[#This Row],[AMOUNT2]]-Table23453561213[[#This Row],[AMOUNT3]]</f>
        <v>0</v>
      </c>
    </row>
    <row r="508" spans="1:10" x14ac:dyDescent="0.35">
      <c r="A508" s="44"/>
      <c r="B508" s="7"/>
      <c r="C508" s="8"/>
      <c r="D508" s="26"/>
      <c r="E508" s="26"/>
      <c r="F508" s="9"/>
      <c r="G508" s="13"/>
      <c r="H508" s="9"/>
      <c r="I508" s="8"/>
      <c r="J508" s="9">
        <f>J507+Table23453561213[[#This Row],[AMOUNT]]-Table23453561213[[#This Row],[AMOUNT2]]-Table23453561213[[#This Row],[AMOUNT3]]</f>
        <v>0</v>
      </c>
    </row>
    <row r="509" spans="1:10" x14ac:dyDescent="0.35">
      <c r="A509" s="29"/>
      <c r="B509" s="7"/>
      <c r="C509" s="8"/>
      <c r="D509" s="26"/>
      <c r="E509" s="7"/>
      <c r="F509" s="9"/>
      <c r="G509" s="13"/>
      <c r="H509" s="9"/>
      <c r="I509" s="8"/>
      <c r="J509" s="9">
        <f>J508+Table23453561213[[#This Row],[AMOUNT]]-Table23453561213[[#This Row],[AMOUNT2]]-Table23453561213[[#This Row],[AMOUNT3]]</f>
        <v>0</v>
      </c>
    </row>
    <row r="510" spans="1:10" x14ac:dyDescent="0.35">
      <c r="A510" s="29"/>
      <c r="B510" s="7"/>
      <c r="C510" s="8"/>
      <c r="D510" s="26"/>
      <c r="E510" s="26"/>
      <c r="F510" s="9"/>
      <c r="G510" s="13"/>
      <c r="H510" s="9"/>
      <c r="I510" s="8"/>
      <c r="J510" s="9">
        <f>J509+Table23453561213[[#This Row],[AMOUNT]]-Table23453561213[[#This Row],[AMOUNT2]]-Table23453561213[[#This Row],[AMOUNT3]]</f>
        <v>0</v>
      </c>
    </row>
    <row r="511" spans="1:10" x14ac:dyDescent="0.35">
      <c r="A511" s="29"/>
      <c r="B511" s="7"/>
      <c r="C511" s="8"/>
      <c r="D511" s="7"/>
      <c r="E511" s="7"/>
      <c r="F511" s="9"/>
      <c r="G511" s="13"/>
      <c r="H511" s="9"/>
      <c r="I511" s="8"/>
      <c r="J511" s="9">
        <f>J510+Table23453561213[[#This Row],[AMOUNT]]-Table23453561213[[#This Row],[AMOUNT2]]-Table23453561213[[#This Row],[AMOUNT3]]</f>
        <v>0</v>
      </c>
    </row>
    <row r="512" spans="1:10" x14ac:dyDescent="0.35">
      <c r="A512" s="29"/>
      <c r="B512" s="7"/>
      <c r="C512" s="8"/>
      <c r="D512" s="7"/>
      <c r="E512" s="26"/>
      <c r="F512" s="9"/>
      <c r="G512" s="13"/>
      <c r="H512" s="9"/>
      <c r="I512" s="8"/>
      <c r="J512" s="9">
        <f>J511+Table23453561213[[#This Row],[AMOUNT]]-Table23453561213[[#This Row],[AMOUNT2]]-Table23453561213[[#This Row],[AMOUNT3]]</f>
        <v>0</v>
      </c>
    </row>
    <row r="513" spans="1:10" x14ac:dyDescent="0.35">
      <c r="A513" s="29"/>
      <c r="B513" s="7"/>
      <c r="C513" s="8"/>
      <c r="D513" s="7"/>
      <c r="E513" s="7"/>
      <c r="F513" s="9"/>
      <c r="G513" s="13"/>
      <c r="H513" s="9"/>
      <c r="I513" s="8"/>
      <c r="J513" s="9">
        <f>J512+Table23453561213[[#This Row],[AMOUNT]]-Table23453561213[[#This Row],[AMOUNT2]]-Table23453561213[[#This Row],[AMOUNT3]]</f>
        <v>0</v>
      </c>
    </row>
    <row r="514" spans="1:10" x14ac:dyDescent="0.35">
      <c r="A514" s="29"/>
      <c r="B514" s="7"/>
      <c r="C514" s="8"/>
      <c r="D514" s="7"/>
      <c r="E514" s="7"/>
      <c r="F514" s="9"/>
      <c r="G514" s="13"/>
      <c r="H514" s="9"/>
      <c r="I514" s="8"/>
      <c r="J514" s="9">
        <f>J513+Table23453561213[[#This Row],[AMOUNT]]-Table23453561213[[#This Row],[AMOUNT2]]-Table23453561213[[#This Row],[AMOUNT3]]</f>
        <v>0</v>
      </c>
    </row>
    <row r="515" spans="1:10" x14ac:dyDescent="0.35">
      <c r="A515" s="29"/>
      <c r="B515" s="7"/>
      <c r="C515" s="8"/>
      <c r="D515" s="10"/>
      <c r="E515" s="7"/>
      <c r="F515" s="9"/>
      <c r="G515" s="13"/>
      <c r="H515" s="9"/>
      <c r="I515" s="8"/>
      <c r="J515" s="9">
        <f>J514+Table23453561213[[#This Row],[AMOUNT]]-Table23453561213[[#This Row],[AMOUNT2]]-Table23453561213[[#This Row],[AMOUNT3]]</f>
        <v>0</v>
      </c>
    </row>
    <row r="516" spans="1:10" x14ac:dyDescent="0.35">
      <c r="A516" s="29"/>
      <c r="B516" s="7"/>
      <c r="C516" s="8"/>
      <c r="D516" s="7"/>
      <c r="E516" s="7"/>
      <c r="F516" s="9"/>
      <c r="G516" s="13"/>
      <c r="H516" s="9"/>
      <c r="I516" s="8"/>
      <c r="J516" s="9">
        <f>J515+Table23453561213[[#This Row],[AMOUNT]]-Table23453561213[[#This Row],[AMOUNT2]]-Table23453561213[[#This Row],[AMOUNT3]]</f>
        <v>0</v>
      </c>
    </row>
    <row r="517" spans="1:10" x14ac:dyDescent="0.35">
      <c r="A517" s="29"/>
      <c r="B517" s="7"/>
      <c r="C517" s="8"/>
      <c r="D517" s="7"/>
      <c r="E517" s="12"/>
      <c r="F517" s="12"/>
      <c r="G517" s="11"/>
      <c r="H517" s="9"/>
      <c r="I517" s="8"/>
      <c r="J517" s="9">
        <f>J516+Table23453561213[[#This Row],[AMOUNT]]-Table23453561213[[#This Row],[AMOUNT2]]-Table23453561213[[#This Row],[AMOUNT3]]</f>
        <v>0</v>
      </c>
    </row>
    <row r="518" spans="1:10" x14ac:dyDescent="0.35">
      <c r="A518" s="29"/>
      <c r="B518" s="7"/>
      <c r="C518" s="8"/>
      <c r="D518" s="26"/>
      <c r="E518" s="7"/>
      <c r="F518" s="9"/>
      <c r="G518" s="13"/>
      <c r="H518" s="9"/>
      <c r="I518" s="8"/>
      <c r="J518" s="9">
        <f>J517+Table23453561213[[#This Row],[AMOUNT]]-Table23453561213[[#This Row],[AMOUNT2]]-Table23453561213[[#This Row],[AMOUNT3]]</f>
        <v>0</v>
      </c>
    </row>
    <row r="519" spans="1:10" x14ac:dyDescent="0.35">
      <c r="A519" s="29"/>
      <c r="B519" s="7"/>
      <c r="C519" s="8"/>
      <c r="D519" s="26"/>
      <c r="E519" s="7"/>
      <c r="F519" s="9"/>
      <c r="G519" s="13"/>
      <c r="H519" s="9"/>
      <c r="I519" s="8"/>
      <c r="J519" s="9">
        <f>J518+Table23453561213[[#This Row],[AMOUNT]]-Table23453561213[[#This Row],[AMOUNT2]]-Table23453561213[[#This Row],[AMOUNT3]]</f>
        <v>0</v>
      </c>
    </row>
    <row r="520" spans="1:10" x14ac:dyDescent="0.35">
      <c r="A520" s="29"/>
      <c r="B520" s="7"/>
      <c r="C520" s="8"/>
      <c r="D520" s="7"/>
      <c r="E520" s="7"/>
      <c r="F520" s="9"/>
      <c r="G520" s="13"/>
      <c r="H520" s="9"/>
      <c r="I520" s="8"/>
      <c r="J520" s="9">
        <f>J519+Table23453561213[[#This Row],[AMOUNT]]-Table23453561213[[#This Row],[AMOUNT2]]-Table23453561213[[#This Row],[AMOUNT3]]</f>
        <v>0</v>
      </c>
    </row>
    <row r="521" spans="1:10" x14ac:dyDescent="0.35">
      <c r="A521" s="29"/>
      <c r="B521" s="7"/>
      <c r="C521" s="8"/>
      <c r="D521" s="26"/>
      <c r="E521" s="7"/>
      <c r="F521" s="9"/>
      <c r="G521" s="13"/>
      <c r="H521" s="9"/>
      <c r="I521" s="8"/>
      <c r="J521" s="9">
        <f>J520+Table23453561213[[#This Row],[AMOUNT]]-Table23453561213[[#This Row],[AMOUNT2]]-Table23453561213[[#This Row],[AMOUNT3]]</f>
        <v>0</v>
      </c>
    </row>
    <row r="522" spans="1:10" x14ac:dyDescent="0.35">
      <c r="A522" s="29"/>
      <c r="B522" s="7"/>
      <c r="C522" s="8"/>
      <c r="D522" s="7"/>
      <c r="E522" s="26"/>
      <c r="F522" s="9"/>
      <c r="G522" s="13"/>
      <c r="H522" s="9"/>
      <c r="I522" s="8"/>
      <c r="J522" s="9">
        <f>J521+Table23453561213[[#This Row],[AMOUNT]]-Table23453561213[[#This Row],[AMOUNT2]]-Table23453561213[[#This Row],[AMOUNT3]]</f>
        <v>0</v>
      </c>
    </row>
    <row r="523" spans="1:10" x14ac:dyDescent="0.35">
      <c r="A523" s="29"/>
      <c r="B523" s="7"/>
      <c r="C523" s="8"/>
      <c r="D523" s="7"/>
      <c r="E523" s="7"/>
      <c r="F523" s="9"/>
      <c r="G523" s="13"/>
      <c r="H523" s="9"/>
      <c r="I523" s="8"/>
      <c r="J523" s="9">
        <f>J522+Table23453561213[[#This Row],[AMOUNT]]-Table23453561213[[#This Row],[AMOUNT2]]-Table23453561213[[#This Row],[AMOUNT3]]</f>
        <v>0</v>
      </c>
    </row>
    <row r="524" spans="1:10" x14ac:dyDescent="0.35">
      <c r="A524" s="29"/>
      <c r="B524" s="7"/>
      <c r="C524" s="8"/>
      <c r="D524" s="7"/>
      <c r="E524" s="26"/>
      <c r="F524" s="9"/>
      <c r="G524" s="13"/>
      <c r="H524" s="9"/>
      <c r="I524" s="8"/>
      <c r="J524" s="9">
        <f>J523+Table23453561213[[#This Row],[AMOUNT]]-Table23453561213[[#This Row],[AMOUNT2]]-Table23453561213[[#This Row],[AMOUNT3]]</f>
        <v>0</v>
      </c>
    </row>
    <row r="525" spans="1:10" x14ac:dyDescent="0.35">
      <c r="A525" s="29"/>
      <c r="B525" s="7"/>
      <c r="C525" s="8"/>
      <c r="D525" s="7"/>
      <c r="E525" s="7"/>
      <c r="F525" s="7"/>
      <c r="G525" s="13"/>
      <c r="H525" s="9"/>
      <c r="I525" s="8"/>
      <c r="J525" s="9">
        <f>J524+Table23453561213[[#This Row],[AMOUNT]]-Table23453561213[[#This Row],[AMOUNT2]]-Table23453561213[[#This Row],[AMOUNT3]]</f>
        <v>0</v>
      </c>
    </row>
    <row r="526" spans="1:10" x14ac:dyDescent="0.35">
      <c r="A526" s="29"/>
      <c r="B526" s="7"/>
      <c r="C526" s="8"/>
      <c r="D526" s="26"/>
      <c r="E526" s="7"/>
      <c r="F526" s="9"/>
      <c r="G526" s="13"/>
      <c r="H526" s="9"/>
      <c r="I526" s="8"/>
      <c r="J526" s="9">
        <f>J525+Table23453561213[[#This Row],[AMOUNT]]-Table23453561213[[#This Row],[AMOUNT2]]-Table23453561213[[#This Row],[AMOUNT3]]</f>
        <v>0</v>
      </c>
    </row>
    <row r="527" spans="1:10" x14ac:dyDescent="0.35">
      <c r="A527" s="29"/>
      <c r="B527" s="7"/>
      <c r="C527" s="8"/>
      <c r="D527" s="7"/>
      <c r="E527" s="7"/>
      <c r="F527" s="9"/>
      <c r="G527" s="13"/>
      <c r="H527" s="9"/>
      <c r="I527" s="8"/>
      <c r="J527" s="9">
        <f>J526+Table23453561213[[#This Row],[AMOUNT]]-Table23453561213[[#This Row],[AMOUNT2]]-Table23453561213[[#This Row],[AMOUNT3]]</f>
        <v>0</v>
      </c>
    </row>
    <row r="528" spans="1:10" x14ac:dyDescent="0.35">
      <c r="A528" s="29"/>
      <c r="B528" s="7"/>
      <c r="C528" s="8"/>
      <c r="D528" s="7"/>
      <c r="E528" s="7"/>
      <c r="F528" s="9"/>
      <c r="G528" s="13"/>
      <c r="H528" s="9"/>
      <c r="I528" s="8"/>
      <c r="J528" s="9">
        <f>J527+Table23453561213[[#This Row],[AMOUNT]]-Table23453561213[[#This Row],[AMOUNT2]]-Table23453561213[[#This Row],[AMOUNT3]]</f>
        <v>0</v>
      </c>
    </row>
    <row r="529" spans="1:10" x14ac:dyDescent="0.35">
      <c r="A529" s="29"/>
      <c r="B529" s="7"/>
      <c r="C529" s="8"/>
      <c r="D529" s="26"/>
      <c r="E529" s="7"/>
      <c r="F529" s="9"/>
      <c r="G529" s="13"/>
      <c r="H529" s="9"/>
      <c r="I529" s="8"/>
      <c r="J529" s="9">
        <f>J528+Table23453561213[[#This Row],[AMOUNT]]-Table23453561213[[#This Row],[AMOUNT2]]-Table23453561213[[#This Row],[AMOUNT3]]</f>
        <v>0</v>
      </c>
    </row>
    <row r="530" spans="1:10" x14ac:dyDescent="0.35">
      <c r="A530" s="29"/>
      <c r="B530" s="7"/>
      <c r="C530" s="8"/>
      <c r="D530" s="7"/>
      <c r="E530" s="7"/>
      <c r="F530" s="9"/>
      <c r="G530" s="13"/>
      <c r="H530" s="9"/>
      <c r="I530" s="8"/>
      <c r="J530" s="9">
        <f>J529+Table23453561213[[#This Row],[AMOUNT]]-Table23453561213[[#This Row],[AMOUNT2]]-Table23453561213[[#This Row],[AMOUNT3]]</f>
        <v>0</v>
      </c>
    </row>
    <row r="531" spans="1:10" x14ac:dyDescent="0.35">
      <c r="A531" s="29"/>
      <c r="B531" s="7"/>
      <c r="C531" s="8"/>
      <c r="D531" s="7"/>
      <c r="E531" s="7"/>
      <c r="F531" s="9"/>
      <c r="G531" s="13"/>
      <c r="H531" s="9"/>
      <c r="I531" s="8"/>
      <c r="J531" s="9">
        <f>J530+Table23453561213[[#This Row],[AMOUNT]]-Table23453561213[[#This Row],[AMOUNT2]]-Table23453561213[[#This Row],[AMOUNT3]]</f>
        <v>0</v>
      </c>
    </row>
    <row r="532" spans="1:10" x14ac:dyDescent="0.35">
      <c r="A532" s="29"/>
      <c r="B532" s="7"/>
      <c r="C532" s="8"/>
      <c r="D532" s="7"/>
      <c r="E532" s="7"/>
      <c r="F532" s="7"/>
      <c r="G532" s="13"/>
      <c r="H532" s="9"/>
      <c r="I532" s="8"/>
      <c r="J532" s="9">
        <f>J531+Table23453561213[[#This Row],[AMOUNT]]-Table23453561213[[#This Row],[AMOUNT2]]-Table23453561213[[#This Row],[AMOUNT3]]</f>
        <v>0</v>
      </c>
    </row>
    <row r="533" spans="1:10" x14ac:dyDescent="0.35">
      <c r="A533" s="29"/>
      <c r="B533" s="7"/>
      <c r="C533" s="8"/>
      <c r="D533" s="7"/>
      <c r="E533" s="7"/>
      <c r="F533" s="9"/>
      <c r="G533" s="13"/>
      <c r="H533" s="9"/>
      <c r="I533" s="8"/>
      <c r="J533" s="9">
        <f>J532+Table23453561213[[#This Row],[AMOUNT]]-Table23453561213[[#This Row],[AMOUNT2]]-Table23453561213[[#This Row],[AMOUNT3]]</f>
        <v>0</v>
      </c>
    </row>
    <row r="534" spans="1:10" x14ac:dyDescent="0.35">
      <c r="A534" s="29"/>
      <c r="B534" s="7"/>
      <c r="C534" s="8"/>
      <c r="D534" s="7"/>
      <c r="E534" s="26"/>
      <c r="F534" s="9"/>
      <c r="G534" s="13"/>
      <c r="H534" s="9"/>
      <c r="I534" s="8"/>
      <c r="J534" s="9">
        <f>J533+Table23453561213[[#This Row],[AMOUNT]]-Table23453561213[[#This Row],[AMOUNT2]]-Table23453561213[[#This Row],[AMOUNT3]]</f>
        <v>0</v>
      </c>
    </row>
    <row r="535" spans="1:10" x14ac:dyDescent="0.35">
      <c r="A535" s="29"/>
      <c r="B535" s="7"/>
      <c r="C535" s="8"/>
      <c r="D535" s="7"/>
      <c r="E535" s="7"/>
      <c r="F535" s="9"/>
      <c r="G535" s="13"/>
      <c r="H535" s="9"/>
      <c r="I535" s="8"/>
      <c r="J535" s="9">
        <f>J534+Table23453561213[[#This Row],[AMOUNT]]-Table23453561213[[#This Row],[AMOUNT2]]-Table23453561213[[#This Row],[AMOUNT3]]</f>
        <v>0</v>
      </c>
    </row>
    <row r="536" spans="1:10" x14ac:dyDescent="0.35">
      <c r="A536" s="29"/>
      <c r="B536" s="7"/>
      <c r="C536" s="8"/>
      <c r="D536" s="7"/>
      <c r="E536" s="7"/>
      <c r="F536" s="7"/>
      <c r="G536" s="13"/>
      <c r="H536" s="9"/>
      <c r="I536" s="8"/>
      <c r="J536" s="9">
        <f>J535+Table23453561213[[#This Row],[AMOUNT]]-Table23453561213[[#This Row],[AMOUNT2]]-Table23453561213[[#This Row],[AMOUNT3]]</f>
        <v>0</v>
      </c>
    </row>
    <row r="537" spans="1:10" x14ac:dyDescent="0.35">
      <c r="A537" s="29"/>
      <c r="B537" s="7"/>
      <c r="C537" s="8"/>
      <c r="D537" s="7"/>
      <c r="E537" s="7"/>
      <c r="F537" s="7"/>
      <c r="G537" s="13"/>
      <c r="H537" s="9"/>
      <c r="I537" s="8"/>
      <c r="J537" s="9">
        <f>J536+Table23453561213[[#This Row],[AMOUNT]]-Table23453561213[[#This Row],[AMOUNT2]]-Table23453561213[[#This Row],[AMOUNT3]]</f>
        <v>0</v>
      </c>
    </row>
    <row r="538" spans="1:10" x14ac:dyDescent="0.35">
      <c r="A538" s="29"/>
      <c r="B538" s="7"/>
      <c r="C538" s="8"/>
      <c r="D538" s="26"/>
      <c r="E538" s="26"/>
      <c r="F538" s="9"/>
      <c r="G538" s="13"/>
      <c r="H538" s="9"/>
      <c r="I538" s="8"/>
      <c r="J538" s="9">
        <f>J537+Table23453561213[[#This Row],[AMOUNT]]-Table23453561213[[#This Row],[AMOUNT2]]-Table23453561213[[#This Row],[AMOUNT3]]</f>
        <v>0</v>
      </c>
    </row>
    <row r="539" spans="1:10" x14ac:dyDescent="0.35">
      <c r="A539" s="29"/>
      <c r="B539" s="7"/>
      <c r="C539" s="8"/>
      <c r="D539" s="36"/>
      <c r="E539" s="36"/>
      <c r="F539" s="39"/>
      <c r="G539" s="40"/>
      <c r="H539" s="9"/>
      <c r="I539" s="8"/>
      <c r="J539" s="9">
        <f>J538+Table23453561213[[#This Row],[AMOUNT]]-Table23453561213[[#This Row],[AMOUNT2]]-Table23453561213[[#This Row],[AMOUNT3]]</f>
        <v>0</v>
      </c>
    </row>
    <row r="540" spans="1:10" x14ac:dyDescent="0.35">
      <c r="A540" s="29"/>
      <c r="B540" s="7"/>
      <c r="C540" s="8"/>
      <c r="D540" s="36"/>
      <c r="E540" s="7"/>
      <c r="F540" s="39"/>
      <c r="G540" s="40"/>
      <c r="H540" s="9"/>
      <c r="I540" s="8"/>
      <c r="J540" s="9">
        <f>J539+Table23453561213[[#This Row],[AMOUNT]]-Table23453561213[[#This Row],[AMOUNT2]]-Table23453561213[[#This Row],[AMOUNT3]]</f>
        <v>0</v>
      </c>
    </row>
    <row r="541" spans="1:10" x14ac:dyDescent="0.35">
      <c r="A541" s="29"/>
      <c r="B541" s="7"/>
      <c r="C541" s="8"/>
      <c r="D541" s="7"/>
      <c r="E541" s="7"/>
      <c r="F541" s="9"/>
      <c r="G541" s="13"/>
      <c r="H541" s="9"/>
      <c r="I541" s="8"/>
      <c r="J541" s="9">
        <f>J540+Table23453561213[[#This Row],[AMOUNT]]-Table23453561213[[#This Row],[AMOUNT2]]-Table23453561213[[#This Row],[AMOUNT3]]</f>
        <v>0</v>
      </c>
    </row>
    <row r="542" spans="1:10" x14ac:dyDescent="0.35">
      <c r="A542" s="29"/>
      <c r="B542" s="7"/>
      <c r="C542" s="8"/>
      <c r="D542" s="7"/>
      <c r="E542" s="7"/>
      <c r="F542" s="9"/>
      <c r="G542" s="13"/>
      <c r="H542" s="9"/>
      <c r="I542" s="8"/>
      <c r="J542" s="9">
        <f>J541+Table23453561213[[#This Row],[AMOUNT]]-Table23453561213[[#This Row],[AMOUNT2]]-Table23453561213[[#This Row],[AMOUNT3]]</f>
        <v>0</v>
      </c>
    </row>
    <row r="543" spans="1:10" x14ac:dyDescent="0.35">
      <c r="A543" s="29"/>
      <c r="B543" s="7"/>
      <c r="C543" s="8"/>
      <c r="D543" s="7"/>
      <c r="E543" s="7"/>
      <c r="F543" s="7"/>
      <c r="G543" s="13"/>
      <c r="H543" s="9"/>
      <c r="I543" s="8"/>
      <c r="J543" s="9">
        <f>J542+Table23453561213[[#This Row],[AMOUNT]]-Table23453561213[[#This Row],[AMOUNT2]]-Table23453561213[[#This Row],[AMOUNT3]]</f>
        <v>0</v>
      </c>
    </row>
    <row r="544" spans="1:10" x14ac:dyDescent="0.35">
      <c r="A544" s="29"/>
      <c r="B544" s="7"/>
      <c r="C544" s="8"/>
      <c r="D544" s="7"/>
      <c r="E544" s="7"/>
      <c r="F544" s="9"/>
      <c r="G544" s="13"/>
      <c r="H544" s="9"/>
      <c r="I544" s="8"/>
      <c r="J544" s="9">
        <f>J543+Table23453561213[[#This Row],[AMOUNT]]-Table23453561213[[#This Row],[AMOUNT2]]-Table23453561213[[#This Row],[AMOUNT3]]</f>
        <v>0</v>
      </c>
    </row>
    <row r="545" spans="1:10" x14ac:dyDescent="0.35">
      <c r="A545" s="29"/>
      <c r="B545" s="7"/>
      <c r="C545" s="8"/>
      <c r="D545" s="26"/>
      <c r="E545" s="12"/>
      <c r="F545" s="12"/>
      <c r="G545" s="13"/>
      <c r="H545" s="9"/>
      <c r="I545" s="8"/>
      <c r="J545" s="9">
        <f>J544+Table23453561213[[#This Row],[AMOUNT]]-Table23453561213[[#This Row],[AMOUNT2]]-Table23453561213[[#This Row],[AMOUNT3]]</f>
        <v>0</v>
      </c>
    </row>
    <row r="546" spans="1:10" x14ac:dyDescent="0.35">
      <c r="A546" s="29"/>
      <c r="B546" s="7"/>
      <c r="C546" s="8"/>
      <c r="D546" s="7"/>
      <c r="E546" s="7"/>
      <c r="F546" s="9"/>
      <c r="G546" s="13"/>
      <c r="H546" s="9"/>
      <c r="I546" s="8"/>
      <c r="J546" s="9">
        <f>J545+Table23453561213[[#This Row],[AMOUNT]]-Table23453561213[[#This Row],[AMOUNT2]]-Table23453561213[[#This Row],[AMOUNT3]]</f>
        <v>0</v>
      </c>
    </row>
    <row r="547" spans="1:10" x14ac:dyDescent="0.35">
      <c r="A547" s="29"/>
      <c r="B547" s="7"/>
      <c r="C547" s="8"/>
      <c r="D547" s="7"/>
      <c r="E547" s="26"/>
      <c r="F547" s="9"/>
      <c r="G547" s="13"/>
      <c r="H547" s="9"/>
      <c r="I547" s="8"/>
      <c r="J547" s="9">
        <f>J546+Table23453561213[[#This Row],[AMOUNT]]-Table23453561213[[#This Row],[AMOUNT2]]-Table23453561213[[#This Row],[AMOUNT3]]</f>
        <v>0</v>
      </c>
    </row>
    <row r="548" spans="1:10" x14ac:dyDescent="0.35">
      <c r="A548" s="29"/>
      <c r="B548" s="7"/>
      <c r="C548" s="8"/>
      <c r="D548" s="7"/>
      <c r="E548" s="7"/>
      <c r="F548" s="9"/>
      <c r="G548" s="13"/>
      <c r="H548" s="9"/>
      <c r="I548" s="8"/>
      <c r="J548" s="9">
        <f>J547+Table23453561213[[#This Row],[AMOUNT]]-Table23453561213[[#This Row],[AMOUNT2]]-Table23453561213[[#This Row],[AMOUNT3]]</f>
        <v>0</v>
      </c>
    </row>
    <row r="549" spans="1:10" x14ac:dyDescent="0.35">
      <c r="A549" s="29"/>
      <c r="B549" s="7"/>
      <c r="C549" s="8"/>
      <c r="D549" s="26"/>
      <c r="E549" s="12"/>
      <c r="F549" s="12"/>
      <c r="G549" s="13"/>
      <c r="H549" s="9"/>
      <c r="I549" s="8"/>
      <c r="J549" s="9">
        <f>J548+Table23453561213[[#This Row],[AMOUNT]]-Table23453561213[[#This Row],[AMOUNT2]]-Table23453561213[[#This Row],[AMOUNT3]]</f>
        <v>0</v>
      </c>
    </row>
    <row r="550" spans="1:10" x14ac:dyDescent="0.35">
      <c r="A550" s="29"/>
      <c r="B550" s="7"/>
      <c r="C550" s="8"/>
      <c r="D550" s="7"/>
      <c r="E550" s="7"/>
      <c r="F550" s="9"/>
      <c r="G550" s="13"/>
      <c r="H550" s="9"/>
      <c r="I550" s="8"/>
      <c r="J550" s="9">
        <f>J549+Table23453561213[[#This Row],[AMOUNT]]-Table23453561213[[#This Row],[AMOUNT2]]-Table23453561213[[#This Row],[AMOUNT3]]</f>
        <v>0</v>
      </c>
    </row>
    <row r="551" spans="1:10" x14ac:dyDescent="0.35">
      <c r="A551" s="29"/>
      <c r="B551" s="7"/>
      <c r="C551" s="8"/>
      <c r="D551" s="7"/>
      <c r="E551" s="7"/>
      <c r="F551" s="9"/>
      <c r="G551" s="13"/>
      <c r="H551" s="9"/>
      <c r="I551" s="8"/>
      <c r="J551" s="9">
        <f>J550+Table23453561213[[#This Row],[AMOUNT]]-Table23453561213[[#This Row],[AMOUNT2]]-Table23453561213[[#This Row],[AMOUNT3]]</f>
        <v>0</v>
      </c>
    </row>
    <row r="552" spans="1:10" x14ac:dyDescent="0.35">
      <c r="A552" s="29"/>
      <c r="B552" s="7"/>
      <c r="C552" s="8"/>
      <c r="D552" s="7"/>
      <c r="E552" s="26"/>
      <c r="F552" s="9"/>
      <c r="G552" s="13"/>
      <c r="H552" s="9"/>
      <c r="I552" s="8"/>
      <c r="J552" s="9">
        <f>J551+Table23453561213[[#This Row],[AMOUNT]]-Table23453561213[[#This Row],[AMOUNT2]]-Table23453561213[[#This Row],[AMOUNT3]]</f>
        <v>0</v>
      </c>
    </row>
    <row r="553" spans="1:10" x14ac:dyDescent="0.35">
      <c r="A553" s="29"/>
      <c r="B553" s="7"/>
      <c r="C553" s="8"/>
      <c r="D553" s="7"/>
      <c r="E553" s="7"/>
      <c r="F553" s="9"/>
      <c r="G553" s="13"/>
      <c r="H553" s="9"/>
      <c r="I553" s="8"/>
      <c r="J553" s="9">
        <f>J552+Table23453561213[[#This Row],[AMOUNT]]-Table23453561213[[#This Row],[AMOUNT2]]-Table23453561213[[#This Row],[AMOUNT3]]</f>
        <v>0</v>
      </c>
    </row>
    <row r="554" spans="1:10" x14ac:dyDescent="0.35">
      <c r="A554" s="29"/>
      <c r="B554" s="7"/>
      <c r="C554" s="8"/>
      <c r="D554" s="7"/>
      <c r="E554" s="7"/>
      <c r="F554" s="9"/>
      <c r="G554" s="13"/>
      <c r="H554" s="9"/>
      <c r="I554" s="8"/>
      <c r="J554" s="9">
        <f>J553+Table23453561213[[#This Row],[AMOUNT]]-Table23453561213[[#This Row],[AMOUNT2]]-Table23453561213[[#This Row],[AMOUNT3]]</f>
        <v>0</v>
      </c>
    </row>
    <row r="555" spans="1:10" x14ac:dyDescent="0.35">
      <c r="A555" s="29"/>
      <c r="B555" s="7"/>
      <c r="C555" s="8"/>
      <c r="D555" s="7"/>
      <c r="E555" s="7"/>
      <c r="F555" s="9"/>
      <c r="G555" s="13"/>
      <c r="H555" s="9"/>
      <c r="I555" s="8"/>
      <c r="J555" s="9">
        <f>J554+Table23453561213[[#This Row],[AMOUNT]]-Table23453561213[[#This Row],[AMOUNT2]]-Table23453561213[[#This Row],[AMOUNT3]]</f>
        <v>0</v>
      </c>
    </row>
    <row r="556" spans="1:10" x14ac:dyDescent="0.35">
      <c r="A556" s="29"/>
      <c r="B556" s="7"/>
      <c r="C556" s="8"/>
      <c r="D556" s="7"/>
      <c r="E556" s="7"/>
      <c r="F556" s="7"/>
      <c r="G556" s="13"/>
      <c r="H556" s="9"/>
      <c r="I556" s="8"/>
      <c r="J556" s="9">
        <f>J555+Table23453561213[[#This Row],[AMOUNT]]-Table23453561213[[#This Row],[AMOUNT2]]-Table23453561213[[#This Row],[AMOUNT3]]</f>
        <v>0</v>
      </c>
    </row>
    <row r="557" spans="1:10" x14ac:dyDescent="0.35">
      <c r="A557" s="29"/>
      <c r="B557" s="7"/>
      <c r="C557" s="8"/>
      <c r="D557" s="7"/>
      <c r="E557" s="7"/>
      <c r="F557" s="9"/>
      <c r="G557" s="13"/>
      <c r="H557" s="9"/>
      <c r="I557" s="8"/>
      <c r="J557" s="9">
        <f>J556+Table23453561213[[#This Row],[AMOUNT]]-Table23453561213[[#This Row],[AMOUNT2]]-Table23453561213[[#This Row],[AMOUNT3]]</f>
        <v>0</v>
      </c>
    </row>
    <row r="558" spans="1:10" x14ac:dyDescent="0.35">
      <c r="A558" s="29"/>
      <c r="B558" s="7"/>
      <c r="C558" s="8"/>
      <c r="D558" s="7"/>
      <c r="E558" s="12"/>
      <c r="F558" s="12"/>
      <c r="G558" s="13"/>
      <c r="H558" s="9"/>
      <c r="I558" s="8"/>
      <c r="J558" s="9">
        <f>J557+Table23453561213[[#This Row],[AMOUNT]]-Table23453561213[[#This Row],[AMOUNT2]]-Table23453561213[[#This Row],[AMOUNT3]]</f>
        <v>0</v>
      </c>
    </row>
    <row r="559" spans="1:10" x14ac:dyDescent="0.35">
      <c r="A559" s="29"/>
      <c r="B559" s="7"/>
      <c r="C559" s="8"/>
      <c r="D559" s="7"/>
      <c r="E559" s="12"/>
      <c r="F559" s="12"/>
      <c r="G559" s="13"/>
      <c r="H559" s="9"/>
      <c r="I559" s="8"/>
      <c r="J559" s="9">
        <f>J558+Table23453561213[[#This Row],[AMOUNT]]-Table23453561213[[#This Row],[AMOUNT2]]-Table23453561213[[#This Row],[AMOUNT3]]</f>
        <v>0</v>
      </c>
    </row>
    <row r="560" spans="1:10" x14ac:dyDescent="0.35">
      <c r="A560" s="29"/>
      <c r="B560" s="7"/>
      <c r="C560" s="8"/>
      <c r="D560" s="7"/>
      <c r="E560" s="7"/>
      <c r="F560" s="9"/>
      <c r="G560" s="13"/>
      <c r="H560" s="9"/>
      <c r="I560" s="8"/>
      <c r="J560" s="9">
        <f>J559+Table23453561213[[#This Row],[AMOUNT]]-Table23453561213[[#This Row],[AMOUNT2]]-Table23453561213[[#This Row],[AMOUNT3]]</f>
        <v>0</v>
      </c>
    </row>
    <row r="561" spans="1:10" x14ac:dyDescent="0.35">
      <c r="A561" s="29"/>
      <c r="B561" s="7"/>
      <c r="C561" s="8"/>
      <c r="D561" s="7"/>
      <c r="E561" s="7"/>
      <c r="F561" s="7"/>
      <c r="G561" s="13"/>
      <c r="H561" s="9"/>
      <c r="I561" s="8"/>
      <c r="J561" s="9">
        <f>J560+Table23453561213[[#This Row],[AMOUNT]]-Table23453561213[[#This Row],[AMOUNT2]]-Table23453561213[[#This Row],[AMOUNT3]]</f>
        <v>0</v>
      </c>
    </row>
    <row r="562" spans="1:10" x14ac:dyDescent="0.35">
      <c r="A562" s="29"/>
      <c r="B562" s="7"/>
      <c r="C562" s="8"/>
      <c r="D562" s="7"/>
      <c r="E562" s="7"/>
      <c r="F562" s="9"/>
      <c r="G562" s="13"/>
      <c r="H562" s="9"/>
      <c r="I562" s="8"/>
      <c r="J562" s="9">
        <f>J561+Table23453561213[[#This Row],[AMOUNT]]-Table23453561213[[#This Row],[AMOUNT2]]-Table23453561213[[#This Row],[AMOUNT3]]</f>
        <v>0</v>
      </c>
    </row>
    <row r="563" spans="1:10" x14ac:dyDescent="0.35">
      <c r="A563" s="29"/>
      <c r="B563" s="7"/>
      <c r="C563" s="8"/>
      <c r="D563" s="7"/>
      <c r="E563" s="7"/>
      <c r="F563" s="9"/>
      <c r="G563" s="13"/>
      <c r="H563" s="9"/>
      <c r="I563" s="8"/>
      <c r="J563" s="9">
        <f>J562+Table23453561213[[#This Row],[AMOUNT]]-Table23453561213[[#This Row],[AMOUNT2]]-Table23453561213[[#This Row],[AMOUNT3]]</f>
        <v>0</v>
      </c>
    </row>
    <row r="564" spans="1:10" x14ac:dyDescent="0.35">
      <c r="A564" s="29"/>
      <c r="B564" s="7"/>
      <c r="C564" s="8"/>
      <c r="D564" s="26"/>
      <c r="E564" s="7"/>
      <c r="F564" s="9"/>
      <c r="G564" s="13"/>
      <c r="H564" s="9"/>
      <c r="I564" s="8"/>
      <c r="J564" s="9">
        <f>J563+Table23453561213[[#This Row],[AMOUNT]]-Table23453561213[[#This Row],[AMOUNT2]]-Table23453561213[[#This Row],[AMOUNT3]]</f>
        <v>0</v>
      </c>
    </row>
    <row r="565" spans="1:10" x14ac:dyDescent="0.35">
      <c r="A565" s="29"/>
      <c r="B565" s="7"/>
      <c r="C565" s="8"/>
      <c r="D565" s="26"/>
      <c r="E565" s="7"/>
      <c r="F565" s="9"/>
      <c r="G565" s="13"/>
      <c r="H565" s="9"/>
      <c r="I565" s="8"/>
      <c r="J565" s="9">
        <f>J564+Table23453561213[[#This Row],[AMOUNT]]-Table23453561213[[#This Row],[AMOUNT2]]-Table23453561213[[#This Row],[AMOUNT3]]</f>
        <v>0</v>
      </c>
    </row>
    <row r="566" spans="1:10" x14ac:dyDescent="0.35">
      <c r="A566" s="29"/>
      <c r="B566" s="7"/>
      <c r="C566" s="8"/>
      <c r="D566" s="7"/>
      <c r="E566" s="7"/>
      <c r="F566" s="9"/>
      <c r="G566" s="13"/>
      <c r="H566" s="9"/>
      <c r="I566" s="8"/>
      <c r="J566" s="9">
        <f>J565+Table23453561213[[#This Row],[AMOUNT]]-Table23453561213[[#This Row],[AMOUNT2]]-Table23453561213[[#This Row],[AMOUNT3]]</f>
        <v>0</v>
      </c>
    </row>
    <row r="567" spans="1:10" x14ac:dyDescent="0.35">
      <c r="A567" s="29"/>
      <c r="B567" s="7"/>
      <c r="C567" s="8"/>
      <c r="D567" s="7"/>
      <c r="E567" s="7"/>
      <c r="F567" s="9"/>
      <c r="G567" s="13"/>
      <c r="H567" s="9"/>
      <c r="I567" s="8"/>
      <c r="J567" s="9">
        <f>J566+Table23453561213[[#This Row],[AMOUNT]]-Table23453561213[[#This Row],[AMOUNT2]]-Table23453561213[[#This Row],[AMOUNT3]]</f>
        <v>0</v>
      </c>
    </row>
    <row r="568" spans="1:10" x14ac:dyDescent="0.35">
      <c r="A568" s="29"/>
      <c r="B568" s="7"/>
      <c r="C568" s="8"/>
      <c r="D568" s="7"/>
      <c r="E568" s="7"/>
      <c r="F568" s="9"/>
      <c r="G568" s="13"/>
      <c r="H568" s="9"/>
      <c r="I568" s="8"/>
      <c r="J568" s="9">
        <f>J567+Table23453561213[[#This Row],[AMOUNT]]-Table23453561213[[#This Row],[AMOUNT2]]-Table23453561213[[#This Row],[AMOUNT3]]</f>
        <v>0</v>
      </c>
    </row>
    <row r="569" spans="1:10" x14ac:dyDescent="0.35">
      <c r="A569" s="29"/>
      <c r="B569" s="7"/>
      <c r="C569" s="8"/>
      <c r="D569" s="7"/>
      <c r="E569" s="7"/>
      <c r="F569" s="9"/>
      <c r="G569" s="13"/>
      <c r="H569" s="9"/>
      <c r="I569" s="8"/>
      <c r="J569" s="9">
        <f>J568+Table23453561213[[#This Row],[AMOUNT]]-Table23453561213[[#This Row],[AMOUNT2]]-Table23453561213[[#This Row],[AMOUNT3]]</f>
        <v>0</v>
      </c>
    </row>
    <row r="570" spans="1:10" x14ac:dyDescent="0.35">
      <c r="A570" s="29"/>
      <c r="B570" s="7"/>
      <c r="C570" s="8"/>
      <c r="D570" s="7"/>
      <c r="E570" s="12"/>
      <c r="F570" s="12"/>
      <c r="G570" s="13"/>
      <c r="H570" s="9"/>
      <c r="I570" s="8"/>
      <c r="J570" s="9">
        <f>J569+Table23453561213[[#This Row],[AMOUNT]]-Table23453561213[[#This Row],[AMOUNT2]]-Table23453561213[[#This Row],[AMOUNT3]]</f>
        <v>0</v>
      </c>
    </row>
    <row r="571" spans="1:10" x14ac:dyDescent="0.35">
      <c r="A571" s="29"/>
      <c r="B571" s="7"/>
      <c r="C571" s="8"/>
      <c r="D571" s="7"/>
      <c r="E571" s="7"/>
      <c r="F571" s="7"/>
      <c r="G571" s="13"/>
      <c r="H571" s="9"/>
      <c r="I571" s="8"/>
      <c r="J571" s="9">
        <f>J570+Table23453561213[[#This Row],[AMOUNT]]-Table23453561213[[#This Row],[AMOUNT2]]-Table23453561213[[#This Row],[AMOUNT3]]</f>
        <v>0</v>
      </c>
    </row>
    <row r="572" spans="1:10" x14ac:dyDescent="0.35">
      <c r="A572" s="29"/>
      <c r="B572" s="7"/>
      <c r="C572" s="8"/>
      <c r="D572" s="26"/>
      <c r="E572" s="26"/>
      <c r="F572" s="9"/>
      <c r="G572" s="13"/>
      <c r="H572" s="9"/>
      <c r="I572" s="8"/>
      <c r="J572" s="9">
        <f>J571+Table23453561213[[#This Row],[AMOUNT]]-Table23453561213[[#This Row],[AMOUNT2]]-Table23453561213[[#This Row],[AMOUNT3]]</f>
        <v>0</v>
      </c>
    </row>
    <row r="573" spans="1:10" x14ac:dyDescent="0.35">
      <c r="A573" s="29"/>
      <c r="B573" s="7"/>
      <c r="C573" s="8"/>
      <c r="D573" s="7"/>
      <c r="E573" s="7"/>
      <c r="F573" s="9"/>
      <c r="G573" s="13"/>
      <c r="H573" s="9"/>
      <c r="I573" s="8"/>
      <c r="J573" s="9">
        <f>J572+Table23453561213[[#This Row],[AMOUNT]]-Table23453561213[[#This Row],[AMOUNT2]]-Table23453561213[[#This Row],[AMOUNT3]]</f>
        <v>0</v>
      </c>
    </row>
    <row r="574" spans="1:10" x14ac:dyDescent="0.35">
      <c r="A574" s="29"/>
      <c r="B574" s="7"/>
      <c r="C574" s="8"/>
      <c r="D574" s="7"/>
      <c r="E574" s="7"/>
      <c r="F574" s="7"/>
      <c r="G574" s="13"/>
      <c r="H574" s="9"/>
      <c r="I574" s="8"/>
      <c r="J574" s="9">
        <f>J573+Table23453561213[[#This Row],[AMOUNT]]-Table23453561213[[#This Row],[AMOUNT2]]-Table23453561213[[#This Row],[AMOUNT3]]</f>
        <v>0</v>
      </c>
    </row>
    <row r="575" spans="1:10" x14ac:dyDescent="0.35">
      <c r="A575" s="29"/>
      <c r="B575" s="7"/>
      <c r="C575" s="8"/>
      <c r="D575" s="7"/>
      <c r="E575" s="7"/>
      <c r="F575" s="9"/>
      <c r="G575" s="13"/>
      <c r="H575" s="9"/>
      <c r="I575" s="8"/>
      <c r="J575" s="9">
        <f>J574+Table23453561213[[#This Row],[AMOUNT]]-Table23453561213[[#This Row],[AMOUNT2]]-Table23453561213[[#This Row],[AMOUNT3]]</f>
        <v>0</v>
      </c>
    </row>
    <row r="576" spans="1:10" x14ac:dyDescent="0.35">
      <c r="A576" s="29"/>
      <c r="B576" s="7"/>
      <c r="C576" s="8"/>
      <c r="D576" s="7"/>
      <c r="E576" s="7"/>
      <c r="F576" s="9"/>
      <c r="G576" s="13"/>
      <c r="H576" s="9"/>
      <c r="I576" s="8"/>
      <c r="J576" s="9">
        <f>J575+Table23453561213[[#This Row],[AMOUNT]]-Table23453561213[[#This Row],[AMOUNT2]]-Table23453561213[[#This Row],[AMOUNT3]]</f>
        <v>0</v>
      </c>
    </row>
    <row r="577" spans="1:10" x14ac:dyDescent="0.35">
      <c r="A577" s="29"/>
      <c r="B577" s="7"/>
      <c r="C577" s="8"/>
      <c r="D577" s="7"/>
      <c r="E577" s="7"/>
      <c r="F577" s="9"/>
      <c r="G577" s="13"/>
      <c r="H577" s="9"/>
      <c r="I577" s="8"/>
      <c r="J577" s="9">
        <f>J576+Table23453561213[[#This Row],[AMOUNT]]-Table23453561213[[#This Row],[AMOUNT2]]-Table23453561213[[#This Row],[AMOUNT3]]</f>
        <v>0</v>
      </c>
    </row>
    <row r="578" spans="1:10" x14ac:dyDescent="0.35">
      <c r="A578" s="29"/>
      <c r="B578" s="7"/>
      <c r="C578" s="8"/>
      <c r="D578" s="7"/>
      <c r="E578" s="7"/>
      <c r="F578" s="9"/>
      <c r="G578" s="13"/>
      <c r="H578" s="9"/>
      <c r="I578" s="8"/>
      <c r="J578" s="9">
        <f>J577+Table23453561213[[#This Row],[AMOUNT]]-Table23453561213[[#This Row],[AMOUNT2]]-Table23453561213[[#This Row],[AMOUNT3]]</f>
        <v>0</v>
      </c>
    </row>
    <row r="579" spans="1:10" x14ac:dyDescent="0.35">
      <c r="A579" s="29"/>
      <c r="B579" s="7"/>
      <c r="C579" s="8"/>
      <c r="D579" s="7"/>
      <c r="E579" s="7"/>
      <c r="F579" s="9"/>
      <c r="G579" s="13"/>
      <c r="H579" s="9"/>
      <c r="I579" s="8"/>
      <c r="J579" s="9">
        <f>J578+Table23453561213[[#This Row],[AMOUNT]]-Table23453561213[[#This Row],[AMOUNT2]]-Table23453561213[[#This Row],[AMOUNT3]]</f>
        <v>0</v>
      </c>
    </row>
    <row r="580" spans="1:10" x14ac:dyDescent="0.35">
      <c r="A580" s="29"/>
      <c r="B580" s="7"/>
      <c r="C580" s="8"/>
      <c r="D580" s="7"/>
      <c r="E580" s="7"/>
      <c r="F580" s="9"/>
      <c r="G580" s="13"/>
      <c r="H580" s="9"/>
      <c r="I580" s="8"/>
      <c r="J580" s="9">
        <f>J579+Table23453561213[[#This Row],[AMOUNT]]-Table23453561213[[#This Row],[AMOUNT2]]-Table23453561213[[#This Row],[AMOUNT3]]</f>
        <v>0</v>
      </c>
    </row>
    <row r="581" spans="1:10" x14ac:dyDescent="0.35">
      <c r="A581" s="29"/>
      <c r="B581" s="7"/>
      <c r="C581" s="8"/>
      <c r="D581" s="7"/>
      <c r="E581" s="7"/>
      <c r="F581" s="9"/>
      <c r="G581" s="13"/>
      <c r="H581" s="9"/>
      <c r="I581" s="8"/>
      <c r="J581" s="9">
        <f>J580+Table23453561213[[#This Row],[AMOUNT]]-Table23453561213[[#This Row],[AMOUNT2]]-Table23453561213[[#This Row],[AMOUNT3]]</f>
        <v>0</v>
      </c>
    </row>
    <row r="582" spans="1:10" x14ac:dyDescent="0.35">
      <c r="A582" s="29"/>
      <c r="B582" s="7"/>
      <c r="C582" s="8"/>
      <c r="D582" s="7"/>
      <c r="E582" s="7"/>
      <c r="F582" s="9"/>
      <c r="G582" s="13"/>
      <c r="H582" s="9"/>
      <c r="I582" s="8"/>
      <c r="J582" s="9">
        <f>J581+Table23453561213[[#This Row],[AMOUNT]]-Table23453561213[[#This Row],[AMOUNT2]]-Table23453561213[[#This Row],[AMOUNT3]]</f>
        <v>0</v>
      </c>
    </row>
    <row r="583" spans="1:10" x14ac:dyDescent="0.35">
      <c r="A583" s="29"/>
      <c r="B583" s="7"/>
      <c r="C583" s="8"/>
      <c r="D583" s="7"/>
      <c r="E583" s="7"/>
      <c r="F583" s="9"/>
      <c r="G583" s="13"/>
      <c r="H583" s="9"/>
      <c r="I583" s="8"/>
      <c r="J583" s="9">
        <f>J582+Table23453561213[[#This Row],[AMOUNT]]-Table23453561213[[#This Row],[AMOUNT2]]-Table23453561213[[#This Row],[AMOUNT3]]</f>
        <v>0</v>
      </c>
    </row>
    <row r="584" spans="1:10" x14ac:dyDescent="0.35">
      <c r="A584" s="29"/>
      <c r="B584" s="7"/>
      <c r="C584" s="8"/>
      <c r="D584" s="7"/>
      <c r="E584" s="7"/>
      <c r="F584" s="9"/>
      <c r="G584" s="13"/>
      <c r="H584" s="9"/>
      <c r="I584" s="8"/>
      <c r="J584" s="9">
        <f>J583+Table23453561213[[#This Row],[AMOUNT]]-Table23453561213[[#This Row],[AMOUNT2]]-Table23453561213[[#This Row],[AMOUNT3]]</f>
        <v>0</v>
      </c>
    </row>
    <row r="585" spans="1:10" x14ac:dyDescent="0.35">
      <c r="A585" s="29"/>
      <c r="B585" s="7"/>
      <c r="C585" s="8"/>
      <c r="D585" s="7"/>
      <c r="E585" s="7"/>
      <c r="F585" s="9"/>
      <c r="G585" s="13"/>
      <c r="H585" s="9"/>
      <c r="I585" s="8"/>
      <c r="J585" s="9">
        <f>J584+Table23453561213[[#This Row],[AMOUNT]]-Table23453561213[[#This Row],[AMOUNT2]]-Table23453561213[[#This Row],[AMOUNT3]]</f>
        <v>0</v>
      </c>
    </row>
    <row r="586" spans="1:10" x14ac:dyDescent="0.35">
      <c r="A586" s="29"/>
      <c r="B586" s="7"/>
      <c r="C586" s="8"/>
      <c r="D586" s="7"/>
      <c r="E586" s="7"/>
      <c r="F586" s="9"/>
      <c r="G586" s="13"/>
      <c r="H586" s="9"/>
      <c r="I586" s="8"/>
      <c r="J586" s="9">
        <f>J585+Table23453561213[[#This Row],[AMOUNT]]-Table23453561213[[#This Row],[AMOUNT2]]-Table23453561213[[#This Row],[AMOUNT3]]</f>
        <v>0</v>
      </c>
    </row>
    <row r="587" spans="1:10" x14ac:dyDescent="0.35">
      <c r="A587" s="29"/>
      <c r="B587" s="7"/>
      <c r="C587" s="8"/>
      <c r="D587" s="7"/>
      <c r="E587" s="7"/>
      <c r="F587" s="9"/>
      <c r="G587" s="13"/>
      <c r="H587" s="9"/>
      <c r="I587" s="8"/>
      <c r="J587" s="9">
        <f>J586+Table23453561213[[#This Row],[AMOUNT]]-Table23453561213[[#This Row],[AMOUNT2]]-Table23453561213[[#This Row],[AMOUNT3]]</f>
        <v>0</v>
      </c>
    </row>
    <row r="588" spans="1:10" x14ac:dyDescent="0.35">
      <c r="A588" s="29"/>
      <c r="B588" s="7"/>
      <c r="C588" s="8"/>
      <c r="D588" s="7"/>
      <c r="E588" s="7"/>
      <c r="F588" s="9"/>
      <c r="G588" s="13"/>
      <c r="H588" s="9"/>
      <c r="I588" s="8"/>
      <c r="J588" s="9">
        <f>J587+Table23453561213[[#This Row],[AMOUNT]]-Table23453561213[[#This Row],[AMOUNT2]]-Table23453561213[[#This Row],[AMOUNT3]]</f>
        <v>0</v>
      </c>
    </row>
    <row r="589" spans="1:10" x14ac:dyDescent="0.35">
      <c r="A589" s="29"/>
      <c r="B589" s="7"/>
      <c r="C589" s="8"/>
      <c r="D589" s="7"/>
      <c r="E589" s="7"/>
      <c r="F589" s="9"/>
      <c r="G589" s="13"/>
      <c r="H589" s="9"/>
      <c r="I589" s="8"/>
      <c r="J589" s="9">
        <f>J588+Table23453561213[[#This Row],[AMOUNT]]-Table23453561213[[#This Row],[AMOUNT2]]-Table23453561213[[#This Row],[AMOUNT3]]</f>
        <v>0</v>
      </c>
    </row>
    <row r="590" spans="1:10" x14ac:dyDescent="0.35">
      <c r="A590" s="29"/>
      <c r="B590" s="7"/>
      <c r="C590" s="8"/>
      <c r="D590" s="7"/>
      <c r="E590" s="7"/>
      <c r="F590" s="9"/>
      <c r="G590" s="13"/>
      <c r="H590" s="9"/>
      <c r="I590" s="8"/>
      <c r="J590" s="9">
        <f>J589+Table23453561213[[#This Row],[AMOUNT]]-Table23453561213[[#This Row],[AMOUNT2]]-Table23453561213[[#This Row],[AMOUNT3]]</f>
        <v>0</v>
      </c>
    </row>
    <row r="591" spans="1:10" x14ac:dyDescent="0.35">
      <c r="A591" s="29"/>
      <c r="B591" s="7"/>
      <c r="C591" s="8"/>
      <c r="D591" s="7"/>
      <c r="E591" s="7"/>
      <c r="F591" s="9"/>
      <c r="G591" s="13"/>
      <c r="H591" s="9"/>
      <c r="I591" s="8"/>
      <c r="J591" s="9">
        <f>J590+Table23453561213[[#This Row],[AMOUNT]]-Table23453561213[[#This Row],[AMOUNT2]]-Table23453561213[[#This Row],[AMOUNT3]]</f>
        <v>0</v>
      </c>
    </row>
    <row r="592" spans="1:10" x14ac:dyDescent="0.35">
      <c r="A592" s="29"/>
      <c r="B592" s="7"/>
      <c r="C592" s="8"/>
      <c r="D592" s="7"/>
      <c r="E592" s="7"/>
      <c r="F592" s="9"/>
      <c r="G592" s="13"/>
      <c r="H592" s="9"/>
      <c r="I592" s="8"/>
      <c r="J592" s="9">
        <f>J591+Table23453561213[[#This Row],[AMOUNT]]-Table23453561213[[#This Row],[AMOUNT2]]-Table23453561213[[#This Row],[AMOUNT3]]</f>
        <v>0</v>
      </c>
    </row>
    <row r="593" spans="1:10" x14ac:dyDescent="0.35">
      <c r="A593" s="29"/>
      <c r="B593" s="7"/>
      <c r="C593" s="8"/>
      <c r="D593" s="7"/>
      <c r="E593" s="7"/>
      <c r="F593" s="9"/>
      <c r="G593" s="13"/>
      <c r="H593" s="9"/>
      <c r="I593" s="8"/>
      <c r="J593" s="9">
        <f>J592+Table23453561213[[#This Row],[AMOUNT]]-Table23453561213[[#This Row],[AMOUNT2]]-Table23453561213[[#This Row],[AMOUNT3]]</f>
        <v>0</v>
      </c>
    </row>
    <row r="594" spans="1:10" x14ac:dyDescent="0.35">
      <c r="A594" s="29"/>
      <c r="B594" s="7"/>
      <c r="C594" s="8"/>
      <c r="D594" s="7"/>
      <c r="E594" s="7"/>
      <c r="F594" s="9"/>
      <c r="G594" s="13"/>
      <c r="H594" s="9"/>
      <c r="I594" s="8"/>
      <c r="J594" s="9">
        <f>J593+Table23453561213[[#This Row],[AMOUNT]]-Table23453561213[[#This Row],[AMOUNT2]]-Table23453561213[[#This Row],[AMOUNT3]]</f>
        <v>0</v>
      </c>
    </row>
    <row r="595" spans="1:10" x14ac:dyDescent="0.35">
      <c r="A595" s="29"/>
      <c r="B595" s="7"/>
      <c r="C595" s="8"/>
      <c r="D595" s="7"/>
      <c r="E595" s="7"/>
      <c r="F595" s="9"/>
      <c r="G595" s="13"/>
      <c r="H595" s="9"/>
      <c r="I595" s="8"/>
      <c r="J595" s="9">
        <f>J594+Table23453561213[[#This Row],[AMOUNT]]-Table23453561213[[#This Row],[AMOUNT2]]-Table23453561213[[#This Row],[AMOUNT3]]</f>
        <v>0</v>
      </c>
    </row>
    <row r="596" spans="1:10" x14ac:dyDescent="0.35">
      <c r="A596" s="29"/>
      <c r="B596" s="7"/>
      <c r="C596" s="8"/>
      <c r="D596" s="7"/>
      <c r="E596" s="7"/>
      <c r="F596" s="9"/>
      <c r="G596" s="13"/>
      <c r="H596" s="9"/>
      <c r="I596" s="8"/>
      <c r="J596" s="9">
        <f>J595+Table23453561213[[#This Row],[AMOUNT]]-Table23453561213[[#This Row],[AMOUNT2]]-Table23453561213[[#This Row],[AMOUNT3]]</f>
        <v>0</v>
      </c>
    </row>
    <row r="597" spans="1:10" x14ac:dyDescent="0.35">
      <c r="A597" s="29"/>
      <c r="B597" s="7"/>
      <c r="C597" s="8"/>
      <c r="D597" s="7"/>
      <c r="E597" s="7"/>
      <c r="F597" s="9"/>
      <c r="G597" s="13"/>
      <c r="H597" s="9"/>
      <c r="I597" s="8"/>
      <c r="J597" s="9">
        <f>J596+Table23453561213[[#This Row],[AMOUNT]]-Table23453561213[[#This Row],[AMOUNT2]]-Table23453561213[[#This Row],[AMOUNT3]]</f>
        <v>0</v>
      </c>
    </row>
    <row r="598" spans="1:10" x14ac:dyDescent="0.35">
      <c r="A598" s="29"/>
      <c r="B598" s="7"/>
      <c r="C598" s="8"/>
      <c r="D598" s="7"/>
      <c r="E598" s="26"/>
      <c r="F598" s="9"/>
      <c r="G598" s="13"/>
      <c r="H598" s="9"/>
      <c r="I598" s="8"/>
      <c r="J598" s="9">
        <f>J597+Table23453561213[[#This Row],[AMOUNT]]-Table23453561213[[#This Row],[AMOUNT2]]-Table23453561213[[#This Row],[AMOUNT3]]</f>
        <v>0</v>
      </c>
    </row>
    <row r="599" spans="1:10" x14ac:dyDescent="0.35">
      <c r="A599" s="29"/>
      <c r="B599" s="7"/>
      <c r="C599" s="8"/>
      <c r="D599" s="7"/>
      <c r="E599" s="7"/>
      <c r="F599" s="9"/>
      <c r="G599" s="13"/>
      <c r="H599" s="9"/>
      <c r="I599" s="8"/>
      <c r="J599" s="9">
        <f>J598+Table23453561213[[#This Row],[AMOUNT]]-Table23453561213[[#This Row],[AMOUNT2]]-Table23453561213[[#This Row],[AMOUNT3]]</f>
        <v>0</v>
      </c>
    </row>
    <row r="600" spans="1:10" x14ac:dyDescent="0.35">
      <c r="A600" s="29"/>
      <c r="B600" s="7"/>
      <c r="C600" s="8"/>
      <c r="D600" s="7"/>
      <c r="E600" s="7"/>
      <c r="F600" s="9"/>
      <c r="G600" s="13"/>
      <c r="H600" s="9"/>
      <c r="I600" s="8"/>
      <c r="J600" s="9">
        <f>J599+Table23453561213[[#This Row],[AMOUNT]]-Table23453561213[[#This Row],[AMOUNT2]]-Table23453561213[[#This Row],[AMOUNT3]]</f>
        <v>0</v>
      </c>
    </row>
    <row r="601" spans="1:10" x14ac:dyDescent="0.35">
      <c r="A601" s="29"/>
      <c r="B601" s="7"/>
      <c r="C601" s="8"/>
      <c r="D601" s="7"/>
      <c r="E601" s="26"/>
      <c r="F601" s="9"/>
      <c r="G601" s="13"/>
      <c r="H601" s="9"/>
      <c r="I601" s="8"/>
      <c r="J601" s="9">
        <f>J600+Table23453561213[[#This Row],[AMOUNT]]-Table23453561213[[#This Row],[AMOUNT2]]-Table23453561213[[#This Row],[AMOUNT3]]</f>
        <v>0</v>
      </c>
    </row>
    <row r="602" spans="1:10" x14ac:dyDescent="0.35">
      <c r="A602" s="29"/>
      <c r="B602" s="7"/>
      <c r="C602" s="8"/>
      <c r="D602" s="7"/>
      <c r="E602" s="26"/>
      <c r="F602" s="9"/>
      <c r="G602" s="13"/>
      <c r="H602" s="9"/>
      <c r="I602" s="8"/>
      <c r="J602" s="9">
        <f>J601+Table23453561213[[#This Row],[AMOUNT]]-Table23453561213[[#This Row],[AMOUNT2]]-Table23453561213[[#This Row],[AMOUNT3]]</f>
        <v>0</v>
      </c>
    </row>
    <row r="603" spans="1:10" x14ac:dyDescent="0.35">
      <c r="A603" s="29"/>
      <c r="B603" s="7"/>
      <c r="C603" s="8"/>
      <c r="D603" s="7"/>
      <c r="E603" s="7"/>
      <c r="F603" s="9"/>
      <c r="G603" s="13"/>
      <c r="H603" s="9"/>
      <c r="I603" s="8"/>
      <c r="J603" s="9">
        <f>J602+Table23453561213[[#This Row],[AMOUNT]]-Table23453561213[[#This Row],[AMOUNT2]]-Table23453561213[[#This Row],[AMOUNT3]]</f>
        <v>0</v>
      </c>
    </row>
    <row r="604" spans="1:10" x14ac:dyDescent="0.35">
      <c r="A604" s="29"/>
      <c r="B604" s="7"/>
      <c r="C604" s="8"/>
      <c r="D604" s="7"/>
      <c r="E604" s="7"/>
      <c r="F604" s="9"/>
      <c r="G604" s="13"/>
      <c r="H604" s="9"/>
      <c r="I604" s="8"/>
      <c r="J604" s="9">
        <f>J603+Table23453561213[[#This Row],[AMOUNT]]-Table23453561213[[#This Row],[AMOUNT2]]-Table23453561213[[#This Row],[AMOUNT3]]</f>
        <v>0</v>
      </c>
    </row>
    <row r="605" spans="1:10" x14ac:dyDescent="0.35">
      <c r="A605" s="29"/>
      <c r="B605" s="7"/>
      <c r="C605" s="8"/>
      <c r="D605" s="26"/>
      <c r="E605" s="7"/>
      <c r="F605" s="9"/>
      <c r="G605" s="13"/>
      <c r="H605" s="9"/>
      <c r="I605" s="8"/>
      <c r="J605" s="9">
        <f>J604+Table23453561213[[#This Row],[AMOUNT]]-Table23453561213[[#This Row],[AMOUNT2]]-Table23453561213[[#This Row],[AMOUNT3]]</f>
        <v>0</v>
      </c>
    </row>
    <row r="606" spans="1:10" x14ac:dyDescent="0.35">
      <c r="A606" s="29"/>
      <c r="B606" s="7"/>
      <c r="C606" s="8"/>
      <c r="D606" s="7"/>
      <c r="E606" s="7"/>
      <c r="F606" s="9"/>
      <c r="G606" s="13"/>
      <c r="H606" s="9"/>
      <c r="I606" s="8"/>
      <c r="J606" s="9">
        <f>J605+Table23453561213[[#This Row],[AMOUNT]]-Table23453561213[[#This Row],[AMOUNT2]]-Table23453561213[[#This Row],[AMOUNT3]]</f>
        <v>0</v>
      </c>
    </row>
    <row r="607" spans="1:10" x14ac:dyDescent="0.35">
      <c r="A607" s="29"/>
      <c r="B607" s="7"/>
      <c r="C607" s="8"/>
      <c r="D607" s="7"/>
      <c r="E607" s="7"/>
      <c r="F607" s="9"/>
      <c r="G607" s="13"/>
      <c r="H607" s="9"/>
      <c r="I607" s="8"/>
      <c r="J607" s="9">
        <f>J606+Table23453561213[[#This Row],[AMOUNT]]-Table23453561213[[#This Row],[AMOUNT2]]-Table23453561213[[#This Row],[AMOUNT3]]</f>
        <v>0</v>
      </c>
    </row>
    <row r="608" spans="1:10" x14ac:dyDescent="0.35">
      <c r="A608" s="29"/>
      <c r="B608" s="7"/>
      <c r="C608" s="8"/>
      <c r="D608" s="7"/>
      <c r="E608" s="7"/>
      <c r="F608" s="9"/>
      <c r="G608" s="13"/>
      <c r="H608" s="9"/>
      <c r="I608" s="8"/>
      <c r="J608" s="9">
        <f>J607+Table23453561213[[#This Row],[AMOUNT]]-Table23453561213[[#This Row],[AMOUNT2]]-Table23453561213[[#This Row],[AMOUNT3]]</f>
        <v>0</v>
      </c>
    </row>
    <row r="609" spans="1:10" x14ac:dyDescent="0.35">
      <c r="A609" s="29"/>
      <c r="B609" s="7"/>
      <c r="C609" s="8"/>
      <c r="D609" s="7"/>
      <c r="E609" s="7"/>
      <c r="F609" s="9"/>
      <c r="G609" s="13"/>
      <c r="H609" s="9"/>
      <c r="I609" s="8"/>
      <c r="J609" s="9">
        <f>J608+Table23453561213[[#This Row],[AMOUNT]]-Table23453561213[[#This Row],[AMOUNT2]]-Table23453561213[[#This Row],[AMOUNT3]]</f>
        <v>0</v>
      </c>
    </row>
    <row r="610" spans="1:10" x14ac:dyDescent="0.35">
      <c r="A610" s="29"/>
      <c r="B610" s="7"/>
      <c r="C610" s="8"/>
      <c r="D610" s="7"/>
      <c r="E610" s="7"/>
      <c r="F610" s="9"/>
      <c r="G610" s="13"/>
      <c r="H610" s="9"/>
      <c r="I610" s="8"/>
      <c r="J610" s="9">
        <f>J609+Table23453561213[[#This Row],[AMOUNT]]-Table23453561213[[#This Row],[AMOUNT2]]-Table23453561213[[#This Row],[AMOUNT3]]</f>
        <v>0</v>
      </c>
    </row>
    <row r="611" spans="1:10" x14ac:dyDescent="0.35">
      <c r="A611" s="29"/>
      <c r="B611" s="7"/>
      <c r="C611" s="8"/>
      <c r="D611" s="7"/>
      <c r="E611" s="7"/>
      <c r="F611" s="9"/>
      <c r="G611" s="13"/>
      <c r="H611" s="9"/>
      <c r="I611" s="8"/>
      <c r="J611" s="9">
        <f>J610+Table23453561213[[#This Row],[AMOUNT]]-Table23453561213[[#This Row],[AMOUNT2]]-Table23453561213[[#This Row],[AMOUNT3]]</f>
        <v>0</v>
      </c>
    </row>
    <row r="612" spans="1:10" x14ac:dyDescent="0.35">
      <c r="A612" s="29"/>
      <c r="B612" s="7"/>
      <c r="C612" s="8"/>
      <c r="D612" s="7"/>
      <c r="E612" s="7"/>
      <c r="F612" s="9"/>
      <c r="G612" s="13"/>
      <c r="H612" s="9"/>
      <c r="I612" s="8"/>
      <c r="J612" s="9">
        <f>J611+Table23453561213[[#This Row],[AMOUNT]]-Table23453561213[[#This Row],[AMOUNT2]]-Table23453561213[[#This Row],[AMOUNT3]]</f>
        <v>0</v>
      </c>
    </row>
    <row r="613" spans="1:10" x14ac:dyDescent="0.35">
      <c r="A613" s="29"/>
      <c r="B613" s="7"/>
      <c r="C613" s="8"/>
      <c r="D613" s="7"/>
      <c r="E613" s="7"/>
      <c r="F613" s="9"/>
      <c r="G613" s="13"/>
      <c r="H613" s="9"/>
      <c r="I613" s="8"/>
      <c r="J613" s="9">
        <f>J612+Table23453561213[[#This Row],[AMOUNT]]-Table23453561213[[#This Row],[AMOUNT2]]-Table23453561213[[#This Row],[AMOUNT3]]</f>
        <v>0</v>
      </c>
    </row>
    <row r="614" spans="1:10" x14ac:dyDescent="0.35">
      <c r="A614" s="29"/>
      <c r="B614" s="7"/>
      <c r="C614" s="8"/>
      <c r="D614" s="7"/>
      <c r="E614" s="7"/>
      <c r="F614" s="9"/>
      <c r="G614" s="13"/>
      <c r="H614" s="9"/>
      <c r="I614" s="8"/>
      <c r="J614" s="9">
        <f>J613+Table23453561213[[#This Row],[AMOUNT]]-Table23453561213[[#This Row],[AMOUNT2]]-Table23453561213[[#This Row],[AMOUNT3]]</f>
        <v>0</v>
      </c>
    </row>
    <row r="615" spans="1:10" x14ac:dyDescent="0.35">
      <c r="A615" s="29"/>
      <c r="B615" s="7"/>
      <c r="C615" s="8"/>
      <c r="D615" s="7"/>
      <c r="E615" s="7"/>
      <c r="F615" s="9"/>
      <c r="G615" s="13"/>
      <c r="H615" s="9"/>
      <c r="I615" s="8"/>
      <c r="J615" s="9">
        <f>J614+Table23453561213[[#This Row],[AMOUNT]]-Table23453561213[[#This Row],[AMOUNT2]]-Table23453561213[[#This Row],[AMOUNT3]]</f>
        <v>0</v>
      </c>
    </row>
    <row r="616" spans="1:10" x14ac:dyDescent="0.35">
      <c r="A616" s="29"/>
      <c r="B616" s="7"/>
      <c r="C616" s="8"/>
      <c r="D616" s="7"/>
      <c r="E616" s="7"/>
      <c r="F616" s="9"/>
      <c r="G616" s="13"/>
      <c r="H616" s="9"/>
      <c r="I616" s="8"/>
      <c r="J616" s="9">
        <f>J615+Table23453561213[[#This Row],[AMOUNT]]-Table23453561213[[#This Row],[AMOUNT2]]-Table23453561213[[#This Row],[AMOUNT3]]</f>
        <v>0</v>
      </c>
    </row>
    <row r="617" spans="1:10" x14ac:dyDescent="0.35">
      <c r="A617" s="29"/>
      <c r="B617" s="7"/>
      <c r="C617" s="8"/>
      <c r="D617" s="7"/>
      <c r="E617" s="7"/>
      <c r="F617" s="9"/>
      <c r="G617" s="13"/>
      <c r="H617" s="9"/>
      <c r="I617" s="8"/>
      <c r="J617" s="9">
        <f>J616+Table23453561213[[#This Row],[AMOUNT]]-Table23453561213[[#This Row],[AMOUNT2]]-Table23453561213[[#This Row],[AMOUNT3]]</f>
        <v>0</v>
      </c>
    </row>
    <row r="618" spans="1:10" x14ac:dyDescent="0.35">
      <c r="A618" s="29"/>
      <c r="B618" s="7"/>
      <c r="C618" s="8"/>
      <c r="D618" s="7"/>
      <c r="E618" s="7"/>
      <c r="F618" s="9"/>
      <c r="G618" s="13"/>
      <c r="H618" s="9"/>
      <c r="I618" s="8"/>
      <c r="J618" s="9">
        <f>J617+Table23453561213[[#This Row],[AMOUNT]]-Table23453561213[[#This Row],[AMOUNT2]]-Table23453561213[[#This Row],[AMOUNT3]]</f>
        <v>0</v>
      </c>
    </row>
    <row r="619" spans="1:10" x14ac:dyDescent="0.35">
      <c r="A619" s="29"/>
      <c r="B619" s="7"/>
      <c r="C619" s="8"/>
      <c r="D619" s="7"/>
      <c r="E619" s="7"/>
      <c r="F619" s="9"/>
      <c r="G619" s="13"/>
      <c r="H619" s="9"/>
      <c r="I619" s="8"/>
      <c r="J619" s="9">
        <f>J618+Table23453561213[[#This Row],[AMOUNT]]-Table23453561213[[#This Row],[AMOUNT2]]-Table23453561213[[#This Row],[AMOUNT3]]</f>
        <v>0</v>
      </c>
    </row>
    <row r="620" spans="1:10" x14ac:dyDescent="0.35">
      <c r="A620" s="29"/>
      <c r="B620" s="7"/>
      <c r="C620" s="8"/>
      <c r="D620" s="7"/>
      <c r="E620" s="7"/>
      <c r="F620" s="9"/>
      <c r="G620" s="13"/>
      <c r="H620" s="9"/>
      <c r="I620" s="8"/>
      <c r="J620" s="9">
        <f>J619+Table23453561213[[#This Row],[AMOUNT]]-Table23453561213[[#This Row],[AMOUNT2]]-Table23453561213[[#This Row],[AMOUNT3]]</f>
        <v>0</v>
      </c>
    </row>
    <row r="621" spans="1:10" x14ac:dyDescent="0.35">
      <c r="A621" s="29"/>
      <c r="B621" s="7"/>
      <c r="C621" s="8"/>
      <c r="D621" s="7"/>
      <c r="E621" s="7"/>
      <c r="F621" s="9"/>
      <c r="G621" s="13"/>
      <c r="H621" s="9"/>
      <c r="I621" s="8"/>
      <c r="J621" s="9">
        <f>J620+Table23453561213[[#This Row],[AMOUNT]]-Table23453561213[[#This Row],[AMOUNT2]]-Table23453561213[[#This Row],[AMOUNT3]]</f>
        <v>0</v>
      </c>
    </row>
    <row r="622" spans="1:10" x14ac:dyDescent="0.35">
      <c r="A622" s="29"/>
      <c r="B622" s="7"/>
      <c r="C622" s="8"/>
      <c r="D622" s="7"/>
      <c r="E622" s="7"/>
      <c r="F622" s="9"/>
      <c r="G622" s="13"/>
      <c r="H622" s="9"/>
      <c r="I622" s="8"/>
      <c r="J622" s="9">
        <f>J621+Table23453561213[[#This Row],[AMOUNT]]-Table23453561213[[#This Row],[AMOUNT2]]-Table23453561213[[#This Row],[AMOUNT3]]</f>
        <v>0</v>
      </c>
    </row>
    <row r="623" spans="1:10" x14ac:dyDescent="0.35">
      <c r="A623" s="29"/>
      <c r="B623" s="7"/>
      <c r="C623" s="8"/>
      <c r="D623" s="7"/>
      <c r="E623" s="7"/>
      <c r="F623" s="9"/>
      <c r="G623" s="13"/>
      <c r="H623" s="9"/>
      <c r="I623" s="8"/>
      <c r="J623" s="9">
        <f>J622+Table23453561213[[#This Row],[AMOUNT]]-Table23453561213[[#This Row],[AMOUNT2]]-Table23453561213[[#This Row],[AMOUNT3]]</f>
        <v>0</v>
      </c>
    </row>
    <row r="624" spans="1:10" x14ac:dyDescent="0.35">
      <c r="A624" s="29"/>
      <c r="B624" s="7"/>
      <c r="C624" s="8"/>
      <c r="D624" s="7"/>
      <c r="E624" s="7"/>
      <c r="F624" s="9"/>
      <c r="G624" s="13"/>
      <c r="H624" s="9"/>
      <c r="I624" s="8"/>
      <c r="J624" s="9">
        <f>J623+Table23453561213[[#This Row],[AMOUNT]]-Table23453561213[[#This Row],[AMOUNT2]]-Table23453561213[[#This Row],[AMOUNT3]]</f>
        <v>0</v>
      </c>
    </row>
    <row r="625" spans="1:10" x14ac:dyDescent="0.35">
      <c r="A625" s="29"/>
      <c r="B625" s="7"/>
      <c r="C625" s="8"/>
      <c r="D625" s="7"/>
      <c r="E625" s="7"/>
      <c r="F625" s="9"/>
      <c r="G625" s="13"/>
      <c r="H625" s="9"/>
      <c r="I625" s="8"/>
      <c r="J625" s="9">
        <f>J624+Table23453561213[[#This Row],[AMOUNT]]-Table23453561213[[#This Row],[AMOUNT2]]-Table23453561213[[#This Row],[AMOUNT3]]</f>
        <v>0</v>
      </c>
    </row>
    <row r="626" spans="1:10" x14ac:dyDescent="0.35">
      <c r="A626" s="29"/>
      <c r="B626" s="7"/>
      <c r="C626" s="8"/>
      <c r="D626" s="7"/>
      <c r="E626" s="7"/>
      <c r="F626" s="9"/>
      <c r="G626" s="13"/>
      <c r="H626" s="9"/>
      <c r="I626" s="8"/>
      <c r="J626" s="9">
        <f>J625+Table23453561213[[#This Row],[AMOUNT]]-Table23453561213[[#This Row],[AMOUNT2]]-Table23453561213[[#This Row],[AMOUNT3]]</f>
        <v>0</v>
      </c>
    </row>
    <row r="627" spans="1:10" x14ac:dyDescent="0.35">
      <c r="A627" s="29"/>
      <c r="B627" s="7"/>
      <c r="C627" s="8"/>
      <c r="D627" s="7"/>
      <c r="E627" s="7"/>
      <c r="F627" s="9"/>
      <c r="G627" s="13"/>
      <c r="H627" s="9"/>
      <c r="I627" s="8"/>
      <c r="J627" s="9">
        <f>J626+Table23453561213[[#This Row],[AMOUNT]]-Table23453561213[[#This Row],[AMOUNT2]]-Table23453561213[[#This Row],[AMOUNT3]]</f>
        <v>0</v>
      </c>
    </row>
    <row r="628" spans="1:10" x14ac:dyDescent="0.35">
      <c r="A628" s="29"/>
      <c r="B628" s="7"/>
      <c r="C628" s="8"/>
      <c r="D628" s="7"/>
      <c r="E628" s="7"/>
      <c r="F628" s="9"/>
      <c r="G628" s="13"/>
      <c r="H628" s="9"/>
      <c r="I628" s="8"/>
      <c r="J628" s="9">
        <f>J627+Table23453561213[[#This Row],[AMOUNT]]-Table23453561213[[#This Row],[AMOUNT2]]-Table23453561213[[#This Row],[AMOUNT3]]</f>
        <v>0</v>
      </c>
    </row>
    <row r="629" spans="1:10" x14ac:dyDescent="0.35">
      <c r="A629" s="29"/>
      <c r="B629" s="7"/>
      <c r="C629" s="8"/>
      <c r="D629" s="7"/>
      <c r="E629" s="7"/>
      <c r="F629" s="9"/>
      <c r="G629" s="13"/>
      <c r="H629" s="9"/>
      <c r="I629" s="8"/>
      <c r="J629" s="9">
        <f>J628+Table23453561213[[#This Row],[AMOUNT]]-Table23453561213[[#This Row],[AMOUNT2]]-Table23453561213[[#This Row],[AMOUNT3]]</f>
        <v>0</v>
      </c>
    </row>
    <row r="630" spans="1:10" x14ac:dyDescent="0.35">
      <c r="A630" s="29"/>
      <c r="B630" s="7"/>
      <c r="C630" s="8"/>
      <c r="D630" s="7"/>
      <c r="E630" s="7"/>
      <c r="F630" s="9"/>
      <c r="G630" s="13"/>
      <c r="H630" s="9"/>
      <c r="I630" s="8"/>
      <c r="J630" s="9">
        <f>J629+Table23453561213[[#This Row],[AMOUNT]]-Table23453561213[[#This Row],[AMOUNT2]]-Table23453561213[[#This Row],[AMOUNT3]]</f>
        <v>0</v>
      </c>
    </row>
    <row r="631" spans="1:10" x14ac:dyDescent="0.35">
      <c r="A631" s="29"/>
      <c r="B631" s="7"/>
      <c r="C631" s="8"/>
      <c r="D631" s="7"/>
      <c r="E631" s="7"/>
      <c r="F631" s="9"/>
      <c r="G631" s="13"/>
      <c r="H631" s="9"/>
      <c r="I631" s="8"/>
      <c r="J631" s="9">
        <f>J630+Table23453561213[[#This Row],[AMOUNT]]-Table23453561213[[#This Row],[AMOUNT2]]-Table23453561213[[#This Row],[AMOUNT3]]</f>
        <v>0</v>
      </c>
    </row>
    <row r="632" spans="1:10" x14ac:dyDescent="0.35">
      <c r="A632" s="29"/>
      <c r="B632" s="7"/>
      <c r="C632" s="8"/>
      <c r="D632" s="7"/>
      <c r="E632" s="7"/>
      <c r="F632" s="9"/>
      <c r="G632" s="13"/>
      <c r="H632" s="9"/>
      <c r="I632" s="8"/>
      <c r="J632" s="9">
        <f>J631+Table23453561213[[#This Row],[AMOUNT]]-Table23453561213[[#This Row],[AMOUNT2]]-Table23453561213[[#This Row],[AMOUNT3]]</f>
        <v>0</v>
      </c>
    </row>
    <row r="633" spans="1:10" x14ac:dyDescent="0.35">
      <c r="A633" s="29"/>
      <c r="B633" s="7"/>
      <c r="C633" s="8"/>
      <c r="D633" s="7"/>
      <c r="E633" s="7"/>
      <c r="F633" s="9"/>
      <c r="G633" s="13"/>
      <c r="H633" s="9"/>
      <c r="I633" s="8"/>
      <c r="J633" s="9">
        <f>J632+Table23453561213[[#This Row],[AMOUNT]]-Table23453561213[[#This Row],[AMOUNT2]]-Table23453561213[[#This Row],[AMOUNT3]]</f>
        <v>0</v>
      </c>
    </row>
    <row r="634" spans="1:10" x14ac:dyDescent="0.35">
      <c r="A634" s="29"/>
      <c r="B634" s="7"/>
      <c r="C634" s="8"/>
      <c r="D634" s="7"/>
      <c r="E634" s="7"/>
      <c r="F634" s="9"/>
      <c r="G634" s="13"/>
      <c r="H634" s="9"/>
      <c r="I634" s="8"/>
      <c r="J634" s="9">
        <f>J633+Table23453561213[[#This Row],[AMOUNT]]-Table23453561213[[#This Row],[AMOUNT2]]-Table23453561213[[#This Row],[AMOUNT3]]</f>
        <v>0</v>
      </c>
    </row>
    <row r="635" spans="1:10" x14ac:dyDescent="0.35">
      <c r="A635" s="29"/>
      <c r="B635" s="7"/>
      <c r="C635" s="8"/>
      <c r="D635" s="7"/>
      <c r="E635" s="7"/>
      <c r="F635" s="9"/>
      <c r="G635" s="13"/>
      <c r="H635" s="9"/>
      <c r="I635" s="8"/>
      <c r="J635" s="9">
        <f>J634+Table23453561213[[#This Row],[AMOUNT]]-Table23453561213[[#This Row],[AMOUNT2]]-Table23453561213[[#This Row],[AMOUNT3]]</f>
        <v>0</v>
      </c>
    </row>
    <row r="636" spans="1:10" x14ac:dyDescent="0.35">
      <c r="A636" s="29"/>
      <c r="B636" s="7"/>
      <c r="C636" s="8"/>
      <c r="D636" s="7"/>
      <c r="E636" s="7"/>
      <c r="F636" s="9"/>
      <c r="G636" s="13"/>
      <c r="H636" s="9"/>
      <c r="I636" s="8"/>
      <c r="J636" s="9">
        <f>J635+Table23453561213[[#This Row],[AMOUNT]]-Table23453561213[[#This Row],[AMOUNT2]]-Table23453561213[[#This Row],[AMOUNT3]]</f>
        <v>0</v>
      </c>
    </row>
    <row r="637" spans="1:10" x14ac:dyDescent="0.35">
      <c r="A637" s="29"/>
      <c r="B637" s="7"/>
      <c r="C637" s="8"/>
      <c r="D637" s="7"/>
      <c r="E637" s="7"/>
      <c r="F637" s="9"/>
      <c r="G637" s="13"/>
      <c r="H637" s="9"/>
      <c r="I637" s="8"/>
      <c r="J637" s="9">
        <f>J636+Table23453561213[[#This Row],[AMOUNT]]-Table23453561213[[#This Row],[AMOUNT2]]-Table23453561213[[#This Row],[AMOUNT3]]</f>
        <v>0</v>
      </c>
    </row>
    <row r="638" spans="1:10" x14ac:dyDescent="0.35">
      <c r="A638" s="29"/>
      <c r="B638" s="7"/>
      <c r="C638" s="8"/>
      <c r="D638" s="7"/>
      <c r="E638" s="7"/>
      <c r="F638" s="9"/>
      <c r="G638" s="13"/>
      <c r="H638" s="9"/>
      <c r="I638" s="8"/>
      <c r="J638" s="9">
        <f>J637+Table23453561213[[#This Row],[AMOUNT]]-Table23453561213[[#This Row],[AMOUNT2]]-Table23453561213[[#This Row],[AMOUNT3]]</f>
        <v>0</v>
      </c>
    </row>
    <row r="639" spans="1:10" x14ac:dyDescent="0.35">
      <c r="A639" s="29"/>
      <c r="B639" s="7"/>
      <c r="C639" s="8"/>
      <c r="D639" s="7"/>
      <c r="E639" s="7"/>
      <c r="F639" s="9"/>
      <c r="G639" s="13"/>
      <c r="H639" s="9"/>
      <c r="I639" s="8"/>
      <c r="J639" s="9">
        <f>J638+Table23453561213[[#This Row],[AMOUNT]]-Table23453561213[[#This Row],[AMOUNT2]]-Table23453561213[[#This Row],[AMOUNT3]]</f>
        <v>0</v>
      </c>
    </row>
    <row r="640" spans="1:10" x14ac:dyDescent="0.35">
      <c r="A640" s="29"/>
      <c r="B640" s="7"/>
      <c r="C640" s="8"/>
      <c r="D640" s="7"/>
      <c r="E640" s="7"/>
      <c r="F640" s="9"/>
      <c r="G640" s="13"/>
      <c r="H640" s="9"/>
      <c r="I640" s="8"/>
      <c r="J640" s="9">
        <f>J639+Table23453561213[[#This Row],[AMOUNT]]-Table23453561213[[#This Row],[AMOUNT2]]-Table23453561213[[#This Row],[AMOUNT3]]</f>
        <v>0</v>
      </c>
    </row>
    <row r="641" spans="1:10" x14ac:dyDescent="0.35">
      <c r="A641" s="29"/>
      <c r="B641" s="7"/>
      <c r="C641" s="8"/>
      <c r="D641" s="7"/>
      <c r="E641" s="7"/>
      <c r="F641" s="9"/>
      <c r="G641" s="13"/>
      <c r="H641" s="9"/>
      <c r="I641" s="8"/>
      <c r="J641" s="9">
        <f>J640+Table23453561213[[#This Row],[AMOUNT]]-Table23453561213[[#This Row],[AMOUNT2]]-Table23453561213[[#This Row],[AMOUNT3]]</f>
        <v>0</v>
      </c>
    </row>
    <row r="642" spans="1:10" x14ac:dyDescent="0.35">
      <c r="A642" s="29"/>
      <c r="B642" s="7"/>
      <c r="C642" s="8"/>
      <c r="D642" s="7"/>
      <c r="E642" s="7"/>
      <c r="F642" s="9"/>
      <c r="G642" s="13"/>
      <c r="H642" s="9"/>
      <c r="I642" s="8"/>
      <c r="J642" s="9">
        <f>J641+Table23453561213[[#This Row],[AMOUNT]]-Table23453561213[[#This Row],[AMOUNT2]]-Table23453561213[[#This Row],[AMOUNT3]]</f>
        <v>0</v>
      </c>
    </row>
    <row r="643" spans="1:10" x14ac:dyDescent="0.35">
      <c r="A643" s="29"/>
      <c r="B643" s="7"/>
      <c r="C643" s="8"/>
      <c r="D643" s="7"/>
      <c r="E643" s="7"/>
      <c r="F643" s="9"/>
      <c r="G643" s="13"/>
      <c r="H643" s="9"/>
      <c r="I643" s="8"/>
      <c r="J643" s="9">
        <f>J642+Table23453561213[[#This Row],[AMOUNT]]-Table23453561213[[#This Row],[AMOUNT2]]-Table23453561213[[#This Row],[AMOUNT3]]</f>
        <v>0</v>
      </c>
    </row>
    <row r="644" spans="1:10" x14ac:dyDescent="0.35">
      <c r="A644" s="29"/>
      <c r="B644" s="7"/>
      <c r="C644" s="8"/>
      <c r="D644" s="7"/>
      <c r="E644" s="7"/>
      <c r="F644" s="9"/>
      <c r="G644" s="13"/>
      <c r="H644" s="9"/>
      <c r="I644" s="8"/>
      <c r="J644" s="9">
        <f>J643+Table23453561213[[#This Row],[AMOUNT]]-Table23453561213[[#This Row],[AMOUNT2]]-Table23453561213[[#This Row],[AMOUNT3]]</f>
        <v>0</v>
      </c>
    </row>
    <row r="645" spans="1:10" x14ac:dyDescent="0.35">
      <c r="A645" s="29"/>
      <c r="B645" s="7"/>
      <c r="C645" s="8"/>
      <c r="D645" s="7"/>
      <c r="E645" s="7"/>
      <c r="F645" s="9"/>
      <c r="G645" s="13"/>
      <c r="H645" s="9"/>
      <c r="I645" s="8"/>
      <c r="J645" s="9">
        <f>J644+Table23453561213[[#This Row],[AMOUNT]]-Table23453561213[[#This Row],[AMOUNT2]]-Table23453561213[[#This Row],[AMOUNT3]]</f>
        <v>0</v>
      </c>
    </row>
    <row r="646" spans="1:10" x14ac:dyDescent="0.35">
      <c r="A646" s="29"/>
      <c r="B646" s="7"/>
      <c r="C646" s="8"/>
      <c r="D646" s="7"/>
      <c r="E646" s="7"/>
      <c r="F646" s="9"/>
      <c r="G646" s="13"/>
      <c r="H646" s="9"/>
      <c r="I646" s="8"/>
      <c r="J646" s="9">
        <f>J645+Table23453561213[[#This Row],[AMOUNT]]-Table23453561213[[#This Row],[AMOUNT2]]-Table23453561213[[#This Row],[AMOUNT3]]</f>
        <v>0</v>
      </c>
    </row>
    <row r="647" spans="1:10" x14ac:dyDescent="0.35">
      <c r="A647" s="29"/>
      <c r="B647" s="7"/>
      <c r="C647" s="8"/>
      <c r="D647" s="7"/>
      <c r="E647" s="7"/>
      <c r="F647" s="9"/>
      <c r="G647" s="13"/>
      <c r="H647" s="9"/>
      <c r="I647" s="8"/>
      <c r="J647" s="9">
        <f>J646+Table23453561213[[#This Row],[AMOUNT]]-Table23453561213[[#This Row],[AMOUNT2]]-Table23453561213[[#This Row],[AMOUNT3]]</f>
        <v>0</v>
      </c>
    </row>
    <row r="648" spans="1:10" x14ac:dyDescent="0.35">
      <c r="A648" s="29"/>
      <c r="B648" s="7"/>
      <c r="C648" s="8"/>
      <c r="D648" s="7"/>
      <c r="E648" s="7"/>
      <c r="F648" s="9"/>
      <c r="G648" s="13"/>
      <c r="H648" s="9"/>
      <c r="I648" s="8"/>
      <c r="J648" s="9">
        <f>J647+Table23453561213[[#This Row],[AMOUNT]]-Table23453561213[[#This Row],[AMOUNT2]]-Table23453561213[[#This Row],[AMOUNT3]]</f>
        <v>0</v>
      </c>
    </row>
    <row r="649" spans="1:10" x14ac:dyDescent="0.35">
      <c r="A649" s="29"/>
      <c r="B649" s="7"/>
      <c r="C649" s="8"/>
      <c r="D649" s="7"/>
      <c r="E649" s="7"/>
      <c r="F649" s="9"/>
      <c r="G649" s="13"/>
      <c r="H649" s="9"/>
      <c r="I649" s="8"/>
      <c r="J649" s="9">
        <f>J648+Table23453561213[[#This Row],[AMOUNT]]-Table23453561213[[#This Row],[AMOUNT2]]-Table23453561213[[#This Row],[AMOUNT3]]</f>
        <v>0</v>
      </c>
    </row>
    <row r="650" spans="1:10" x14ac:dyDescent="0.35">
      <c r="A650" s="29"/>
      <c r="B650" s="7"/>
      <c r="C650" s="8"/>
      <c r="D650" s="7"/>
      <c r="E650" s="7"/>
      <c r="F650" s="9"/>
      <c r="G650" s="13"/>
      <c r="H650" s="9"/>
      <c r="I650" s="8"/>
      <c r="J650" s="9">
        <f>J649+Table23453561213[[#This Row],[AMOUNT]]-Table23453561213[[#This Row],[AMOUNT2]]-Table23453561213[[#This Row],[AMOUNT3]]</f>
        <v>0</v>
      </c>
    </row>
    <row r="651" spans="1:10" x14ac:dyDescent="0.35">
      <c r="A651" s="29"/>
      <c r="B651" s="7"/>
      <c r="C651" s="8"/>
      <c r="D651" s="7"/>
      <c r="E651" s="7"/>
      <c r="F651" s="9"/>
      <c r="G651" s="13"/>
      <c r="H651" s="9"/>
      <c r="I651" s="8"/>
      <c r="J651" s="9">
        <f>J650+Table23453561213[[#This Row],[AMOUNT]]-Table23453561213[[#This Row],[AMOUNT2]]-Table23453561213[[#This Row],[AMOUNT3]]</f>
        <v>0</v>
      </c>
    </row>
    <row r="652" spans="1:10" x14ac:dyDescent="0.35">
      <c r="A652" s="29"/>
      <c r="B652" s="7"/>
      <c r="C652" s="8"/>
      <c r="D652" s="7"/>
      <c r="E652" s="7"/>
      <c r="F652" s="9"/>
      <c r="G652" s="13"/>
      <c r="H652" s="9"/>
      <c r="I652" s="8"/>
      <c r="J652" s="9">
        <f>J651+Table23453561213[[#This Row],[AMOUNT]]-Table23453561213[[#This Row],[AMOUNT2]]-Table23453561213[[#This Row],[AMOUNT3]]</f>
        <v>0</v>
      </c>
    </row>
    <row r="653" spans="1:10" x14ac:dyDescent="0.35">
      <c r="A653" s="29"/>
      <c r="B653" s="7"/>
      <c r="C653" s="8"/>
      <c r="D653" s="7"/>
      <c r="E653" s="7"/>
      <c r="F653" s="9"/>
      <c r="G653" s="13"/>
      <c r="H653" s="9"/>
      <c r="I653" s="8"/>
      <c r="J653" s="9">
        <f>J652+Table23453561213[[#This Row],[AMOUNT]]-Table23453561213[[#This Row],[AMOUNT2]]-Table23453561213[[#This Row],[AMOUNT3]]</f>
        <v>0</v>
      </c>
    </row>
    <row r="654" spans="1:10" x14ac:dyDescent="0.35">
      <c r="A654" s="29"/>
      <c r="B654" s="7"/>
      <c r="C654" s="8"/>
      <c r="D654" s="7"/>
      <c r="E654" s="7"/>
      <c r="F654" s="9"/>
      <c r="G654" s="13"/>
      <c r="H654" s="9"/>
      <c r="I654" s="8"/>
      <c r="J654" s="9">
        <f>J653+Table23453561213[[#This Row],[AMOUNT]]-Table23453561213[[#This Row],[AMOUNT2]]-Table23453561213[[#This Row],[AMOUNT3]]</f>
        <v>0</v>
      </c>
    </row>
    <row r="655" spans="1:10" x14ac:dyDescent="0.35">
      <c r="A655" s="29"/>
      <c r="B655" s="7"/>
      <c r="C655" s="8"/>
      <c r="D655" s="7"/>
      <c r="E655" s="7"/>
      <c r="F655" s="9"/>
      <c r="G655" s="13"/>
      <c r="H655" s="9"/>
      <c r="I655" s="8"/>
      <c r="J655" s="9">
        <f>J654+Table23453561213[[#This Row],[AMOUNT]]-Table23453561213[[#This Row],[AMOUNT2]]-Table23453561213[[#This Row],[AMOUNT3]]</f>
        <v>0</v>
      </c>
    </row>
    <row r="656" spans="1:10" x14ac:dyDescent="0.35">
      <c r="A656" s="29"/>
      <c r="B656" s="7"/>
      <c r="C656" s="8"/>
      <c r="D656" s="7"/>
      <c r="E656" s="7"/>
      <c r="F656" s="9"/>
      <c r="G656" s="13"/>
      <c r="H656" s="9"/>
      <c r="I656" s="8"/>
      <c r="J656" s="9">
        <f>J655+Table23453561213[[#This Row],[AMOUNT]]-Table23453561213[[#This Row],[AMOUNT2]]-Table23453561213[[#This Row],[AMOUNT3]]</f>
        <v>0</v>
      </c>
    </row>
    <row r="657" spans="1:10" x14ac:dyDescent="0.35">
      <c r="A657" s="29"/>
      <c r="B657" s="7"/>
      <c r="C657" s="8"/>
      <c r="D657" s="7"/>
      <c r="E657" s="7"/>
      <c r="F657" s="9"/>
      <c r="G657" s="13"/>
      <c r="H657" s="9"/>
      <c r="I657" s="8"/>
      <c r="J657" s="9">
        <f>J656+Table23453561213[[#This Row],[AMOUNT]]-Table23453561213[[#This Row],[AMOUNT2]]-Table23453561213[[#This Row],[AMOUNT3]]</f>
        <v>0</v>
      </c>
    </row>
    <row r="658" spans="1:10" x14ac:dyDescent="0.35">
      <c r="A658" s="29"/>
      <c r="B658" s="7"/>
      <c r="C658" s="8"/>
      <c r="D658" s="7"/>
      <c r="E658" s="7"/>
      <c r="F658" s="9"/>
      <c r="G658" s="13"/>
      <c r="H658" s="9"/>
      <c r="I658" s="8"/>
      <c r="J658" s="9">
        <f>J657+Table23453561213[[#This Row],[AMOUNT]]-Table23453561213[[#This Row],[AMOUNT2]]-Table23453561213[[#This Row],[AMOUNT3]]</f>
        <v>0</v>
      </c>
    </row>
    <row r="659" spans="1:10" x14ac:dyDescent="0.35">
      <c r="A659" s="29"/>
      <c r="B659" s="7"/>
      <c r="C659" s="8"/>
      <c r="D659" s="7"/>
      <c r="E659" s="7"/>
      <c r="F659" s="9"/>
      <c r="G659" s="13"/>
      <c r="H659" s="9"/>
      <c r="I659" s="8"/>
      <c r="J659" s="9">
        <f>J658+Table23453561213[[#This Row],[AMOUNT]]-Table23453561213[[#This Row],[AMOUNT2]]-Table23453561213[[#This Row],[AMOUNT3]]</f>
        <v>0</v>
      </c>
    </row>
    <row r="660" spans="1:10" x14ac:dyDescent="0.35">
      <c r="A660" s="29"/>
      <c r="B660" s="7"/>
      <c r="C660" s="8"/>
      <c r="D660" s="7"/>
      <c r="E660" s="7"/>
      <c r="F660" s="9"/>
      <c r="G660" s="13"/>
      <c r="H660" s="9"/>
      <c r="I660" s="8"/>
      <c r="J660" s="9">
        <f>J659+Table23453561213[[#This Row],[AMOUNT]]-Table23453561213[[#This Row],[AMOUNT2]]-Table23453561213[[#This Row],[AMOUNT3]]</f>
        <v>0</v>
      </c>
    </row>
    <row r="661" spans="1:10" x14ac:dyDescent="0.35">
      <c r="A661" s="29"/>
      <c r="B661" s="7"/>
      <c r="C661" s="8"/>
      <c r="D661" s="7"/>
      <c r="E661" s="7"/>
      <c r="F661" s="9"/>
      <c r="G661" s="13"/>
      <c r="H661" s="9"/>
      <c r="I661" s="8"/>
      <c r="J661" s="9">
        <f>J660+Table23453561213[[#This Row],[AMOUNT]]-Table23453561213[[#This Row],[AMOUNT2]]-Table23453561213[[#This Row],[AMOUNT3]]</f>
        <v>0</v>
      </c>
    </row>
    <row r="662" spans="1:10" x14ac:dyDescent="0.35">
      <c r="A662" s="29"/>
      <c r="B662" s="7"/>
      <c r="C662" s="8"/>
      <c r="D662" s="7"/>
      <c r="E662" s="7"/>
      <c r="F662" s="9"/>
      <c r="G662" s="13"/>
      <c r="H662" s="9"/>
      <c r="I662" s="8"/>
      <c r="J662" s="9">
        <f>J661+Table23453561213[[#This Row],[AMOUNT]]-Table23453561213[[#This Row],[AMOUNT2]]-Table23453561213[[#This Row],[AMOUNT3]]</f>
        <v>0</v>
      </c>
    </row>
    <row r="663" spans="1:10" x14ac:dyDescent="0.35">
      <c r="A663" s="29"/>
      <c r="B663" s="7"/>
      <c r="C663" s="8"/>
      <c r="D663" s="7"/>
      <c r="E663" s="7"/>
      <c r="F663" s="9"/>
      <c r="G663" s="13"/>
      <c r="H663" s="9"/>
      <c r="I663" s="8"/>
      <c r="J663" s="9">
        <f>J662+Table23453561213[[#This Row],[AMOUNT]]-Table23453561213[[#This Row],[AMOUNT2]]-Table23453561213[[#This Row],[AMOUNT3]]</f>
        <v>0</v>
      </c>
    </row>
    <row r="664" spans="1:10" x14ac:dyDescent="0.35">
      <c r="A664" s="29"/>
      <c r="B664" s="7"/>
      <c r="C664" s="8"/>
      <c r="D664" s="7"/>
      <c r="E664" s="7"/>
      <c r="F664" s="9"/>
      <c r="G664" s="13"/>
      <c r="H664" s="9"/>
      <c r="I664" s="8"/>
      <c r="J664" s="9">
        <f>J663+Table23453561213[[#This Row],[AMOUNT]]-Table23453561213[[#This Row],[AMOUNT2]]-Table23453561213[[#This Row],[AMOUNT3]]</f>
        <v>0</v>
      </c>
    </row>
    <row r="665" spans="1:10" x14ac:dyDescent="0.35">
      <c r="A665" s="29"/>
      <c r="B665" s="7"/>
      <c r="C665" s="8"/>
      <c r="D665" s="7"/>
      <c r="E665" s="7"/>
      <c r="F665" s="9"/>
      <c r="G665" s="13"/>
      <c r="H665" s="9"/>
      <c r="I665" s="8"/>
      <c r="J665" s="9">
        <f>J664+Table23453561213[[#This Row],[AMOUNT]]-Table23453561213[[#This Row],[AMOUNT2]]-Table23453561213[[#This Row],[AMOUNT3]]</f>
        <v>0</v>
      </c>
    </row>
    <row r="666" spans="1:10" x14ac:dyDescent="0.35">
      <c r="A666" s="29"/>
      <c r="B666" s="7"/>
      <c r="C666" s="8"/>
      <c r="D666" s="7"/>
      <c r="E666" s="7"/>
      <c r="F666" s="9"/>
      <c r="G666" s="13"/>
      <c r="H666" s="9"/>
      <c r="I666" s="8"/>
      <c r="J666" s="9">
        <f>J665+Table23453561213[[#This Row],[AMOUNT]]-Table23453561213[[#This Row],[AMOUNT2]]-Table23453561213[[#This Row],[AMOUNT3]]</f>
        <v>0</v>
      </c>
    </row>
    <row r="667" spans="1:10" x14ac:dyDescent="0.35">
      <c r="A667" s="29"/>
      <c r="B667" s="7"/>
      <c r="C667" s="8"/>
      <c r="D667" s="7"/>
      <c r="E667" s="7"/>
      <c r="F667" s="9"/>
      <c r="G667" s="13"/>
      <c r="H667" s="9"/>
      <c r="I667" s="8"/>
      <c r="J667" s="9">
        <f>J666+Table23453561213[[#This Row],[AMOUNT]]-Table23453561213[[#This Row],[AMOUNT2]]-Table23453561213[[#This Row],[AMOUNT3]]</f>
        <v>0</v>
      </c>
    </row>
    <row r="668" spans="1:10" x14ac:dyDescent="0.35">
      <c r="A668" s="29"/>
      <c r="B668" s="7"/>
      <c r="C668" s="8"/>
      <c r="D668" s="7"/>
      <c r="E668" s="7"/>
      <c r="F668" s="9"/>
      <c r="G668" s="13"/>
      <c r="H668" s="9"/>
      <c r="I668" s="8"/>
      <c r="J668" s="9">
        <f>J667+Table23453561213[[#This Row],[AMOUNT]]-Table23453561213[[#This Row],[AMOUNT2]]-Table23453561213[[#This Row],[AMOUNT3]]</f>
        <v>0</v>
      </c>
    </row>
    <row r="669" spans="1:10" x14ac:dyDescent="0.35">
      <c r="A669" s="29"/>
      <c r="B669" s="7"/>
      <c r="C669" s="8"/>
      <c r="D669" s="7"/>
      <c r="E669" s="7"/>
      <c r="F669" s="9"/>
      <c r="G669" s="13"/>
      <c r="H669" s="9"/>
      <c r="I669" s="8"/>
      <c r="J669" s="9">
        <f>J668+Table23453561213[[#This Row],[AMOUNT]]-Table23453561213[[#This Row],[AMOUNT2]]-Table23453561213[[#This Row],[AMOUNT3]]</f>
        <v>0</v>
      </c>
    </row>
    <row r="670" spans="1:10" x14ac:dyDescent="0.35">
      <c r="A670" s="29"/>
      <c r="B670" s="7"/>
      <c r="C670" s="8"/>
      <c r="D670" s="7"/>
      <c r="E670" s="7"/>
      <c r="F670" s="9"/>
      <c r="G670" s="13"/>
      <c r="H670" s="9"/>
      <c r="I670" s="8"/>
      <c r="J670" s="9">
        <f>J669+Table23453561213[[#This Row],[AMOUNT]]-Table23453561213[[#This Row],[AMOUNT2]]-Table23453561213[[#This Row],[AMOUNT3]]</f>
        <v>0</v>
      </c>
    </row>
    <row r="671" spans="1:10" x14ac:dyDescent="0.35">
      <c r="A671" s="29"/>
      <c r="B671" s="7"/>
      <c r="C671" s="8"/>
      <c r="D671" s="7"/>
      <c r="E671" s="7"/>
      <c r="F671" s="9"/>
      <c r="G671" s="13"/>
      <c r="H671" s="9"/>
      <c r="I671" s="8"/>
      <c r="J671" s="9">
        <f>J670+Table23453561213[[#This Row],[AMOUNT]]-Table23453561213[[#This Row],[AMOUNT2]]-Table23453561213[[#This Row],[AMOUNT3]]</f>
        <v>0</v>
      </c>
    </row>
    <row r="672" spans="1:10" x14ac:dyDescent="0.35">
      <c r="A672" s="29"/>
      <c r="B672" s="7"/>
      <c r="C672" s="8"/>
      <c r="D672" s="7"/>
      <c r="E672" s="7"/>
      <c r="F672" s="9"/>
      <c r="G672" s="13"/>
      <c r="H672" s="9"/>
      <c r="I672" s="8"/>
      <c r="J672" s="9">
        <f>J671+Table23453561213[[#This Row],[AMOUNT]]-Table23453561213[[#This Row],[AMOUNT2]]-Table23453561213[[#This Row],[AMOUNT3]]</f>
        <v>0</v>
      </c>
    </row>
    <row r="673" spans="1:10" x14ac:dyDescent="0.35">
      <c r="A673" s="29"/>
      <c r="B673" s="7"/>
      <c r="C673" s="8"/>
      <c r="D673" s="7"/>
      <c r="E673" s="7"/>
      <c r="F673" s="9"/>
      <c r="G673" s="13"/>
      <c r="H673" s="9"/>
      <c r="I673" s="8"/>
      <c r="J673" s="9">
        <f>J672+Table23453561213[[#This Row],[AMOUNT]]-Table23453561213[[#This Row],[AMOUNT2]]-Table23453561213[[#This Row],[AMOUNT3]]</f>
        <v>0</v>
      </c>
    </row>
    <row r="674" spans="1:10" x14ac:dyDescent="0.35">
      <c r="A674" s="29"/>
      <c r="B674" s="7"/>
      <c r="C674" s="8"/>
      <c r="D674" s="7"/>
      <c r="E674" s="7"/>
      <c r="F674" s="9"/>
      <c r="G674" s="13"/>
      <c r="H674" s="9"/>
      <c r="I674" s="8"/>
      <c r="J674" s="9">
        <f>J673+Table23453561213[[#This Row],[AMOUNT]]-Table23453561213[[#This Row],[AMOUNT2]]-Table23453561213[[#This Row],[AMOUNT3]]</f>
        <v>0</v>
      </c>
    </row>
    <row r="675" spans="1:10" x14ac:dyDescent="0.35">
      <c r="A675" s="29"/>
      <c r="B675" s="7"/>
      <c r="C675" s="8"/>
      <c r="D675" s="7"/>
      <c r="E675" s="7"/>
      <c r="F675" s="9"/>
      <c r="G675" s="13"/>
      <c r="H675" s="9"/>
      <c r="I675" s="8"/>
      <c r="J675" s="9">
        <f>J674+Table23453561213[[#This Row],[AMOUNT]]-Table23453561213[[#This Row],[AMOUNT2]]-Table23453561213[[#This Row],[AMOUNT3]]</f>
        <v>0</v>
      </c>
    </row>
    <row r="676" spans="1:10" x14ac:dyDescent="0.35">
      <c r="A676" s="29"/>
      <c r="B676" s="7"/>
      <c r="C676" s="8"/>
      <c r="D676" s="7"/>
      <c r="E676" s="7"/>
      <c r="F676" s="9"/>
      <c r="G676" s="13"/>
      <c r="H676" s="9"/>
      <c r="I676" s="8"/>
      <c r="J676" s="9">
        <f>J675+Table23453561213[[#This Row],[AMOUNT]]-Table23453561213[[#This Row],[AMOUNT2]]-Table23453561213[[#This Row],[AMOUNT3]]</f>
        <v>0</v>
      </c>
    </row>
    <row r="677" spans="1:10" x14ac:dyDescent="0.35">
      <c r="A677" s="29"/>
      <c r="B677" s="7"/>
      <c r="C677" s="8"/>
      <c r="D677" s="7"/>
      <c r="E677" s="7"/>
      <c r="F677" s="9"/>
      <c r="G677" s="13"/>
      <c r="H677" s="9"/>
      <c r="I677" s="8"/>
      <c r="J677" s="9">
        <f>J676+Table23453561213[[#This Row],[AMOUNT]]-Table23453561213[[#This Row],[AMOUNT2]]-Table23453561213[[#This Row],[AMOUNT3]]</f>
        <v>0</v>
      </c>
    </row>
    <row r="678" spans="1:10" x14ac:dyDescent="0.35">
      <c r="A678" s="29"/>
      <c r="B678" s="7"/>
      <c r="C678" s="8"/>
      <c r="D678" s="7"/>
      <c r="E678" s="7"/>
      <c r="F678" s="9"/>
      <c r="G678" s="13"/>
      <c r="H678" s="9"/>
      <c r="I678" s="8"/>
      <c r="J678" s="9">
        <f>J677+Table23453561213[[#This Row],[AMOUNT]]-Table23453561213[[#This Row],[AMOUNT2]]-Table23453561213[[#This Row],[AMOUNT3]]</f>
        <v>0</v>
      </c>
    </row>
    <row r="679" spans="1:10" x14ac:dyDescent="0.35">
      <c r="A679" s="29"/>
      <c r="B679" s="7"/>
      <c r="C679" s="8"/>
      <c r="D679" s="7"/>
      <c r="E679" s="7"/>
      <c r="F679" s="9"/>
      <c r="G679" s="13"/>
      <c r="H679" s="9"/>
      <c r="I679" s="8"/>
      <c r="J679" s="9">
        <f>J678+Table23453561213[[#This Row],[AMOUNT]]-Table23453561213[[#This Row],[AMOUNT2]]-Table23453561213[[#This Row],[AMOUNT3]]</f>
        <v>0</v>
      </c>
    </row>
    <row r="680" spans="1:10" x14ac:dyDescent="0.35">
      <c r="A680" s="29"/>
      <c r="B680" s="7"/>
      <c r="C680" s="8"/>
      <c r="D680" s="7"/>
      <c r="E680" s="7"/>
      <c r="F680" s="9"/>
      <c r="G680" s="13"/>
      <c r="H680" s="9"/>
      <c r="I680" s="8"/>
      <c r="J680" s="9">
        <f>J679+Table23453561213[[#This Row],[AMOUNT]]-Table23453561213[[#This Row],[AMOUNT2]]-Table23453561213[[#This Row],[AMOUNT3]]</f>
        <v>0</v>
      </c>
    </row>
    <row r="681" spans="1:10" x14ac:dyDescent="0.35">
      <c r="A681" s="29"/>
      <c r="B681" s="7"/>
      <c r="C681" s="8"/>
      <c r="D681" s="7"/>
      <c r="E681" s="7"/>
      <c r="F681" s="9"/>
      <c r="G681" s="13"/>
      <c r="H681" s="9"/>
      <c r="I681" s="8"/>
      <c r="J681" s="9">
        <f>J680+Table23453561213[[#This Row],[AMOUNT]]-Table23453561213[[#This Row],[AMOUNT2]]-Table23453561213[[#This Row],[AMOUNT3]]</f>
        <v>0</v>
      </c>
    </row>
    <row r="682" spans="1:10" x14ac:dyDescent="0.35">
      <c r="A682" s="29"/>
      <c r="B682" s="7"/>
      <c r="C682" s="8"/>
      <c r="D682" s="7"/>
      <c r="E682" s="7"/>
      <c r="F682" s="9"/>
      <c r="G682" s="13"/>
      <c r="H682" s="9"/>
      <c r="I682" s="8"/>
      <c r="J682" s="9">
        <f>J681+Table23453561213[[#This Row],[AMOUNT]]-Table23453561213[[#This Row],[AMOUNT2]]-Table23453561213[[#This Row],[AMOUNT3]]</f>
        <v>0</v>
      </c>
    </row>
    <row r="683" spans="1:10" x14ac:dyDescent="0.35">
      <c r="A683" s="29"/>
      <c r="B683" s="7"/>
      <c r="C683" s="8"/>
      <c r="D683" s="7"/>
      <c r="E683" s="7"/>
      <c r="F683" s="9"/>
      <c r="G683" s="13"/>
      <c r="H683" s="9"/>
      <c r="I683" s="8"/>
      <c r="J683" s="9">
        <f>J682+Table23453561213[[#This Row],[AMOUNT]]-Table23453561213[[#This Row],[AMOUNT2]]-Table23453561213[[#This Row],[AMOUNT3]]</f>
        <v>0</v>
      </c>
    </row>
    <row r="684" spans="1:10" x14ac:dyDescent="0.35">
      <c r="A684" s="29"/>
      <c r="B684" s="7"/>
      <c r="C684" s="8"/>
      <c r="D684" s="7"/>
      <c r="E684" s="7"/>
      <c r="F684" s="9"/>
      <c r="G684" s="13"/>
      <c r="H684" s="9"/>
      <c r="I684" s="8"/>
      <c r="J684" s="9">
        <f>J683+Table23453561213[[#This Row],[AMOUNT]]-Table23453561213[[#This Row],[AMOUNT2]]-Table23453561213[[#This Row],[AMOUNT3]]</f>
        <v>0</v>
      </c>
    </row>
    <row r="685" spans="1:10" x14ac:dyDescent="0.35">
      <c r="A685" s="29"/>
      <c r="B685" s="7"/>
      <c r="C685" s="8"/>
      <c r="D685" s="7"/>
      <c r="E685" s="7"/>
      <c r="F685" s="9"/>
      <c r="G685" s="13"/>
      <c r="H685" s="9"/>
      <c r="I685" s="8"/>
      <c r="J685" s="9">
        <f>J684+Table23453561213[[#This Row],[AMOUNT]]-Table23453561213[[#This Row],[AMOUNT2]]-Table23453561213[[#This Row],[AMOUNT3]]</f>
        <v>0</v>
      </c>
    </row>
    <row r="686" spans="1:10" x14ac:dyDescent="0.35">
      <c r="A686" s="29"/>
      <c r="B686" s="7"/>
      <c r="C686" s="8"/>
      <c r="D686" s="7"/>
      <c r="E686" s="7"/>
      <c r="F686" s="9"/>
      <c r="G686" s="13"/>
      <c r="H686" s="9"/>
      <c r="I686" s="8"/>
      <c r="J686" s="9">
        <f>J685+Table23453561213[[#This Row],[AMOUNT]]-Table23453561213[[#This Row],[AMOUNT2]]-Table23453561213[[#This Row],[AMOUNT3]]</f>
        <v>0</v>
      </c>
    </row>
    <row r="687" spans="1:10" x14ac:dyDescent="0.35">
      <c r="A687" s="29"/>
      <c r="B687" s="7"/>
      <c r="C687" s="8"/>
      <c r="D687" s="7"/>
      <c r="E687" s="7"/>
      <c r="F687" s="9"/>
      <c r="G687" s="13"/>
      <c r="H687" s="9"/>
      <c r="I687" s="8"/>
      <c r="J687" s="9">
        <f>J686+Table23453561213[[#This Row],[AMOUNT]]-Table23453561213[[#This Row],[AMOUNT2]]-Table23453561213[[#This Row],[AMOUNT3]]</f>
        <v>0</v>
      </c>
    </row>
    <row r="688" spans="1:10" x14ac:dyDescent="0.35">
      <c r="A688" s="29"/>
      <c r="B688" s="7"/>
      <c r="C688" s="8"/>
      <c r="D688" s="7"/>
      <c r="E688" s="7"/>
      <c r="F688" s="9"/>
      <c r="G688" s="13"/>
      <c r="H688" s="9"/>
      <c r="I688" s="8"/>
      <c r="J688" s="9">
        <f>J687+Table23453561213[[#This Row],[AMOUNT]]-Table23453561213[[#This Row],[AMOUNT2]]-Table23453561213[[#This Row],[AMOUNT3]]</f>
        <v>0</v>
      </c>
    </row>
    <row r="689" spans="1:10" x14ac:dyDescent="0.35">
      <c r="A689" s="29"/>
      <c r="B689" s="7"/>
      <c r="C689" s="8"/>
      <c r="D689" s="7"/>
      <c r="E689" s="7"/>
      <c r="F689" s="9"/>
      <c r="G689" s="13"/>
      <c r="H689" s="9"/>
      <c r="I689" s="8"/>
      <c r="J689" s="9">
        <f>J688+Table23453561213[[#This Row],[AMOUNT]]-Table23453561213[[#This Row],[AMOUNT2]]-Table23453561213[[#This Row],[AMOUNT3]]</f>
        <v>0</v>
      </c>
    </row>
    <row r="690" spans="1:10" x14ac:dyDescent="0.35">
      <c r="A690" s="29"/>
      <c r="B690" s="7"/>
      <c r="C690" s="8"/>
      <c r="D690" s="7"/>
      <c r="E690" s="7"/>
      <c r="F690" s="9"/>
      <c r="G690" s="13"/>
      <c r="H690" s="9"/>
      <c r="I690" s="8"/>
      <c r="J690" s="9">
        <f>J689+Table23453561213[[#This Row],[AMOUNT]]-Table23453561213[[#This Row],[AMOUNT2]]-Table23453561213[[#This Row],[AMOUNT3]]</f>
        <v>0</v>
      </c>
    </row>
    <row r="691" spans="1:10" x14ac:dyDescent="0.35">
      <c r="A691" s="29"/>
      <c r="B691" s="7"/>
      <c r="C691" s="8"/>
      <c r="D691" s="7"/>
      <c r="E691" s="7"/>
      <c r="F691" s="9"/>
      <c r="G691" s="13"/>
      <c r="H691" s="9"/>
      <c r="I691" s="8"/>
      <c r="J691" s="9">
        <f>J690+Table23453561213[[#This Row],[AMOUNT]]-Table23453561213[[#This Row],[AMOUNT2]]-Table23453561213[[#This Row],[AMOUNT3]]</f>
        <v>0</v>
      </c>
    </row>
    <row r="692" spans="1:10" x14ac:dyDescent="0.35">
      <c r="A692" s="29"/>
      <c r="B692" s="7"/>
      <c r="C692" s="8"/>
      <c r="D692" s="7"/>
      <c r="E692" s="7"/>
      <c r="F692" s="9"/>
      <c r="G692" s="13"/>
      <c r="H692" s="9"/>
      <c r="I692" s="8"/>
      <c r="J692" s="9">
        <f>J691+Table23453561213[[#This Row],[AMOUNT]]-Table23453561213[[#This Row],[AMOUNT2]]-Table23453561213[[#This Row],[AMOUNT3]]</f>
        <v>0</v>
      </c>
    </row>
    <row r="693" spans="1:10" x14ac:dyDescent="0.35">
      <c r="A693" s="29"/>
      <c r="B693" s="7"/>
      <c r="C693" s="8"/>
      <c r="D693" s="7"/>
      <c r="E693" s="7"/>
      <c r="F693" s="9"/>
      <c r="G693" s="13"/>
      <c r="H693" s="9"/>
      <c r="I693" s="8"/>
      <c r="J693" s="9">
        <f>J692+Table23453561213[[#This Row],[AMOUNT]]-Table23453561213[[#This Row],[AMOUNT2]]-Table23453561213[[#This Row],[AMOUNT3]]</f>
        <v>0</v>
      </c>
    </row>
    <row r="694" spans="1:10" x14ac:dyDescent="0.35">
      <c r="A694" s="29"/>
      <c r="B694" s="7"/>
      <c r="C694" s="8"/>
      <c r="D694" s="7"/>
      <c r="E694" s="7"/>
      <c r="F694" s="9"/>
      <c r="G694" s="13"/>
      <c r="H694" s="9"/>
      <c r="I694" s="8"/>
      <c r="J694" s="9">
        <f>J693+Table23453561213[[#This Row],[AMOUNT]]-Table23453561213[[#This Row],[AMOUNT2]]-Table23453561213[[#This Row],[AMOUNT3]]</f>
        <v>0</v>
      </c>
    </row>
    <row r="695" spans="1:10" x14ac:dyDescent="0.35">
      <c r="A695" s="29"/>
      <c r="B695" s="7"/>
      <c r="C695" s="8"/>
      <c r="D695" s="7"/>
      <c r="E695" s="7"/>
      <c r="F695" s="9"/>
      <c r="G695" s="13"/>
      <c r="H695" s="9"/>
      <c r="I695" s="8"/>
      <c r="J695" s="9">
        <f>J694+Table23453561213[[#This Row],[AMOUNT]]-Table23453561213[[#This Row],[AMOUNT2]]-Table23453561213[[#This Row],[AMOUNT3]]</f>
        <v>0</v>
      </c>
    </row>
    <row r="696" spans="1:10" x14ac:dyDescent="0.35">
      <c r="A696" s="29"/>
      <c r="B696" s="7"/>
      <c r="C696" s="8"/>
      <c r="D696" s="7"/>
      <c r="E696" s="7"/>
      <c r="F696" s="9"/>
      <c r="G696" s="13"/>
      <c r="H696" s="9"/>
      <c r="I696" s="8"/>
      <c r="J696" s="9">
        <f>J695+Table23453561213[[#This Row],[AMOUNT]]-Table23453561213[[#This Row],[AMOUNT2]]-Table23453561213[[#This Row],[AMOUNT3]]</f>
        <v>0</v>
      </c>
    </row>
    <row r="697" spans="1:10" x14ac:dyDescent="0.35">
      <c r="A697" s="29"/>
      <c r="B697" s="7"/>
      <c r="C697" s="8"/>
      <c r="D697" s="7"/>
      <c r="E697" s="7"/>
      <c r="F697" s="9"/>
      <c r="G697" s="13"/>
      <c r="H697" s="9"/>
      <c r="I697" s="8"/>
      <c r="J697" s="9">
        <f>J696+Table23453561213[[#This Row],[AMOUNT]]-Table23453561213[[#This Row],[AMOUNT2]]-Table23453561213[[#This Row],[AMOUNT3]]</f>
        <v>0</v>
      </c>
    </row>
    <row r="698" spans="1:10" x14ac:dyDescent="0.35">
      <c r="A698" s="29"/>
      <c r="B698" s="7"/>
      <c r="C698" s="8"/>
      <c r="D698" s="7"/>
      <c r="E698" s="7"/>
      <c r="F698" s="9"/>
      <c r="G698" s="13"/>
      <c r="H698" s="9"/>
      <c r="I698" s="8"/>
      <c r="J698" s="9">
        <f>J697+Table23453561213[[#This Row],[AMOUNT]]-Table23453561213[[#This Row],[AMOUNT2]]-Table23453561213[[#This Row],[AMOUNT3]]</f>
        <v>0</v>
      </c>
    </row>
    <row r="699" spans="1:10" x14ac:dyDescent="0.35">
      <c r="A699" s="29"/>
      <c r="B699" s="7"/>
      <c r="C699" s="8"/>
      <c r="D699" s="7"/>
      <c r="E699" s="7"/>
      <c r="F699" s="9"/>
      <c r="G699" s="13"/>
      <c r="H699" s="9"/>
      <c r="I699" s="8"/>
      <c r="J699" s="9">
        <f>J698+Table23453561213[[#This Row],[AMOUNT]]-Table23453561213[[#This Row],[AMOUNT2]]-Table23453561213[[#This Row],[AMOUNT3]]</f>
        <v>0</v>
      </c>
    </row>
    <row r="700" spans="1:10" x14ac:dyDescent="0.35">
      <c r="A700" s="29"/>
      <c r="B700" s="7"/>
      <c r="C700" s="8"/>
      <c r="D700" s="7"/>
      <c r="E700" s="7"/>
      <c r="F700" s="9"/>
      <c r="G700" s="13"/>
      <c r="H700" s="9"/>
      <c r="I700" s="8"/>
      <c r="J700" s="9">
        <f>J699+Table23453561213[[#This Row],[AMOUNT]]-Table23453561213[[#This Row],[AMOUNT2]]-Table23453561213[[#This Row],[AMOUNT3]]</f>
        <v>0</v>
      </c>
    </row>
    <row r="701" spans="1:10" x14ac:dyDescent="0.35">
      <c r="A701" s="29"/>
      <c r="B701" s="7"/>
      <c r="C701" s="8"/>
      <c r="D701" s="7"/>
      <c r="E701" s="7"/>
      <c r="F701" s="9"/>
      <c r="G701" s="13"/>
      <c r="H701" s="9"/>
      <c r="I701" s="8"/>
      <c r="J701" s="9">
        <f>J700+Table23453561213[[#This Row],[AMOUNT]]-Table23453561213[[#This Row],[AMOUNT2]]-Table23453561213[[#This Row],[AMOUNT3]]</f>
        <v>0</v>
      </c>
    </row>
    <row r="702" spans="1:10" x14ac:dyDescent="0.35">
      <c r="A702" s="29"/>
      <c r="B702" s="7"/>
      <c r="C702" s="8"/>
      <c r="D702" s="7"/>
      <c r="E702" s="7"/>
      <c r="F702" s="9"/>
      <c r="G702" s="13"/>
      <c r="H702" s="9"/>
      <c r="I702" s="8"/>
      <c r="J702" s="9">
        <f>J701+Table23453561213[[#This Row],[AMOUNT]]-Table23453561213[[#This Row],[AMOUNT2]]-Table23453561213[[#This Row],[AMOUNT3]]</f>
        <v>0</v>
      </c>
    </row>
    <row r="703" spans="1:10" x14ac:dyDescent="0.35">
      <c r="A703" s="29"/>
      <c r="B703" s="7"/>
      <c r="C703" s="8"/>
      <c r="D703" s="7"/>
      <c r="E703" s="7"/>
      <c r="F703" s="9"/>
      <c r="G703" s="13"/>
      <c r="H703" s="9"/>
      <c r="I703" s="8"/>
      <c r="J703" s="9">
        <f>J702+Table23453561213[[#This Row],[AMOUNT]]-Table23453561213[[#This Row],[AMOUNT2]]-Table23453561213[[#This Row],[AMOUNT3]]</f>
        <v>0</v>
      </c>
    </row>
    <row r="704" spans="1:10" x14ac:dyDescent="0.35">
      <c r="A704" s="29"/>
      <c r="B704" s="7"/>
      <c r="C704" s="8"/>
      <c r="D704" s="7"/>
      <c r="E704" s="7"/>
      <c r="F704" s="9"/>
      <c r="G704" s="13"/>
      <c r="H704" s="9"/>
      <c r="I704" s="8"/>
      <c r="J704" s="9">
        <f>J703+Table23453561213[[#This Row],[AMOUNT]]-Table23453561213[[#This Row],[AMOUNT2]]-Table23453561213[[#This Row],[AMOUNT3]]</f>
        <v>0</v>
      </c>
    </row>
    <row r="705" spans="1:10" x14ac:dyDescent="0.35">
      <c r="A705" s="29"/>
      <c r="B705" s="7"/>
      <c r="C705" s="8"/>
      <c r="D705" s="7"/>
      <c r="E705" s="7"/>
      <c r="F705" s="9"/>
      <c r="G705" s="13"/>
      <c r="H705" s="9"/>
      <c r="I705" s="8"/>
      <c r="J705" s="9">
        <f>J704+Table23453561213[[#This Row],[AMOUNT]]-Table23453561213[[#This Row],[AMOUNT2]]-Table23453561213[[#This Row],[AMOUNT3]]</f>
        <v>0</v>
      </c>
    </row>
    <row r="706" spans="1:10" x14ac:dyDescent="0.35">
      <c r="A706" s="29"/>
      <c r="B706" s="7"/>
      <c r="C706" s="8"/>
      <c r="D706" s="7"/>
      <c r="E706" s="7"/>
      <c r="F706" s="9"/>
      <c r="G706" s="13"/>
      <c r="H706" s="9"/>
      <c r="I706" s="8"/>
      <c r="J706" s="9">
        <f>J705+Table23453561213[[#This Row],[AMOUNT]]-Table23453561213[[#This Row],[AMOUNT2]]-Table23453561213[[#This Row],[AMOUNT3]]</f>
        <v>0</v>
      </c>
    </row>
    <row r="707" spans="1:10" x14ac:dyDescent="0.35">
      <c r="A707" s="29"/>
      <c r="B707" s="7"/>
      <c r="C707" s="8"/>
      <c r="D707" s="7"/>
      <c r="E707" s="7"/>
      <c r="F707" s="9"/>
      <c r="G707" s="13"/>
      <c r="H707" s="9"/>
      <c r="I707" s="8"/>
      <c r="J707" s="9">
        <f>J706+Table23453561213[[#This Row],[AMOUNT]]-Table23453561213[[#This Row],[AMOUNT2]]-Table23453561213[[#This Row],[AMOUNT3]]</f>
        <v>0</v>
      </c>
    </row>
    <row r="708" spans="1:10" x14ac:dyDescent="0.35">
      <c r="A708" s="29"/>
      <c r="B708" s="7"/>
      <c r="C708" s="8"/>
      <c r="D708" s="7"/>
      <c r="E708" s="7"/>
      <c r="F708" s="9"/>
      <c r="G708" s="13"/>
      <c r="H708" s="9"/>
      <c r="I708" s="8"/>
      <c r="J708" s="9">
        <f>J707+Table23453561213[[#This Row],[AMOUNT]]-Table23453561213[[#This Row],[AMOUNT2]]-Table23453561213[[#This Row],[AMOUNT3]]</f>
        <v>0</v>
      </c>
    </row>
    <row r="709" spans="1:10" x14ac:dyDescent="0.35">
      <c r="A709" s="29"/>
      <c r="B709" s="7"/>
      <c r="C709" s="8"/>
      <c r="D709" s="7"/>
      <c r="E709" s="7"/>
      <c r="F709" s="9"/>
      <c r="G709" s="13"/>
      <c r="H709" s="9"/>
      <c r="I709" s="8"/>
      <c r="J709" s="9">
        <f>J708+Table23453561213[[#This Row],[AMOUNT]]-Table23453561213[[#This Row],[AMOUNT2]]-Table23453561213[[#This Row],[AMOUNT3]]</f>
        <v>0</v>
      </c>
    </row>
    <row r="710" spans="1:10" x14ac:dyDescent="0.35">
      <c r="A710" s="29"/>
      <c r="B710" s="7"/>
      <c r="C710" s="8"/>
      <c r="D710" s="7"/>
      <c r="E710" s="7"/>
      <c r="F710" s="9"/>
      <c r="G710" s="13"/>
      <c r="H710" s="9"/>
      <c r="I710" s="8"/>
      <c r="J710" s="9">
        <f>J709+Table23453561213[[#This Row],[AMOUNT]]-Table23453561213[[#This Row],[AMOUNT2]]-Table23453561213[[#This Row],[AMOUNT3]]</f>
        <v>0</v>
      </c>
    </row>
    <row r="711" spans="1:10" x14ac:dyDescent="0.35">
      <c r="A711" s="29"/>
      <c r="B711" s="7"/>
      <c r="C711" s="8"/>
      <c r="D711" s="7"/>
      <c r="E711" s="7"/>
      <c r="F711" s="9"/>
      <c r="G711" s="13"/>
      <c r="H711" s="9"/>
      <c r="I711" s="8"/>
      <c r="J711" s="9">
        <f>J710+Table23453561213[[#This Row],[AMOUNT]]-Table23453561213[[#This Row],[AMOUNT2]]-Table23453561213[[#This Row],[AMOUNT3]]</f>
        <v>0</v>
      </c>
    </row>
    <row r="712" spans="1:10" x14ac:dyDescent="0.35">
      <c r="A712" s="29"/>
      <c r="B712" s="7"/>
      <c r="C712" s="8"/>
      <c r="D712" s="7"/>
      <c r="E712" s="7"/>
      <c r="F712" s="9"/>
      <c r="G712" s="13"/>
      <c r="H712" s="9"/>
      <c r="I712" s="8"/>
      <c r="J712" s="9">
        <f>J711+Table23453561213[[#This Row],[AMOUNT]]-Table23453561213[[#This Row],[AMOUNT2]]-Table23453561213[[#This Row],[AMOUNT3]]</f>
        <v>0</v>
      </c>
    </row>
    <row r="713" spans="1:10" x14ac:dyDescent="0.35">
      <c r="A713" s="29"/>
      <c r="B713" s="7"/>
      <c r="C713" s="8"/>
      <c r="D713" s="7"/>
      <c r="E713" s="7"/>
      <c r="F713" s="9"/>
      <c r="G713" s="13"/>
      <c r="H713" s="9"/>
      <c r="I713" s="8"/>
      <c r="J713" s="9">
        <f>J712+Table23453561213[[#This Row],[AMOUNT]]-Table23453561213[[#This Row],[AMOUNT2]]-Table23453561213[[#This Row],[AMOUNT3]]</f>
        <v>0</v>
      </c>
    </row>
    <row r="714" spans="1:10" x14ac:dyDescent="0.35">
      <c r="A714" s="29"/>
      <c r="B714" s="7"/>
      <c r="C714" s="8"/>
      <c r="D714" s="7"/>
      <c r="E714" s="7"/>
      <c r="F714" s="9"/>
      <c r="G714" s="13"/>
      <c r="H714" s="9"/>
      <c r="I714" s="8"/>
      <c r="J714" s="9">
        <f>J713+Table23453561213[[#This Row],[AMOUNT]]-Table23453561213[[#This Row],[AMOUNT2]]-Table23453561213[[#This Row],[AMOUNT3]]</f>
        <v>0</v>
      </c>
    </row>
    <row r="715" spans="1:10" x14ac:dyDescent="0.35">
      <c r="A715" s="29"/>
      <c r="B715" s="7"/>
      <c r="C715" s="8"/>
      <c r="D715" s="7"/>
      <c r="E715" s="7"/>
      <c r="F715" s="9"/>
      <c r="G715" s="13"/>
      <c r="H715" s="9"/>
      <c r="I715" s="8"/>
      <c r="J715" s="9">
        <f>J714+Table23453561213[[#This Row],[AMOUNT]]-Table23453561213[[#This Row],[AMOUNT2]]-Table23453561213[[#This Row],[AMOUNT3]]</f>
        <v>0</v>
      </c>
    </row>
    <row r="716" spans="1:10" x14ac:dyDescent="0.35">
      <c r="A716" s="29"/>
      <c r="B716" s="7"/>
      <c r="C716" s="8"/>
      <c r="D716" s="7"/>
      <c r="E716" s="7"/>
      <c r="F716" s="9"/>
      <c r="G716" s="13"/>
      <c r="H716" s="9"/>
      <c r="I716" s="8"/>
      <c r="J716" s="9">
        <f>J715+Table23453561213[[#This Row],[AMOUNT]]-Table23453561213[[#This Row],[AMOUNT2]]-Table23453561213[[#This Row],[AMOUNT3]]</f>
        <v>0</v>
      </c>
    </row>
    <row r="717" spans="1:10" x14ac:dyDescent="0.35">
      <c r="A717" s="29"/>
      <c r="B717" s="7"/>
      <c r="C717" s="8"/>
      <c r="D717" s="7"/>
      <c r="E717" s="7"/>
      <c r="F717" s="9"/>
      <c r="G717" s="13"/>
      <c r="H717" s="9"/>
      <c r="I717" s="8"/>
      <c r="J717" s="9">
        <f>J716+Table23453561213[[#This Row],[AMOUNT]]-Table23453561213[[#This Row],[AMOUNT2]]-Table23453561213[[#This Row],[AMOUNT3]]</f>
        <v>0</v>
      </c>
    </row>
    <row r="718" spans="1:10" x14ac:dyDescent="0.35">
      <c r="A718" s="29"/>
      <c r="B718" s="7"/>
      <c r="C718" s="8"/>
      <c r="D718" s="7"/>
      <c r="E718" s="7"/>
      <c r="F718" s="9"/>
      <c r="G718" s="13"/>
      <c r="H718" s="9"/>
      <c r="I718" s="8"/>
      <c r="J718" s="9">
        <f>J717+Table23453561213[[#This Row],[AMOUNT]]-Table23453561213[[#This Row],[AMOUNT2]]-Table23453561213[[#This Row],[AMOUNT3]]</f>
        <v>0</v>
      </c>
    </row>
    <row r="719" spans="1:10" x14ac:dyDescent="0.35">
      <c r="A719" s="29"/>
      <c r="B719" s="7"/>
      <c r="C719" s="8"/>
      <c r="D719" s="7"/>
      <c r="E719" s="7"/>
      <c r="F719" s="9"/>
      <c r="G719" s="13"/>
      <c r="H719" s="9"/>
      <c r="I719" s="8"/>
      <c r="J719" s="9">
        <f>J718+Table23453561213[[#This Row],[AMOUNT]]-Table23453561213[[#This Row],[AMOUNT2]]-Table23453561213[[#This Row],[AMOUNT3]]</f>
        <v>0</v>
      </c>
    </row>
    <row r="720" spans="1:10" x14ac:dyDescent="0.35">
      <c r="A720" s="29"/>
      <c r="B720" s="7"/>
      <c r="C720" s="8"/>
      <c r="D720" s="7"/>
      <c r="E720" s="7"/>
      <c r="F720" s="9"/>
      <c r="G720" s="13"/>
      <c r="H720" s="9"/>
      <c r="I720" s="8"/>
      <c r="J720" s="9">
        <f>J719+Table23453561213[[#This Row],[AMOUNT]]-Table23453561213[[#This Row],[AMOUNT2]]-Table23453561213[[#This Row],[AMOUNT3]]</f>
        <v>0</v>
      </c>
    </row>
    <row r="721" spans="1:10" x14ac:dyDescent="0.35">
      <c r="A721" s="29"/>
      <c r="B721" s="7"/>
      <c r="C721" s="8"/>
      <c r="D721" s="7"/>
      <c r="E721" s="7"/>
      <c r="F721" s="9"/>
      <c r="G721" s="13"/>
      <c r="H721" s="9"/>
      <c r="I721" s="8"/>
      <c r="J721" s="9">
        <f>J720+Table23453561213[[#This Row],[AMOUNT]]-Table23453561213[[#This Row],[AMOUNT2]]-Table23453561213[[#This Row],[AMOUNT3]]</f>
        <v>0</v>
      </c>
    </row>
    <row r="722" spans="1:10" x14ac:dyDescent="0.35">
      <c r="A722" s="29"/>
      <c r="B722" s="7"/>
      <c r="C722" s="8"/>
      <c r="D722" s="7"/>
      <c r="E722" s="7"/>
      <c r="F722" s="9"/>
      <c r="G722" s="13"/>
      <c r="H722" s="9"/>
      <c r="I722" s="8"/>
      <c r="J722" s="9">
        <f>J721+Table23453561213[[#This Row],[AMOUNT]]-Table23453561213[[#This Row],[AMOUNT2]]-Table23453561213[[#This Row],[AMOUNT3]]</f>
        <v>0</v>
      </c>
    </row>
    <row r="723" spans="1:10" x14ac:dyDescent="0.35">
      <c r="A723" s="29"/>
      <c r="B723" s="7"/>
      <c r="C723" s="8"/>
      <c r="D723" s="7"/>
      <c r="E723" s="7"/>
      <c r="F723" s="9"/>
      <c r="G723" s="13"/>
      <c r="H723" s="9"/>
      <c r="I723" s="8"/>
      <c r="J723" s="9">
        <f>J722+Table23453561213[[#This Row],[AMOUNT]]-Table23453561213[[#This Row],[AMOUNT2]]-Table23453561213[[#This Row],[AMOUNT3]]</f>
        <v>0</v>
      </c>
    </row>
    <row r="724" spans="1:10" x14ac:dyDescent="0.35">
      <c r="A724" s="29"/>
      <c r="B724" s="7"/>
      <c r="C724" s="8"/>
      <c r="D724" s="7"/>
      <c r="E724" s="7"/>
      <c r="F724" s="9"/>
      <c r="G724" s="13"/>
      <c r="H724" s="9"/>
      <c r="I724" s="8"/>
      <c r="J724" s="9">
        <f>J723+Table23453561213[[#This Row],[AMOUNT]]-Table23453561213[[#This Row],[AMOUNT2]]-Table23453561213[[#This Row],[AMOUNT3]]</f>
        <v>0</v>
      </c>
    </row>
    <row r="725" spans="1:10" x14ac:dyDescent="0.35">
      <c r="A725" s="29"/>
      <c r="B725" s="7"/>
      <c r="C725" s="8"/>
      <c r="D725" s="7"/>
      <c r="E725" s="7"/>
      <c r="F725" s="9"/>
      <c r="G725" s="13"/>
      <c r="H725" s="9"/>
      <c r="I725" s="8"/>
      <c r="J725" s="9">
        <f>J724+Table23453561213[[#This Row],[AMOUNT]]-Table23453561213[[#This Row],[AMOUNT2]]-Table23453561213[[#This Row],[AMOUNT3]]</f>
        <v>0</v>
      </c>
    </row>
    <row r="726" spans="1:10" x14ac:dyDescent="0.35">
      <c r="A726" s="29"/>
      <c r="B726" s="7"/>
      <c r="C726" s="8"/>
      <c r="D726" s="7"/>
      <c r="E726" s="7"/>
      <c r="F726" s="9"/>
      <c r="G726" s="13"/>
      <c r="H726" s="9"/>
      <c r="I726" s="8"/>
      <c r="J726" s="9">
        <f>J725+Table23453561213[[#This Row],[AMOUNT]]-Table23453561213[[#This Row],[AMOUNT2]]-Table23453561213[[#This Row],[AMOUNT3]]</f>
        <v>0</v>
      </c>
    </row>
    <row r="727" spans="1:10" x14ac:dyDescent="0.35">
      <c r="A727" s="29"/>
      <c r="B727" s="7"/>
      <c r="C727" s="8"/>
      <c r="D727" s="7"/>
      <c r="E727" s="7"/>
      <c r="F727" s="9"/>
      <c r="G727" s="13"/>
      <c r="H727" s="9"/>
      <c r="I727" s="8"/>
      <c r="J727" s="9">
        <f>J726+Table23453561213[[#This Row],[AMOUNT]]-Table23453561213[[#This Row],[AMOUNT2]]-Table23453561213[[#This Row],[AMOUNT3]]</f>
        <v>0</v>
      </c>
    </row>
    <row r="728" spans="1:10" x14ac:dyDescent="0.35">
      <c r="A728" s="29"/>
      <c r="B728" s="7"/>
      <c r="C728" s="8"/>
      <c r="D728" s="7"/>
      <c r="E728" s="7"/>
      <c r="F728" s="9"/>
      <c r="G728" s="13"/>
      <c r="H728" s="9"/>
      <c r="I728" s="8"/>
      <c r="J728" s="9">
        <f>J727+Table23453561213[[#This Row],[AMOUNT]]-Table23453561213[[#This Row],[AMOUNT2]]-Table23453561213[[#This Row],[AMOUNT3]]</f>
        <v>0</v>
      </c>
    </row>
    <row r="729" spans="1:10" x14ac:dyDescent="0.35">
      <c r="A729" s="29"/>
      <c r="B729" s="7"/>
      <c r="C729" s="8"/>
      <c r="D729" s="7"/>
      <c r="E729" s="7"/>
      <c r="F729" s="9"/>
      <c r="G729" s="13"/>
      <c r="H729" s="9"/>
      <c r="I729" s="8"/>
      <c r="J729" s="9">
        <f>J728+Table23453561213[[#This Row],[AMOUNT]]-Table23453561213[[#This Row],[AMOUNT2]]-Table23453561213[[#This Row],[AMOUNT3]]</f>
        <v>0</v>
      </c>
    </row>
    <row r="730" spans="1:10" x14ac:dyDescent="0.35">
      <c r="A730" s="29"/>
      <c r="B730" s="7"/>
      <c r="C730" s="8"/>
      <c r="D730" s="7"/>
      <c r="E730" s="7"/>
      <c r="F730" s="9"/>
      <c r="G730" s="13"/>
      <c r="H730" s="9"/>
      <c r="I730" s="8"/>
      <c r="J730" s="9">
        <f>J729+Table23453561213[[#This Row],[AMOUNT]]-Table23453561213[[#This Row],[AMOUNT2]]-Table23453561213[[#This Row],[AMOUNT3]]</f>
        <v>0</v>
      </c>
    </row>
    <row r="731" spans="1:10" x14ac:dyDescent="0.35">
      <c r="A731" s="29"/>
      <c r="B731" s="7"/>
      <c r="C731" s="8"/>
      <c r="D731" s="7"/>
      <c r="E731" s="7"/>
      <c r="F731" s="9"/>
      <c r="G731" s="13"/>
      <c r="H731" s="9"/>
      <c r="I731" s="8"/>
      <c r="J731" s="9">
        <f>J730+Table23453561213[[#This Row],[AMOUNT]]-Table23453561213[[#This Row],[AMOUNT2]]-Table23453561213[[#This Row],[AMOUNT3]]</f>
        <v>0</v>
      </c>
    </row>
    <row r="732" spans="1:10" x14ac:dyDescent="0.35">
      <c r="A732" s="29"/>
      <c r="B732" s="7"/>
      <c r="C732" s="8"/>
      <c r="D732" s="7"/>
      <c r="E732" s="7"/>
      <c r="F732" s="9"/>
      <c r="G732" s="13"/>
      <c r="H732" s="9"/>
      <c r="I732" s="8"/>
      <c r="J732" s="9">
        <f>J731+Table23453561213[[#This Row],[AMOUNT]]-Table23453561213[[#This Row],[AMOUNT2]]-Table23453561213[[#This Row],[AMOUNT3]]</f>
        <v>0</v>
      </c>
    </row>
    <row r="733" spans="1:10" x14ac:dyDescent="0.35">
      <c r="A733" s="29"/>
      <c r="B733" s="7"/>
      <c r="C733" s="8"/>
      <c r="D733" s="7"/>
      <c r="E733" s="7"/>
      <c r="F733" s="9"/>
      <c r="G733" s="13"/>
      <c r="H733" s="9"/>
      <c r="I733" s="8"/>
      <c r="J733" s="9">
        <f>J732+Table23453561213[[#This Row],[AMOUNT]]-Table23453561213[[#This Row],[AMOUNT2]]-Table23453561213[[#This Row],[AMOUNT3]]</f>
        <v>0</v>
      </c>
    </row>
    <row r="734" spans="1:10" x14ac:dyDescent="0.35">
      <c r="A734" s="29"/>
      <c r="B734" s="7"/>
      <c r="C734" s="8"/>
      <c r="D734" s="7"/>
      <c r="E734" s="7"/>
      <c r="F734" s="9"/>
      <c r="G734" s="13"/>
      <c r="H734" s="9"/>
      <c r="I734" s="8"/>
      <c r="J734" s="9">
        <f>J733+Table23453561213[[#This Row],[AMOUNT]]-Table23453561213[[#This Row],[AMOUNT2]]-Table23453561213[[#This Row],[AMOUNT3]]</f>
        <v>0</v>
      </c>
    </row>
    <row r="735" spans="1:10" x14ac:dyDescent="0.35">
      <c r="A735" s="29"/>
      <c r="B735" s="7"/>
      <c r="C735" s="8"/>
      <c r="D735" s="7"/>
      <c r="E735" s="7"/>
      <c r="F735" s="9"/>
      <c r="G735" s="13"/>
      <c r="H735" s="9"/>
      <c r="I735" s="8"/>
      <c r="J735" s="9">
        <f>J734+Table23453561213[[#This Row],[AMOUNT]]-Table23453561213[[#This Row],[AMOUNT2]]-Table23453561213[[#This Row],[AMOUNT3]]</f>
        <v>0</v>
      </c>
    </row>
    <row r="736" spans="1:10" x14ac:dyDescent="0.35">
      <c r="A736" s="29"/>
      <c r="B736" s="7"/>
      <c r="C736" s="8"/>
      <c r="D736" s="7"/>
      <c r="E736" s="7"/>
      <c r="F736" s="9"/>
      <c r="G736" s="13"/>
      <c r="H736" s="9"/>
      <c r="I736" s="8"/>
      <c r="J736" s="9">
        <f>J735+Table23453561213[[#This Row],[AMOUNT]]-Table23453561213[[#This Row],[AMOUNT2]]-Table23453561213[[#This Row],[AMOUNT3]]</f>
        <v>0</v>
      </c>
    </row>
    <row r="737" spans="1:10" x14ac:dyDescent="0.35">
      <c r="A737" s="29"/>
      <c r="B737" s="7"/>
      <c r="C737" s="8"/>
      <c r="D737" s="7"/>
      <c r="E737" s="7"/>
      <c r="F737" s="9"/>
      <c r="G737" s="13"/>
      <c r="H737" s="9"/>
      <c r="I737" s="8"/>
      <c r="J737" s="9">
        <f>J736+Table23453561213[[#This Row],[AMOUNT]]-Table23453561213[[#This Row],[AMOUNT2]]-Table23453561213[[#This Row],[AMOUNT3]]</f>
        <v>0</v>
      </c>
    </row>
    <row r="738" spans="1:10" x14ac:dyDescent="0.35">
      <c r="A738" s="29"/>
      <c r="B738" s="7"/>
      <c r="C738" s="8"/>
      <c r="D738" s="7"/>
      <c r="E738" s="7"/>
      <c r="F738" s="9"/>
      <c r="G738" s="13"/>
      <c r="H738" s="9"/>
      <c r="I738" s="8"/>
      <c r="J738" s="9">
        <f>J737+Table23453561213[[#This Row],[AMOUNT]]-Table23453561213[[#This Row],[AMOUNT2]]-Table23453561213[[#This Row],[AMOUNT3]]</f>
        <v>0</v>
      </c>
    </row>
    <row r="739" spans="1:10" x14ac:dyDescent="0.35">
      <c r="A739" s="29"/>
      <c r="B739" s="7"/>
      <c r="C739" s="8"/>
      <c r="D739" s="7"/>
      <c r="E739" s="7"/>
      <c r="F739" s="9"/>
      <c r="G739" s="13"/>
      <c r="H739" s="9"/>
      <c r="I739" s="8"/>
      <c r="J739" s="9">
        <f>J738+Table23453561213[[#This Row],[AMOUNT]]-Table23453561213[[#This Row],[AMOUNT2]]-Table23453561213[[#This Row],[AMOUNT3]]</f>
        <v>0</v>
      </c>
    </row>
    <row r="740" spans="1:10" x14ac:dyDescent="0.35">
      <c r="A740" s="29"/>
      <c r="B740" s="7"/>
      <c r="C740" s="8"/>
      <c r="D740" s="7"/>
      <c r="E740" s="7"/>
      <c r="F740" s="9"/>
      <c r="G740" s="13"/>
      <c r="H740" s="9"/>
      <c r="I740" s="8"/>
      <c r="J740" s="9">
        <f>J739+Table23453561213[[#This Row],[AMOUNT]]-Table23453561213[[#This Row],[AMOUNT2]]-Table23453561213[[#This Row],[AMOUNT3]]</f>
        <v>0</v>
      </c>
    </row>
    <row r="741" spans="1:10" x14ac:dyDescent="0.35">
      <c r="A741" s="29"/>
      <c r="B741" s="7"/>
      <c r="C741" s="8"/>
      <c r="D741" s="7"/>
      <c r="E741" s="7"/>
      <c r="F741" s="9"/>
      <c r="G741" s="13"/>
      <c r="H741" s="9"/>
      <c r="I741" s="8"/>
      <c r="J741" s="9">
        <f>J740+Table23453561213[[#This Row],[AMOUNT]]-Table23453561213[[#This Row],[AMOUNT2]]-Table23453561213[[#This Row],[AMOUNT3]]</f>
        <v>0</v>
      </c>
    </row>
    <row r="742" spans="1:10" x14ac:dyDescent="0.35">
      <c r="A742" s="29"/>
      <c r="B742" s="7"/>
      <c r="C742" s="8"/>
      <c r="D742" s="7"/>
      <c r="E742" s="7"/>
      <c r="F742" s="9"/>
      <c r="G742" s="13"/>
      <c r="H742" s="9"/>
      <c r="I742" s="8"/>
      <c r="J742" s="9">
        <f>J741+Table23453561213[[#This Row],[AMOUNT]]-Table23453561213[[#This Row],[AMOUNT2]]-Table23453561213[[#This Row],[AMOUNT3]]</f>
        <v>0</v>
      </c>
    </row>
    <row r="743" spans="1:10" x14ac:dyDescent="0.35">
      <c r="A743" s="29"/>
      <c r="B743" s="7"/>
      <c r="C743" s="8"/>
      <c r="D743" s="7"/>
      <c r="E743" s="7"/>
      <c r="F743" s="9"/>
      <c r="G743" s="13"/>
      <c r="H743" s="9"/>
      <c r="I743" s="8"/>
      <c r="J743" s="9">
        <f>J742+Table23453561213[[#This Row],[AMOUNT]]-Table23453561213[[#This Row],[AMOUNT2]]-Table23453561213[[#This Row],[AMOUNT3]]</f>
        <v>0</v>
      </c>
    </row>
    <row r="744" spans="1:10" x14ac:dyDescent="0.35">
      <c r="A744" s="29"/>
      <c r="B744" s="7"/>
      <c r="C744" s="8"/>
      <c r="D744" s="7"/>
      <c r="E744" s="7"/>
      <c r="F744" s="9"/>
      <c r="G744" s="13"/>
      <c r="H744" s="9"/>
      <c r="I744" s="8"/>
      <c r="J744" s="9">
        <f>J743+Table23453561213[[#This Row],[AMOUNT]]-Table23453561213[[#This Row],[AMOUNT2]]-Table23453561213[[#This Row],[AMOUNT3]]</f>
        <v>0</v>
      </c>
    </row>
    <row r="745" spans="1:10" x14ac:dyDescent="0.35">
      <c r="A745" s="29"/>
      <c r="B745" s="7"/>
      <c r="C745" s="8"/>
      <c r="D745" s="7"/>
      <c r="E745" s="7"/>
      <c r="F745" s="9"/>
      <c r="G745" s="13"/>
      <c r="H745" s="9"/>
      <c r="I745" s="8"/>
      <c r="J745" s="9">
        <f>J744+Table23453561213[[#This Row],[AMOUNT]]-Table23453561213[[#This Row],[AMOUNT2]]-Table23453561213[[#This Row],[AMOUNT3]]</f>
        <v>0</v>
      </c>
    </row>
    <row r="746" spans="1:10" x14ac:dyDescent="0.35">
      <c r="A746" s="29"/>
      <c r="B746" s="7"/>
      <c r="C746" s="8"/>
      <c r="D746" s="7"/>
      <c r="E746" s="7"/>
      <c r="F746" s="9"/>
      <c r="G746" s="13"/>
      <c r="H746" s="9"/>
      <c r="I746" s="8"/>
      <c r="J746" s="9">
        <f>J745+Table23453561213[[#This Row],[AMOUNT]]-Table23453561213[[#This Row],[AMOUNT2]]-Table23453561213[[#This Row],[AMOUNT3]]</f>
        <v>0</v>
      </c>
    </row>
    <row r="747" spans="1:10" x14ac:dyDescent="0.35">
      <c r="A747" s="29"/>
      <c r="B747" s="7"/>
      <c r="C747" s="8"/>
      <c r="D747" s="7"/>
      <c r="E747" s="7"/>
      <c r="F747" s="9"/>
      <c r="G747" s="13"/>
      <c r="H747" s="9"/>
      <c r="I747" s="8"/>
      <c r="J747" s="9">
        <f>J746+Table23453561213[[#This Row],[AMOUNT]]-Table23453561213[[#This Row],[AMOUNT2]]-Table23453561213[[#This Row],[AMOUNT3]]</f>
        <v>0</v>
      </c>
    </row>
    <row r="748" spans="1:10" x14ac:dyDescent="0.35">
      <c r="A748" s="29"/>
      <c r="B748" s="7"/>
      <c r="C748" s="8"/>
      <c r="D748" s="7"/>
      <c r="E748" s="7"/>
      <c r="F748" s="9"/>
      <c r="G748" s="13"/>
      <c r="H748" s="9"/>
      <c r="I748" s="8"/>
      <c r="J748" s="9">
        <f>J747+Table23453561213[[#This Row],[AMOUNT]]-Table23453561213[[#This Row],[AMOUNT2]]-Table23453561213[[#This Row],[AMOUNT3]]</f>
        <v>0</v>
      </c>
    </row>
    <row r="749" spans="1:10" x14ac:dyDescent="0.35">
      <c r="A749" s="29"/>
      <c r="B749" s="7"/>
      <c r="C749" s="8"/>
      <c r="D749" s="7"/>
      <c r="E749" s="7"/>
      <c r="F749" s="9"/>
      <c r="G749" s="13"/>
      <c r="H749" s="9"/>
      <c r="I749" s="8"/>
      <c r="J749" s="9">
        <f>J748+Table23453561213[[#This Row],[AMOUNT]]-Table23453561213[[#This Row],[AMOUNT2]]-Table23453561213[[#This Row],[AMOUNT3]]</f>
        <v>0</v>
      </c>
    </row>
    <row r="750" spans="1:10" x14ac:dyDescent="0.35">
      <c r="A750" s="29"/>
      <c r="B750" s="7"/>
      <c r="C750" s="8"/>
      <c r="D750" s="7"/>
      <c r="E750" s="7"/>
      <c r="F750" s="9"/>
      <c r="G750" s="13"/>
      <c r="H750" s="9"/>
      <c r="I750" s="8"/>
      <c r="J750" s="9">
        <f>J749+Table23453561213[[#This Row],[AMOUNT]]-Table23453561213[[#This Row],[AMOUNT2]]-Table23453561213[[#This Row],[AMOUNT3]]</f>
        <v>0</v>
      </c>
    </row>
    <row r="751" spans="1:10" x14ac:dyDescent="0.35">
      <c r="A751" s="29"/>
      <c r="B751" s="7"/>
      <c r="C751" s="8"/>
      <c r="D751" s="7"/>
      <c r="E751" s="7"/>
      <c r="F751" s="9"/>
      <c r="G751" s="13"/>
      <c r="H751" s="9"/>
      <c r="I751" s="8"/>
      <c r="J751" s="9">
        <f>J750+Table23453561213[[#This Row],[AMOUNT]]-Table23453561213[[#This Row],[AMOUNT2]]-Table23453561213[[#This Row],[AMOUNT3]]</f>
        <v>0</v>
      </c>
    </row>
    <row r="752" spans="1:10" x14ac:dyDescent="0.35">
      <c r="A752" s="29"/>
      <c r="B752" s="7"/>
      <c r="C752" s="8"/>
      <c r="D752" s="7"/>
      <c r="E752" s="7"/>
      <c r="F752" s="9"/>
      <c r="G752" s="13"/>
      <c r="H752" s="9"/>
      <c r="I752" s="8"/>
      <c r="J752" s="9">
        <f>J751+Table23453561213[[#This Row],[AMOUNT]]-Table23453561213[[#This Row],[AMOUNT2]]-Table23453561213[[#This Row],[AMOUNT3]]</f>
        <v>0</v>
      </c>
    </row>
    <row r="753" spans="1:10" x14ac:dyDescent="0.35">
      <c r="A753" s="29"/>
      <c r="B753" s="7"/>
      <c r="C753" s="8"/>
      <c r="D753" s="7"/>
      <c r="E753" s="7"/>
      <c r="F753" s="9"/>
      <c r="G753" s="13"/>
      <c r="H753" s="9"/>
      <c r="I753" s="8"/>
      <c r="J753" s="9">
        <f>J752+Table23453561213[[#This Row],[AMOUNT]]-Table23453561213[[#This Row],[AMOUNT2]]-Table23453561213[[#This Row],[AMOUNT3]]</f>
        <v>0</v>
      </c>
    </row>
    <row r="754" spans="1:10" x14ac:dyDescent="0.35">
      <c r="A754" s="29"/>
      <c r="B754" s="7"/>
      <c r="C754" s="8"/>
      <c r="D754" s="7"/>
      <c r="E754" s="7"/>
      <c r="F754" s="9"/>
      <c r="G754" s="13"/>
      <c r="H754" s="9"/>
      <c r="I754" s="8"/>
      <c r="J754" s="9">
        <f>J753+Table23453561213[[#This Row],[AMOUNT]]-Table23453561213[[#This Row],[AMOUNT2]]-Table23453561213[[#This Row],[AMOUNT3]]</f>
        <v>0</v>
      </c>
    </row>
    <row r="755" spans="1:10" x14ac:dyDescent="0.35">
      <c r="A755" s="29"/>
      <c r="B755" s="7"/>
      <c r="C755" s="8"/>
      <c r="D755" s="7"/>
      <c r="E755" s="7"/>
      <c r="F755" s="9"/>
      <c r="G755" s="13"/>
      <c r="H755" s="9"/>
      <c r="I755" s="8"/>
      <c r="J755" s="9">
        <f>J754+Table23453561213[[#This Row],[AMOUNT]]-Table23453561213[[#This Row],[AMOUNT2]]-Table23453561213[[#This Row],[AMOUNT3]]</f>
        <v>0</v>
      </c>
    </row>
    <row r="756" spans="1:10" x14ac:dyDescent="0.35">
      <c r="A756" s="29"/>
      <c r="B756" s="7"/>
      <c r="C756" s="8"/>
      <c r="D756" s="7"/>
      <c r="E756" s="7"/>
      <c r="F756" s="9"/>
      <c r="G756" s="13"/>
      <c r="H756" s="9"/>
      <c r="I756" s="8"/>
      <c r="J756" s="9">
        <f>J755+Table23453561213[[#This Row],[AMOUNT]]-Table23453561213[[#This Row],[AMOUNT2]]-Table23453561213[[#This Row],[AMOUNT3]]</f>
        <v>0</v>
      </c>
    </row>
    <row r="757" spans="1:10" x14ac:dyDescent="0.35">
      <c r="A757" s="29"/>
      <c r="B757" s="7"/>
      <c r="C757" s="8"/>
      <c r="D757" s="7"/>
      <c r="E757" s="7"/>
      <c r="F757" s="9"/>
      <c r="G757" s="13"/>
      <c r="H757" s="9"/>
      <c r="I757" s="8"/>
      <c r="J757" s="9">
        <f>J756+Table23453561213[[#This Row],[AMOUNT]]-Table23453561213[[#This Row],[AMOUNT2]]-Table23453561213[[#This Row],[AMOUNT3]]</f>
        <v>0</v>
      </c>
    </row>
    <row r="758" spans="1:10" x14ac:dyDescent="0.35">
      <c r="A758" s="29"/>
      <c r="B758" s="7"/>
      <c r="C758" s="8"/>
      <c r="D758" s="7"/>
      <c r="E758" s="7"/>
      <c r="F758" s="9"/>
      <c r="G758" s="13"/>
      <c r="H758" s="9"/>
      <c r="I758" s="8"/>
      <c r="J758" s="9">
        <f>J757+Table23453561213[[#This Row],[AMOUNT]]-Table23453561213[[#This Row],[AMOUNT2]]-Table23453561213[[#This Row],[AMOUNT3]]</f>
        <v>0</v>
      </c>
    </row>
    <row r="759" spans="1:10" x14ac:dyDescent="0.35">
      <c r="A759" s="29"/>
      <c r="B759" s="7"/>
      <c r="C759" s="8"/>
      <c r="D759" s="7"/>
      <c r="E759" s="7"/>
      <c r="F759" s="9"/>
      <c r="G759" s="13"/>
      <c r="H759" s="9"/>
      <c r="I759" s="8"/>
      <c r="J759" s="9">
        <f>J758+Table23453561213[[#This Row],[AMOUNT]]-Table23453561213[[#This Row],[AMOUNT2]]-Table23453561213[[#This Row],[AMOUNT3]]</f>
        <v>0</v>
      </c>
    </row>
    <row r="760" spans="1:10" x14ac:dyDescent="0.35">
      <c r="A760" s="29"/>
      <c r="B760" s="7"/>
      <c r="C760" s="8"/>
      <c r="D760" s="7"/>
      <c r="E760" s="7"/>
      <c r="F760" s="9"/>
      <c r="G760" s="13"/>
      <c r="H760" s="9"/>
      <c r="I760" s="8"/>
      <c r="J760" s="9">
        <f>J759+Table23453561213[[#This Row],[AMOUNT]]-Table23453561213[[#This Row],[AMOUNT2]]-Table23453561213[[#This Row],[AMOUNT3]]</f>
        <v>0</v>
      </c>
    </row>
    <row r="761" spans="1:10" x14ac:dyDescent="0.35">
      <c r="A761" s="29"/>
      <c r="B761" s="7"/>
      <c r="C761" s="8"/>
      <c r="D761" s="7"/>
      <c r="E761" s="7"/>
      <c r="F761" s="9"/>
      <c r="G761" s="13"/>
      <c r="H761" s="9"/>
      <c r="I761" s="8"/>
      <c r="J761" s="9">
        <f>J760+Table23453561213[[#This Row],[AMOUNT]]-Table23453561213[[#This Row],[AMOUNT2]]-Table23453561213[[#This Row],[AMOUNT3]]</f>
        <v>0</v>
      </c>
    </row>
    <row r="762" spans="1:10" x14ac:dyDescent="0.35">
      <c r="A762" s="29"/>
      <c r="B762" s="7"/>
      <c r="C762" s="8"/>
      <c r="D762" s="7"/>
      <c r="E762" s="7"/>
      <c r="F762" s="9"/>
      <c r="G762" s="13"/>
      <c r="H762" s="9"/>
      <c r="I762" s="8"/>
      <c r="J762" s="9">
        <f>J761+Table23453561213[[#This Row],[AMOUNT]]-Table23453561213[[#This Row],[AMOUNT2]]-Table23453561213[[#This Row],[AMOUNT3]]</f>
        <v>0</v>
      </c>
    </row>
    <row r="763" spans="1:10" x14ac:dyDescent="0.35">
      <c r="A763" s="29"/>
      <c r="B763" s="7"/>
      <c r="C763" s="8"/>
      <c r="D763" s="7"/>
      <c r="E763" s="7"/>
      <c r="F763" s="9"/>
      <c r="G763" s="13"/>
      <c r="H763" s="9"/>
      <c r="I763" s="8"/>
      <c r="J763" s="9">
        <f>J762+Table23453561213[[#This Row],[AMOUNT]]-Table23453561213[[#This Row],[AMOUNT2]]-Table23453561213[[#This Row],[AMOUNT3]]</f>
        <v>0</v>
      </c>
    </row>
    <row r="764" spans="1:10" x14ac:dyDescent="0.35">
      <c r="A764" s="29"/>
      <c r="B764" s="7"/>
      <c r="C764" s="8"/>
      <c r="D764" s="7"/>
      <c r="E764" s="7"/>
      <c r="F764" s="9"/>
      <c r="G764" s="13"/>
      <c r="H764" s="9"/>
      <c r="I764" s="8"/>
      <c r="J764" s="9">
        <f>J763+Table23453561213[[#This Row],[AMOUNT]]-Table23453561213[[#This Row],[AMOUNT2]]-Table23453561213[[#This Row],[AMOUNT3]]</f>
        <v>0</v>
      </c>
    </row>
    <row r="765" spans="1:10" x14ac:dyDescent="0.35">
      <c r="A765" s="29"/>
      <c r="B765" s="7"/>
      <c r="C765" s="8"/>
      <c r="D765" s="7"/>
      <c r="E765" s="7"/>
      <c r="F765" s="9"/>
      <c r="G765" s="13"/>
      <c r="H765" s="9"/>
      <c r="I765" s="8"/>
      <c r="J765" s="9">
        <f>J764+Table23453561213[[#This Row],[AMOUNT]]-Table23453561213[[#This Row],[AMOUNT2]]-Table23453561213[[#This Row],[AMOUNT3]]</f>
        <v>0</v>
      </c>
    </row>
    <row r="766" spans="1:10" x14ac:dyDescent="0.35">
      <c r="A766" s="29"/>
      <c r="B766" s="7"/>
      <c r="C766" s="8"/>
      <c r="D766" s="7"/>
      <c r="E766" s="7"/>
      <c r="F766" s="9"/>
      <c r="G766" s="13"/>
      <c r="H766" s="9"/>
      <c r="I766" s="8"/>
      <c r="J766" s="9">
        <f>J765+Table23453561213[[#This Row],[AMOUNT]]-Table23453561213[[#This Row],[AMOUNT2]]-Table23453561213[[#This Row],[AMOUNT3]]</f>
        <v>0</v>
      </c>
    </row>
    <row r="767" spans="1:10" x14ac:dyDescent="0.35">
      <c r="A767" s="29"/>
      <c r="B767" s="7"/>
      <c r="C767" s="8"/>
      <c r="D767" s="7"/>
      <c r="E767" s="7"/>
      <c r="F767" s="9"/>
      <c r="G767" s="13"/>
      <c r="H767" s="9"/>
      <c r="I767" s="8"/>
      <c r="J767" s="9">
        <f>J766+Table23453561213[[#This Row],[AMOUNT]]-Table23453561213[[#This Row],[AMOUNT2]]-Table23453561213[[#This Row],[AMOUNT3]]</f>
        <v>0</v>
      </c>
    </row>
    <row r="768" spans="1:10" x14ac:dyDescent="0.35">
      <c r="A768" s="29"/>
      <c r="B768" s="7"/>
      <c r="C768" s="8"/>
      <c r="D768" s="7"/>
      <c r="E768" s="7"/>
      <c r="F768" s="9"/>
      <c r="G768" s="13"/>
      <c r="H768" s="9"/>
      <c r="I768" s="8"/>
      <c r="J768" s="9">
        <f>J767+Table23453561213[[#This Row],[AMOUNT]]-Table23453561213[[#This Row],[AMOUNT2]]-Table23453561213[[#This Row],[AMOUNT3]]</f>
        <v>0</v>
      </c>
    </row>
    <row r="769" spans="1:10" x14ac:dyDescent="0.35">
      <c r="A769" s="29"/>
      <c r="B769" s="7"/>
      <c r="C769" s="8"/>
      <c r="D769" s="7"/>
      <c r="E769" s="7"/>
      <c r="F769" s="9"/>
      <c r="G769" s="13"/>
      <c r="H769" s="9"/>
      <c r="I769" s="8"/>
      <c r="J769" s="9">
        <f>J768+Table23453561213[[#This Row],[AMOUNT]]-Table23453561213[[#This Row],[AMOUNT2]]-Table23453561213[[#This Row],[AMOUNT3]]</f>
        <v>0</v>
      </c>
    </row>
    <row r="770" spans="1:10" x14ac:dyDescent="0.35">
      <c r="A770" s="29"/>
      <c r="B770" s="7"/>
      <c r="C770" s="8"/>
      <c r="D770" s="7"/>
      <c r="E770" s="7"/>
      <c r="F770" s="9"/>
      <c r="G770" s="13"/>
      <c r="H770" s="9"/>
      <c r="I770" s="8"/>
      <c r="J770" s="9">
        <f>J769+Table23453561213[[#This Row],[AMOUNT]]-Table23453561213[[#This Row],[AMOUNT2]]-Table23453561213[[#This Row],[AMOUNT3]]</f>
        <v>0</v>
      </c>
    </row>
    <row r="771" spans="1:10" x14ac:dyDescent="0.35">
      <c r="A771" s="29"/>
      <c r="B771" s="7"/>
      <c r="C771" s="8"/>
      <c r="D771" s="7"/>
      <c r="E771" s="7"/>
      <c r="F771" s="9"/>
      <c r="G771" s="13"/>
      <c r="H771" s="9"/>
      <c r="I771" s="8"/>
      <c r="J771" s="9">
        <f>J770+Table23453561213[[#This Row],[AMOUNT]]-Table23453561213[[#This Row],[AMOUNT2]]-Table23453561213[[#This Row],[AMOUNT3]]</f>
        <v>0</v>
      </c>
    </row>
    <row r="772" spans="1:10" x14ac:dyDescent="0.35">
      <c r="A772" s="29"/>
      <c r="B772" s="7"/>
      <c r="C772" s="8"/>
      <c r="D772" s="7"/>
      <c r="E772" s="7"/>
      <c r="F772" s="9"/>
      <c r="G772" s="13"/>
      <c r="H772" s="9"/>
      <c r="I772" s="8"/>
      <c r="J772" s="9">
        <f>J771+Table23453561213[[#This Row],[AMOUNT]]-Table23453561213[[#This Row],[AMOUNT2]]-Table23453561213[[#This Row],[AMOUNT3]]</f>
        <v>0</v>
      </c>
    </row>
    <row r="773" spans="1:10" x14ac:dyDescent="0.35">
      <c r="A773" s="29"/>
      <c r="B773" s="7"/>
      <c r="C773" s="8"/>
      <c r="D773" s="7"/>
      <c r="E773" s="7"/>
      <c r="F773" s="9"/>
      <c r="G773" s="13"/>
      <c r="H773" s="9"/>
      <c r="I773" s="8"/>
      <c r="J773" s="9">
        <f>J772+Table23453561213[[#This Row],[AMOUNT]]-Table23453561213[[#This Row],[AMOUNT2]]-Table23453561213[[#This Row],[AMOUNT3]]</f>
        <v>0</v>
      </c>
    </row>
    <row r="774" spans="1:10" x14ac:dyDescent="0.35">
      <c r="A774" s="29"/>
      <c r="B774" s="7"/>
      <c r="C774" s="8"/>
      <c r="D774" s="7"/>
      <c r="E774" s="7"/>
      <c r="F774" s="9"/>
      <c r="G774" s="13"/>
      <c r="H774" s="9"/>
      <c r="I774" s="8"/>
      <c r="J774" s="9">
        <f>J773+Table23453561213[[#This Row],[AMOUNT]]-Table23453561213[[#This Row],[AMOUNT2]]-Table23453561213[[#This Row],[AMOUNT3]]</f>
        <v>0</v>
      </c>
    </row>
    <row r="775" spans="1:10" x14ac:dyDescent="0.35">
      <c r="A775" s="29"/>
      <c r="B775" s="7"/>
      <c r="C775" s="8"/>
      <c r="D775" s="7"/>
      <c r="E775" s="7"/>
      <c r="F775" s="9"/>
      <c r="G775" s="13"/>
      <c r="H775" s="9"/>
      <c r="I775" s="8"/>
      <c r="J775" s="9">
        <f>J774+Table23453561213[[#This Row],[AMOUNT]]-Table23453561213[[#This Row],[AMOUNT2]]-Table23453561213[[#This Row],[AMOUNT3]]</f>
        <v>0</v>
      </c>
    </row>
    <row r="776" spans="1:10" x14ac:dyDescent="0.35">
      <c r="A776" s="29"/>
      <c r="B776" s="7"/>
      <c r="C776" s="8"/>
      <c r="D776" s="7"/>
      <c r="E776" s="7"/>
      <c r="F776" s="9"/>
      <c r="G776" s="13"/>
      <c r="H776" s="9"/>
      <c r="I776" s="8"/>
      <c r="J776" s="9">
        <f>J775+Table23453561213[[#This Row],[AMOUNT]]-Table23453561213[[#This Row],[AMOUNT2]]-Table23453561213[[#This Row],[AMOUNT3]]</f>
        <v>0</v>
      </c>
    </row>
    <row r="777" spans="1:10" x14ac:dyDescent="0.35">
      <c r="A777" s="29"/>
      <c r="B777" s="7"/>
      <c r="C777" s="8"/>
      <c r="D777" s="7"/>
      <c r="E777" s="7"/>
      <c r="F777" s="9"/>
      <c r="G777" s="13"/>
      <c r="H777" s="9"/>
      <c r="I777" s="8"/>
      <c r="J777" s="9">
        <f>J776+Table23453561213[[#This Row],[AMOUNT]]-Table23453561213[[#This Row],[AMOUNT2]]-Table23453561213[[#This Row],[AMOUNT3]]</f>
        <v>0</v>
      </c>
    </row>
    <row r="778" spans="1:10" x14ac:dyDescent="0.35">
      <c r="A778" s="29"/>
      <c r="B778" s="7"/>
      <c r="C778" s="8"/>
      <c r="D778" s="7"/>
      <c r="E778" s="7"/>
      <c r="F778" s="9"/>
      <c r="G778" s="13"/>
      <c r="H778" s="9"/>
      <c r="I778" s="8"/>
      <c r="J778" s="9">
        <f>J777+Table23453561213[[#This Row],[AMOUNT]]-Table23453561213[[#This Row],[AMOUNT2]]-Table23453561213[[#This Row],[AMOUNT3]]</f>
        <v>0</v>
      </c>
    </row>
    <row r="779" spans="1:10" x14ac:dyDescent="0.35">
      <c r="A779" s="29"/>
      <c r="B779" s="7"/>
      <c r="C779" s="8"/>
      <c r="D779" s="7"/>
      <c r="E779" s="7"/>
      <c r="F779" s="9"/>
      <c r="G779" s="13"/>
      <c r="H779" s="9"/>
      <c r="I779" s="8"/>
      <c r="J779" s="9">
        <f>J778+Table23453561213[[#This Row],[AMOUNT]]-Table23453561213[[#This Row],[AMOUNT2]]-Table23453561213[[#This Row],[AMOUNT3]]</f>
        <v>0</v>
      </c>
    </row>
    <row r="780" spans="1:10" x14ac:dyDescent="0.35">
      <c r="A780" s="29"/>
      <c r="B780" s="7"/>
      <c r="C780" s="8"/>
      <c r="D780" s="7"/>
      <c r="E780" s="7"/>
      <c r="F780" s="9"/>
      <c r="G780" s="13"/>
      <c r="H780" s="9"/>
      <c r="I780" s="8"/>
      <c r="J780" s="9">
        <f>J779+Table23453561213[[#This Row],[AMOUNT]]-Table23453561213[[#This Row],[AMOUNT2]]-Table23453561213[[#This Row],[AMOUNT3]]</f>
        <v>0</v>
      </c>
    </row>
    <row r="781" spans="1:10" x14ac:dyDescent="0.35">
      <c r="A781" s="29"/>
      <c r="B781" s="7"/>
      <c r="C781" s="8"/>
      <c r="D781" s="7"/>
      <c r="E781" s="7"/>
      <c r="F781" s="9"/>
      <c r="G781" s="13"/>
      <c r="H781" s="9"/>
      <c r="I781" s="8"/>
      <c r="J781" s="9">
        <f>J780+Table23453561213[[#This Row],[AMOUNT]]-Table23453561213[[#This Row],[AMOUNT2]]-Table23453561213[[#This Row],[AMOUNT3]]</f>
        <v>0</v>
      </c>
    </row>
    <row r="782" spans="1:10" x14ac:dyDescent="0.35">
      <c r="A782" s="29"/>
      <c r="B782" s="7"/>
      <c r="C782" s="8"/>
      <c r="D782" s="7"/>
      <c r="E782" s="7"/>
      <c r="F782" s="9"/>
      <c r="G782" s="13"/>
      <c r="H782" s="9"/>
      <c r="I782" s="8"/>
      <c r="J782" s="9">
        <f>J781+Table23453561213[[#This Row],[AMOUNT]]-Table23453561213[[#This Row],[AMOUNT2]]-Table23453561213[[#This Row],[AMOUNT3]]</f>
        <v>0</v>
      </c>
    </row>
    <row r="783" spans="1:10" x14ac:dyDescent="0.35">
      <c r="A783" s="29"/>
      <c r="B783" s="7"/>
      <c r="C783" s="8"/>
      <c r="D783" s="7"/>
      <c r="E783" s="7"/>
      <c r="F783" s="9"/>
      <c r="G783" s="13"/>
      <c r="H783" s="9"/>
      <c r="I783" s="8"/>
      <c r="J783" s="9">
        <f>J782+Table23453561213[[#This Row],[AMOUNT]]-Table23453561213[[#This Row],[AMOUNT2]]-Table23453561213[[#This Row],[AMOUNT3]]</f>
        <v>0</v>
      </c>
    </row>
    <row r="784" spans="1:10" x14ac:dyDescent="0.35">
      <c r="A784" s="29"/>
      <c r="B784" s="7"/>
      <c r="C784" s="8"/>
      <c r="D784" s="7"/>
      <c r="E784" s="7"/>
      <c r="F784" s="9"/>
      <c r="G784" s="13"/>
      <c r="H784" s="9"/>
      <c r="I784" s="8"/>
      <c r="J784" s="9">
        <f>J783+Table23453561213[[#This Row],[AMOUNT]]-Table23453561213[[#This Row],[AMOUNT2]]-Table23453561213[[#This Row],[AMOUNT3]]</f>
        <v>0</v>
      </c>
    </row>
    <row r="785" spans="1:10" x14ac:dyDescent="0.35">
      <c r="A785" s="29"/>
      <c r="B785" s="7"/>
      <c r="C785" s="8"/>
      <c r="D785" s="7"/>
      <c r="E785" s="7"/>
      <c r="F785" s="9"/>
      <c r="G785" s="13"/>
      <c r="H785" s="9"/>
      <c r="I785" s="8"/>
      <c r="J785" s="9">
        <f>J784+Table23453561213[[#This Row],[AMOUNT]]-Table23453561213[[#This Row],[AMOUNT2]]-Table23453561213[[#This Row],[AMOUNT3]]</f>
        <v>0</v>
      </c>
    </row>
    <row r="786" spans="1:10" x14ac:dyDescent="0.35">
      <c r="A786" s="29"/>
      <c r="B786" s="7"/>
      <c r="C786" s="8"/>
      <c r="D786" s="7"/>
      <c r="E786" s="7"/>
      <c r="F786" s="9"/>
      <c r="G786" s="13"/>
      <c r="H786" s="9"/>
      <c r="I786" s="8"/>
      <c r="J786" s="9">
        <f>J785+Table23453561213[[#This Row],[AMOUNT]]-Table23453561213[[#This Row],[AMOUNT2]]-Table23453561213[[#This Row],[AMOUNT3]]</f>
        <v>0</v>
      </c>
    </row>
    <row r="787" spans="1:10" x14ac:dyDescent="0.35">
      <c r="A787" s="29"/>
      <c r="B787" s="7"/>
      <c r="C787" s="8"/>
      <c r="D787" s="7"/>
      <c r="E787" s="7"/>
      <c r="F787" s="9"/>
      <c r="G787" s="13"/>
      <c r="H787" s="9"/>
      <c r="I787" s="8"/>
      <c r="J787" s="9">
        <f>J786+Table23453561213[[#This Row],[AMOUNT]]-Table23453561213[[#This Row],[AMOUNT2]]-Table23453561213[[#This Row],[AMOUNT3]]</f>
        <v>0</v>
      </c>
    </row>
    <row r="788" spans="1:10" x14ac:dyDescent="0.35">
      <c r="A788" s="29"/>
      <c r="B788" s="7"/>
      <c r="C788" s="8"/>
      <c r="D788" s="7"/>
      <c r="E788" s="7"/>
      <c r="F788" s="9"/>
      <c r="G788" s="13"/>
      <c r="H788" s="9"/>
      <c r="I788" s="8"/>
      <c r="J788" s="9">
        <f>J787+Table23453561213[[#This Row],[AMOUNT]]-Table23453561213[[#This Row],[AMOUNT2]]-Table23453561213[[#This Row],[AMOUNT3]]</f>
        <v>0</v>
      </c>
    </row>
    <row r="789" spans="1:10" x14ac:dyDescent="0.35">
      <c r="A789" s="29"/>
      <c r="B789" s="7"/>
      <c r="C789" s="8"/>
      <c r="D789" s="7"/>
      <c r="E789" s="7"/>
      <c r="F789" s="9"/>
      <c r="G789" s="13"/>
      <c r="H789" s="9"/>
      <c r="I789" s="8"/>
      <c r="J789" s="9">
        <f>J788+Table23453561213[[#This Row],[AMOUNT]]-Table23453561213[[#This Row],[AMOUNT2]]-Table23453561213[[#This Row],[AMOUNT3]]</f>
        <v>0</v>
      </c>
    </row>
    <row r="790" spans="1:10" x14ac:dyDescent="0.35">
      <c r="A790" s="29"/>
      <c r="B790" s="7"/>
      <c r="C790" s="8"/>
      <c r="D790" s="7"/>
      <c r="E790" s="7"/>
      <c r="F790" s="9"/>
      <c r="G790" s="13"/>
      <c r="H790" s="9"/>
      <c r="I790" s="8"/>
      <c r="J790" s="9">
        <f>J789+Table23453561213[[#This Row],[AMOUNT]]-Table23453561213[[#This Row],[AMOUNT2]]-Table23453561213[[#This Row],[AMOUNT3]]</f>
        <v>0</v>
      </c>
    </row>
    <row r="791" spans="1:10" x14ac:dyDescent="0.35">
      <c r="A791" s="29"/>
      <c r="B791" s="7"/>
      <c r="C791" s="8"/>
      <c r="D791" s="7"/>
      <c r="E791" s="7"/>
      <c r="F791" s="9"/>
      <c r="G791" s="13"/>
      <c r="H791" s="9"/>
      <c r="I791" s="8"/>
      <c r="J791" s="9">
        <f>J790+Table23453561213[[#This Row],[AMOUNT]]-Table23453561213[[#This Row],[AMOUNT2]]-Table23453561213[[#This Row],[AMOUNT3]]</f>
        <v>0</v>
      </c>
    </row>
    <row r="792" spans="1:10" x14ac:dyDescent="0.35">
      <c r="A792" s="29"/>
      <c r="B792" s="7"/>
      <c r="C792" s="8"/>
      <c r="D792" s="7"/>
      <c r="E792" s="7"/>
      <c r="F792" s="9"/>
      <c r="G792" s="13"/>
      <c r="H792" s="9"/>
      <c r="I792" s="8"/>
      <c r="J792" s="9">
        <f>J791+Table23453561213[[#This Row],[AMOUNT]]-Table23453561213[[#This Row],[AMOUNT2]]-Table23453561213[[#This Row],[AMOUNT3]]</f>
        <v>0</v>
      </c>
    </row>
    <row r="793" spans="1:10" x14ac:dyDescent="0.35">
      <c r="A793" s="29"/>
      <c r="B793" s="7"/>
      <c r="C793" s="8"/>
      <c r="D793" s="7"/>
      <c r="E793" s="7"/>
      <c r="F793" s="9"/>
      <c r="G793" s="13"/>
      <c r="H793" s="9"/>
      <c r="I793" s="8"/>
      <c r="J793" s="9">
        <f>J792+Table23453561213[[#This Row],[AMOUNT]]-Table23453561213[[#This Row],[AMOUNT2]]-Table23453561213[[#This Row],[AMOUNT3]]</f>
        <v>0</v>
      </c>
    </row>
    <row r="794" spans="1:10" x14ac:dyDescent="0.35">
      <c r="A794" s="29"/>
      <c r="B794" s="7"/>
      <c r="C794" s="8"/>
      <c r="D794" s="7"/>
      <c r="E794" s="7"/>
      <c r="F794" s="9"/>
      <c r="G794" s="13"/>
      <c r="H794" s="9"/>
      <c r="I794" s="8"/>
      <c r="J794" s="9">
        <f>J793+Table23453561213[[#This Row],[AMOUNT]]-Table23453561213[[#This Row],[AMOUNT2]]-Table23453561213[[#This Row],[AMOUNT3]]</f>
        <v>0</v>
      </c>
    </row>
    <row r="795" spans="1:10" x14ac:dyDescent="0.35">
      <c r="A795" s="29"/>
      <c r="B795" s="7"/>
      <c r="C795" s="8"/>
      <c r="D795" s="7"/>
      <c r="E795" s="7"/>
      <c r="F795" s="9"/>
      <c r="G795" s="13"/>
      <c r="H795" s="9"/>
      <c r="I795" s="8"/>
      <c r="J795" s="9">
        <f>J794+Table23453561213[[#This Row],[AMOUNT]]-Table23453561213[[#This Row],[AMOUNT2]]-Table23453561213[[#This Row],[AMOUNT3]]</f>
        <v>0</v>
      </c>
    </row>
    <row r="796" spans="1:10" x14ac:dyDescent="0.35">
      <c r="A796" s="29"/>
      <c r="B796" s="7"/>
      <c r="C796" s="8"/>
      <c r="D796" s="7"/>
      <c r="E796" s="7"/>
      <c r="F796" s="9"/>
      <c r="G796" s="13"/>
      <c r="H796" s="9"/>
      <c r="I796" s="8"/>
      <c r="J796" s="9">
        <f>J795+Table23453561213[[#This Row],[AMOUNT]]-Table23453561213[[#This Row],[AMOUNT2]]-Table23453561213[[#This Row],[AMOUNT3]]</f>
        <v>0</v>
      </c>
    </row>
    <row r="797" spans="1:10" x14ac:dyDescent="0.35">
      <c r="A797" s="29"/>
      <c r="B797" s="7"/>
      <c r="C797" s="8"/>
      <c r="D797" s="7"/>
      <c r="E797" s="7"/>
      <c r="F797" s="9"/>
      <c r="G797" s="13"/>
      <c r="H797" s="9"/>
      <c r="I797" s="8"/>
      <c r="J797" s="9">
        <f>J796+Table23453561213[[#This Row],[AMOUNT]]-Table23453561213[[#This Row],[AMOUNT2]]-Table23453561213[[#This Row],[AMOUNT3]]</f>
        <v>0</v>
      </c>
    </row>
    <row r="798" spans="1:10" x14ac:dyDescent="0.35">
      <c r="A798" s="29"/>
      <c r="B798" s="7"/>
      <c r="C798" s="8"/>
      <c r="D798" s="7"/>
      <c r="E798" s="7"/>
      <c r="F798" s="9"/>
      <c r="G798" s="13"/>
      <c r="H798" s="9"/>
      <c r="I798" s="8"/>
      <c r="J798" s="9">
        <f>J797+Table23453561213[[#This Row],[AMOUNT]]-Table23453561213[[#This Row],[AMOUNT2]]-Table23453561213[[#This Row],[AMOUNT3]]</f>
        <v>0</v>
      </c>
    </row>
    <row r="799" spans="1:10" x14ac:dyDescent="0.35">
      <c r="A799" s="29"/>
      <c r="B799" s="7"/>
      <c r="C799" s="8"/>
      <c r="D799" s="7"/>
      <c r="E799" s="7"/>
      <c r="F799" s="9"/>
      <c r="G799" s="13"/>
      <c r="H799" s="9"/>
      <c r="I799" s="8"/>
      <c r="J799" s="9">
        <f>J798+Table23453561213[[#This Row],[AMOUNT]]-Table23453561213[[#This Row],[AMOUNT2]]-Table23453561213[[#This Row],[AMOUNT3]]</f>
        <v>0</v>
      </c>
    </row>
    <row r="800" spans="1:10" x14ac:dyDescent="0.35">
      <c r="A800" s="29"/>
      <c r="B800" s="7"/>
      <c r="C800" s="8"/>
      <c r="D800" s="7"/>
      <c r="E800" s="7"/>
      <c r="F800" s="9"/>
      <c r="G800" s="13"/>
      <c r="H800" s="9"/>
      <c r="I800" s="8"/>
      <c r="J800" s="9">
        <f>J799+Table23453561213[[#This Row],[AMOUNT]]-Table23453561213[[#This Row],[AMOUNT2]]-Table23453561213[[#This Row],[AMOUNT3]]</f>
        <v>0</v>
      </c>
    </row>
    <row r="801" spans="1:10" x14ac:dyDescent="0.35">
      <c r="A801" s="29"/>
      <c r="B801" s="7"/>
      <c r="C801" s="8"/>
      <c r="D801" s="7"/>
      <c r="E801" s="7"/>
      <c r="F801" s="9"/>
      <c r="G801" s="13"/>
      <c r="H801" s="9"/>
      <c r="I801" s="8"/>
      <c r="J801" s="9">
        <f>J800+Table23453561213[[#This Row],[AMOUNT]]-Table23453561213[[#This Row],[AMOUNT2]]-Table23453561213[[#This Row],[AMOUNT3]]</f>
        <v>0</v>
      </c>
    </row>
    <row r="802" spans="1:10" x14ac:dyDescent="0.35">
      <c r="A802" s="28">
        <v>46110</v>
      </c>
      <c r="B802" s="25"/>
      <c r="C802" s="20"/>
      <c r="D802" s="7" t="s">
        <v>48</v>
      </c>
      <c r="E802" s="25"/>
      <c r="F802" s="19"/>
      <c r="G802" s="21"/>
      <c r="H802" s="19"/>
      <c r="I802" s="20"/>
      <c r="J802" s="9">
        <f>J801+Table23453561213[[#This Row],[AMOUNT]]-Table23453561213[[#This Row],[AMOUNT2]]-Table23453561213[[#This Row],[AMOUNT3]]</f>
        <v>0</v>
      </c>
    </row>
    <row r="803" spans="1:10" x14ac:dyDescent="0.35">
      <c r="A803" s="148" t="s">
        <v>15</v>
      </c>
      <c r="B803" s="150"/>
      <c r="C803" s="6">
        <f>SUM(C5:C802)</f>
        <v>4332</v>
      </c>
      <c r="D803" s="6"/>
      <c r="E803" s="6"/>
      <c r="F803" s="6"/>
      <c r="G803" s="6">
        <f>SUM(G5:G802)</f>
        <v>2910</v>
      </c>
      <c r="H803" s="6"/>
      <c r="I803" s="6">
        <f>SUM(I5:I802)</f>
        <v>0</v>
      </c>
      <c r="J803" s="6"/>
    </row>
  </sheetData>
  <mergeCells count="4">
    <mergeCell ref="A1:J2"/>
    <mergeCell ref="A3:C3"/>
    <mergeCell ref="G3:I3"/>
    <mergeCell ref="A803:B80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E25" sqref="E25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Bipin</vt:lpstr>
      <vt:lpstr>Divyansh</vt:lpstr>
      <vt:lpstr>Vikash</vt:lpstr>
      <vt:lpstr>Sonu</vt:lpstr>
      <vt:lpstr>Rakesh</vt:lpstr>
      <vt:lpstr>Lalit</vt:lpstr>
      <vt:lpstr>Rohit VRK</vt:lpstr>
      <vt:lpstr>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Rohit G</cp:lastModifiedBy>
  <cp:lastPrinted>2026-07-25T05:48:13Z</cp:lastPrinted>
  <dcterms:created xsi:type="dcterms:W3CDTF">2025-04-03T10:28:39Z</dcterms:created>
  <dcterms:modified xsi:type="dcterms:W3CDTF">2026-09-11T09:44:11Z</dcterms:modified>
</cp:coreProperties>
</file>